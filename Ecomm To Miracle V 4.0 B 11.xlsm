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All Sharing\Ecom Setup\Devlop\A Letest\"/>
    </mc:Choice>
  </mc:AlternateContent>
  <xr:revisionPtr revIDLastSave="0" documentId="13_ncr:1_{FE60ABE7-AA02-4007-B4BC-9C9B2FFEEAD9}" xr6:coauthVersionLast="47" xr6:coauthVersionMax="47" xr10:uidLastSave="{00000000-0000-0000-0000-000000000000}"/>
  <bookViews>
    <workbookView xWindow="28680" yWindow="-120" windowWidth="29040" windowHeight="15720" tabRatio="798" firstSheet="11" activeTab="23" xr2:uid="{00000000-000D-0000-FFFF-FFFF00000000}"/>
  </bookViews>
  <sheets>
    <sheet name="MSH" sheetId="3" state="hidden" r:id="rId1"/>
    <sheet name="MSH (2)" sheetId="36" state="hidden" r:id="rId2"/>
    <sheet name="MSH (3)" sheetId="37" state="hidden" r:id="rId3"/>
    <sheet name="AMZ" sheetId="35" state="hidden" r:id="rId4"/>
    <sheet name="AMZ (2)" sheetId="10" state="hidden" r:id="rId5"/>
    <sheet name="FLC" sheetId="9" state="hidden" r:id="rId6"/>
    <sheet name="FLC (C)" sheetId="22" state="hidden" r:id="rId7"/>
    <sheet name="SND" sheetId="11" state="hidden" r:id="rId8"/>
    <sheet name="JIO" sheetId="17" state="hidden" r:id="rId9"/>
    <sheet name="AJIO" sheetId="19" state="hidden" r:id="rId10"/>
    <sheet name="GLR" sheetId="12" state="hidden" r:id="rId11"/>
    <sheet name="MYR" sheetId="20" r:id="rId12"/>
    <sheet name="MYR (2)" sheetId="24" r:id="rId13"/>
    <sheet name="NPTL" sheetId="26" state="hidden" r:id="rId14"/>
    <sheet name="MRW" sheetId="14" state="hidden" r:id="rId15"/>
    <sheet name="S101" sheetId="15" state="hidden" r:id="rId16"/>
    <sheet name="S101 (2)" sheetId="23" state="hidden" r:id="rId17"/>
    <sheet name="S101 (3)" sheetId="32" state="hidden" r:id="rId18"/>
    <sheet name="VMT" sheetId="25" state="hidden" r:id="rId19"/>
    <sheet name="UNI" sheetId="34" state="hidden" r:id="rId20"/>
    <sheet name="AMZ TR" sheetId="33" state="hidden" r:id="rId21"/>
    <sheet name="GSTR2B" sheetId="28" state="hidden" r:id="rId22"/>
    <sheet name="Help" sheetId="1" r:id="rId23"/>
    <sheet name="MasterMonth" sheetId="16" r:id="rId24"/>
    <sheet name="Registration" sheetId="31" state="hidden" r:id="rId25"/>
  </sheets>
  <functionGroups builtInGroupCount="19"/>
  <definedNames>
    <definedName name="_xlnm._FilterDatabase" localSheetId="9" hidden="1">AJIO!$A$4:$DZ$1420</definedName>
    <definedName name="_xlnm._FilterDatabase" localSheetId="3" hidden="1">AMZ!$A$4:$DT$4</definedName>
    <definedName name="_xlnm._FilterDatabase" localSheetId="4" hidden="1">'AMZ (2)'!$A$4:$DZ$4</definedName>
    <definedName name="_xlnm._FilterDatabase" localSheetId="20" hidden="1">'AMZ TR'!$A$4:$DX$4</definedName>
    <definedName name="_xlnm._FilterDatabase" localSheetId="5" hidden="1">FLC!$A$4:$DS$4</definedName>
    <definedName name="_xlnm._FilterDatabase" localSheetId="6" hidden="1">'FLC (C)'!#REF!</definedName>
    <definedName name="_xlnm._FilterDatabase" localSheetId="21" hidden="1">GSTR2B!$A$4:$DZ$4</definedName>
    <definedName name="_xlnm._FilterDatabase" localSheetId="22" hidden="1">Help!$C$1:$C$7</definedName>
    <definedName name="_xlnm._FilterDatabase" localSheetId="8" hidden="1">JIO!$A$4:$DZ$4</definedName>
    <definedName name="_xlnm._FilterDatabase" localSheetId="23" hidden="1">MasterMonth!$A$4:$P$4</definedName>
    <definedName name="_xlnm._FilterDatabase" localSheetId="14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2" hidden="1">'MSH (3)'!$A$4:$DQ$4</definedName>
    <definedName name="_xlnm._FilterDatabase" localSheetId="12" hidden="1">'MYR (2)'!$A$4:$DZ$4</definedName>
    <definedName name="_xlnm._FilterDatabase" localSheetId="13" hidden="1">NPTL!$A$4:$DZ$4</definedName>
    <definedName name="_xlnm._FilterDatabase" localSheetId="15" hidden="1">'S101'!$A$4:$DZ$4</definedName>
    <definedName name="_xlnm._FilterDatabase" localSheetId="16" hidden="1">'S101 (2)'!$A$4:$DZ$4</definedName>
    <definedName name="_xlnm._FilterDatabase" localSheetId="17" hidden="1">'S101 (3)'!$A$4:$AG$4</definedName>
    <definedName name="_xlnm._FilterDatabase" localSheetId="7" hidden="1">SND!$A$4:$DZ$4</definedName>
    <definedName name="_xlnm._FilterDatabase" localSheetId="19" hidden="1">UNI!$A$4:$DT$4</definedName>
    <definedName name="_xlnm._FilterDatabase" localSheetId="18" hidden="1">VMT!$A$4:$DZ$4</definedName>
    <definedName name="_xlnm.Extract" localSheetId="23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M3" i="24" l="1"/>
  <c r="DK3" i="24"/>
  <c r="DJ3" i="24"/>
  <c r="DG3" i="24"/>
  <c r="DE3" i="24"/>
  <c r="DL3" i="24"/>
  <c r="DD3" i="19"/>
  <c r="DG3" i="35" l="1"/>
  <c r="AE3" i="16"/>
  <c r="AD3" i="16"/>
  <c r="AC3" i="16"/>
  <c r="AB3" i="16"/>
  <c r="AA3" i="16"/>
  <c r="V3" i="16" s="1"/>
  <c r="Z3" i="16"/>
  <c r="Y3" i="16"/>
  <c r="X3" i="16"/>
  <c r="W3" i="16"/>
  <c r="U3" i="16"/>
  <c r="T3" i="16"/>
  <c r="S3" i="16"/>
  <c r="R3" i="16" s="1"/>
  <c r="DM3" i="17"/>
  <c r="DL3" i="17"/>
  <c r="DJ3" i="17"/>
  <c r="DE3" i="17"/>
  <c r="DB3" i="9"/>
  <c r="DA3" i="9"/>
  <c r="DE3" i="9"/>
  <c r="DM3" i="9"/>
  <c r="DJ3" i="9"/>
  <c r="DI3" i="9"/>
  <c r="DP3" i="9" s="1"/>
  <c r="DH3" i="9"/>
  <c r="DG3" i="9"/>
  <c r="DL3" i="9"/>
  <c r="DG3" i="11"/>
  <c r="DL3" i="11"/>
  <c r="C142" i="1"/>
  <c r="F2" i="37"/>
  <c r="DK3" i="9"/>
  <c r="DG3" i="37"/>
  <c r="DL3" i="37"/>
  <c r="DM3" i="37" s="1"/>
  <c r="DI3" i="37"/>
  <c r="DK3" i="37"/>
  <c r="DJ3" i="37"/>
  <c r="DH3" i="37"/>
  <c r="DE3" i="37"/>
  <c r="DO3" i="37" s="1"/>
  <c r="DA3" i="37"/>
  <c r="DA3" i="32"/>
  <c r="DB3" i="37"/>
  <c r="E2" i="37"/>
  <c r="O3" i="16"/>
  <c r="DE3" i="32"/>
  <c r="DN3" i="32" s="1"/>
  <c r="DR3" i="28"/>
  <c r="DM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H3" i="16" l="1"/>
  <c r="AF3" i="16"/>
  <c r="N2" i="37"/>
  <c r="DD3" i="37"/>
  <c r="DN3" i="37" s="1"/>
  <c r="G2" i="37"/>
  <c r="H2" i="37" s="1"/>
  <c r="I2" i="37"/>
  <c r="I2" i="14" a="1"/>
  <c r="I2" i="14" s="1"/>
  <c r="DD3" i="3"/>
  <c r="DN3" i="3" s="1"/>
  <c r="J2" i="37" l="1"/>
  <c r="J1" i="37" s="1"/>
  <c r="N2" i="3"/>
  <c r="DL3" i="36"/>
  <c r="DM3" i="36" s="1"/>
  <c r="DK3" i="36"/>
  <c r="DJ3" i="36"/>
  <c r="DI3" i="36"/>
  <c r="DH3" i="36"/>
  <c r="DG3" i="36"/>
  <c r="DE3" i="36"/>
  <c r="DO3" i="36" s="1"/>
  <c r="DB3" i="36"/>
  <c r="DA3" i="36"/>
  <c r="E2" i="36"/>
  <c r="C143" i="1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F3" i="35"/>
  <c r="DC3" i="35"/>
  <c r="G2" i="36" l="1"/>
  <c r="I2" i="36"/>
  <c r="F2" i="36"/>
  <c r="DD3" i="36"/>
  <c r="DN3" i="36" s="1"/>
  <c r="I2" i="35"/>
  <c r="DA4" i="35"/>
  <c r="O2" i="35"/>
  <c r="DD3" i="35" s="1"/>
  <c r="F2" i="35"/>
  <c r="E2" i="35"/>
  <c r="H2" i="36" l="1"/>
  <c r="N2" i="36"/>
  <c r="N2" i="35"/>
  <c r="DB4" i="35"/>
  <c r="G2" i="35"/>
  <c r="H2" i="35" s="1"/>
  <c r="J2" i="35" s="1"/>
  <c r="J1" i="35" s="1"/>
  <c r="DK3" i="17"/>
  <c r="DI3" i="17"/>
  <c r="DH3" i="17"/>
  <c r="DG3" i="17"/>
  <c r="DS3" i="33"/>
  <c r="H2" i="33" s="1"/>
  <c r="DM3" i="10"/>
  <c r="DL3" i="10"/>
  <c r="DJ3" i="10"/>
  <c r="DF3" i="10"/>
  <c r="DP3" i="10" s="1"/>
  <c r="DG3" i="10" s="1"/>
  <c r="E2" i="33"/>
  <c r="E2" i="26"/>
  <c r="DA3" i="26"/>
  <c r="DE3" i="26"/>
  <c r="J2" i="36" l="1"/>
  <c r="J1" i="36" s="1"/>
  <c r="DO3" i="35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DI3" i="34"/>
  <c r="DC3" i="34"/>
  <c r="DL3" i="34"/>
  <c r="F2" i="34" s="1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G4" i="32"/>
  <c r="DB4" i="32"/>
  <c r="DA4" i="32"/>
  <c r="E2" i="32"/>
  <c r="GN1" i="32"/>
  <c r="GM1" i="32"/>
  <c r="GQ1" i="32" s="1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N2" i="32" s="1"/>
  <c r="I2" i="32"/>
  <c r="K2" i="32"/>
  <c r="GV1" i="32"/>
  <c r="GS1" i="32"/>
  <c r="GA1" i="32"/>
  <c r="GG1" i="32" s="1"/>
  <c r="GF1" i="32" s="1"/>
  <c r="F2" i="32"/>
  <c r="GE1" i="32"/>
  <c r="I2" i="3"/>
  <c r="H2" i="32" l="1"/>
  <c r="N2" i="34"/>
  <c r="DO3" i="34"/>
  <c r="AH1" i="34" s="1"/>
  <c r="J2" i="34"/>
  <c r="J1" i="34" s="1"/>
  <c r="L1" i="33"/>
  <c r="J2" i="32" l="1"/>
  <c r="J1" i="32" s="1"/>
  <c r="BB1" i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G2" i="24"/>
  <c r="DD3" i="24"/>
  <c r="DH3" i="24"/>
  <c r="DO3" i="24"/>
  <c r="DB2" i="24"/>
  <c r="DB3" i="24" s="1"/>
  <c r="DB4" i="24" s="1"/>
  <c r="DA2" i="24"/>
  <c r="DA3" i="24" s="1"/>
  <c r="DA4" i="24" s="1"/>
  <c r="F2" i="24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F2" i="1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G2" i="9"/>
  <c r="O2" i="9"/>
  <c r="DK3" i="10"/>
  <c r="DI3" i="10"/>
  <c r="DB2" i="10"/>
  <c r="DB3" i="10" s="1"/>
  <c r="DB4" i="10" s="1"/>
  <c r="DA2" i="10"/>
  <c r="DA4" i="10" s="1"/>
  <c r="O2" i="10"/>
  <c r="G2" i="3"/>
  <c r="DI3" i="22"/>
  <c r="H2" i="24" l="1"/>
  <c r="J2" i="24" s="1"/>
  <c r="J1" i="24" s="1"/>
  <c r="DD3" i="10"/>
  <c r="DD3" i="9"/>
  <c r="DD3" i="23"/>
  <c r="N2" i="23" s="1"/>
  <c r="F2" i="25"/>
  <c r="G2" i="25"/>
  <c r="Y2" i="16"/>
  <c r="Z2" i="16" s="1"/>
  <c r="I2" i="9"/>
  <c r="I2" i="26"/>
  <c r="GE1" i="15"/>
  <c r="G2" i="28"/>
  <c r="I2" i="10"/>
  <c r="G2" i="10"/>
  <c r="DD3" i="20"/>
  <c r="N2" i="20" s="1"/>
  <c r="F2" i="17"/>
  <c r="G2" i="17"/>
  <c r="DD3" i="11"/>
  <c r="N2" i="11" s="1"/>
  <c r="G2" i="12"/>
  <c r="H2" i="12" s="1"/>
  <c r="J2" i="12" s="1"/>
  <c r="J1" i="12" s="1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I2" i="22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H2" i="26"/>
  <c r="DD3" i="15"/>
  <c r="N2" i="15" s="1"/>
  <c r="G2" i="23"/>
  <c r="DD3" i="17"/>
  <c r="F2" i="9"/>
  <c r="H2" i="9" s="1"/>
  <c r="DN3" i="19"/>
  <c r="F2" i="15"/>
  <c r="DK3" i="15"/>
  <c r="GS1" i="23"/>
  <c r="GE1" i="23"/>
  <c r="DO3" i="11"/>
  <c r="I2" i="20"/>
  <c r="F2" i="22"/>
  <c r="H2" i="22" s="1"/>
  <c r="J2" i="22" s="1"/>
  <c r="J1" i="22" s="1"/>
  <c r="F2" i="20"/>
  <c r="I2" i="11"/>
  <c r="DM3" i="11"/>
  <c r="I2" i="19"/>
  <c r="DM3" i="19"/>
  <c r="G2" i="20"/>
  <c r="I2" i="24"/>
  <c r="GS1" i="15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22" s="1"/>
  <c r="DN3" i="9" l="1"/>
  <c r="DO3" i="9"/>
  <c r="J2" i="9"/>
  <c r="J1" i="9" s="1"/>
  <c r="H2" i="25"/>
  <c r="J2" i="25" s="1"/>
  <c r="J1" i="25" s="1"/>
  <c r="N2" i="17"/>
  <c r="DO3" i="17"/>
  <c r="AH1" i="17" s="1"/>
  <c r="N2" i="9"/>
  <c r="DN3" i="10"/>
  <c r="DO3" i="10"/>
  <c r="AH1" i="10" s="1"/>
  <c r="H2" i="15"/>
  <c r="J2" i="15" s="1"/>
  <c r="J1" i="15" s="1"/>
  <c r="N2" i="10"/>
  <c r="DN3" i="25"/>
  <c r="N2" i="25"/>
  <c r="H2" i="10"/>
  <c r="H2" i="17"/>
  <c r="J2" i="17" s="1"/>
  <c r="J1" i="17" s="1"/>
  <c r="N2" i="19"/>
  <c r="DN3" i="26"/>
  <c r="J2" i="26"/>
  <c r="J1" i="26" s="1"/>
  <c r="DO3" i="26"/>
  <c r="AH1" i="26" s="1"/>
  <c r="V2" i="16"/>
  <c r="X2" i="16" s="1"/>
  <c r="DO3" i="19"/>
  <c r="AH1" i="19" s="1"/>
  <c r="DN3" i="17"/>
  <c r="H2" i="23"/>
  <c r="J2" i="23" s="1"/>
  <c r="J1" i="23" s="1"/>
  <c r="H2" i="20"/>
  <c r="J2" i="20" s="1"/>
  <c r="J1" i="20" s="1"/>
  <c r="DN3" i="22"/>
  <c r="DO3" i="22"/>
  <c r="AH1" i="9" l="1"/>
  <c r="J2" i="10"/>
  <c r="J1" i="10" s="1"/>
  <c r="J2" i="28"/>
  <c r="DE3" i="14"/>
  <c r="DO3" i="14" s="1"/>
  <c r="DJ3" i="14"/>
  <c r="DM3" i="14"/>
  <c r="DF3" i="14"/>
  <c r="DI3" i="14"/>
  <c r="DH3" i="14"/>
  <c r="DG3" i="14"/>
  <c r="DK3" i="14"/>
  <c r="DL3" i="14"/>
  <c r="L2" i="28" l="1"/>
  <c r="L1" i="28" s="1"/>
  <c r="DD3" i="14"/>
  <c r="N2" i="14" s="1"/>
  <c r="D3" i="16" s="1"/>
  <c r="DN3" i="14"/>
  <c r="G2" i="14"/>
  <c r="F2" i="14"/>
  <c r="H2" i="14" l="1"/>
  <c r="J2" i="14" l="1"/>
  <c r="J1" i="14" s="1"/>
  <c r="J2" i="16"/>
  <c r="K2" i="16" s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<sst xmlns="http://schemas.openxmlformats.org/spreadsheetml/2006/main" count="53374" uniqueCount="9948">
  <si>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</si>
  <si>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</si>
  <si>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</si>
  <si>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</si>
  <si>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</si>
  <si>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</si>
  <si>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</si>
  <si>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</si>
  <si>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</si>
  <si>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</si>
  <si>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</si>
  <si>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</si>
  <si>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</si>
  <si>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</si>
  <si>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</si>
  <si>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</si>
  <si>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</si>
  <si>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</si>
  <si>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</si>
  <si>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</si>
  <si>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</si>
  <si>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</si>
  <si>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</si>
  <si>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</si>
  <si>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</si>
  <si>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</si>
  <si>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</si>
  <si>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</si>
  <si>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</si>
  <si>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</si>
  <si>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</si>
  <si>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</si>
  <si>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</si>
  <si>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</si>
  <si>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</si>
  <si>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</si>
  <si>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</si>
  <si>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</si>
  <si>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</si>
  <si>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</si>
  <si>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</si>
  <si>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</si>
  <si>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</si>
  <si>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</si>
  <si>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</si>
  <si>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</si>
  <si>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</si>
  <si>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</si>
  <si>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</si>
  <si>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</si>
  <si>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</si>
  <si>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</si>
  <si>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</si>
  <si>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</si>
  <si>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</si>
  <si>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</si>
  <si>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</si>
  <si>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</si>
  <si>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</si>
  <si>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</si>
  <si>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</si>
  <si>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</si>
  <si>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</si>
  <si>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</si>
  <si>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</si>
  <si>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</si>
  <si>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</si>
  <si>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</si>
  <si>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</si>
  <si>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</si>
  <si>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</si>
  <si>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</si>
  <si>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</si>
  <si>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</si>
  <si>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</si>
  <si>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</si>
  <si>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</si>
  <si>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</si>
  <si>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</si>
  <si>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</si>
  <si>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</si>
  <si>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</si>
  <si>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</si>
  <si>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</si>
  <si>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</si>
  <si>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</si>
  <si>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</si>
  <si>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</si>
  <si>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</si>
  <si>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</si>
  <si>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</si>
  <si>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</si>
  <si>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</si>
  <si>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</si>
  <si>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</si>
  <si>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</si>
  <si>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</si>
  <si>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</si>
  <si>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</si>
  <si>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</si>
  <si>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</si>
  <si>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</si>
  <si>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</si>
  <si>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</si>
  <si>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</si>
  <si>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</si>
  <si>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</si>
  <si>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</si>
  <si>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</si>
  <si>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</si>
  <si>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</si>
  <si>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</si>
  <si>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</si>
  <si>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</si>
  <si>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</si>
  <si>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</si>
  <si>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</si>
  <si>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</si>
  <si>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</si>
  <si>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</si>
  <si>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</si>
  <si>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</si>
  <si>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</si>
  <si>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</si>
  <si>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</si>
  <si>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</si>
  <si>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</si>
  <si>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</si>
  <si>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</si>
  <si>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</si>
  <si>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</si>
  <si>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</si>
  <si>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</si>
  <si>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</si>
  <si>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</si>
  <si>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</si>
  <si>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</si>
  <si>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</si>
  <si>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</si>
  <si>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</si>
  <si>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</si>
  <si>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</si>
  <si>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</si>
  <si>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</si>
  <si>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</si>
  <si>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</si>
  <si>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</si>
  <si>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</si>
  <si>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</si>
  <si>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</si>
  <si>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</si>
  <si>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</si>
  <si>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</si>
  <si>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</si>
  <si>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</si>
  <si>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</si>
  <si>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</si>
  <si>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</si>
  <si>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</si>
  <si>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</si>
  <si>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</si>
  <si>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</si>
  <si>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</si>
  <si>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</si>
  <si>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</si>
  <si>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</si>
  <si>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</si>
  <si>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</si>
  <si>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</si>
  <si>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</si>
  <si>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</si>
  <si>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</si>
  <si>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</si>
  <si>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</si>
  <si>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</si>
  <si>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</si>
  <si>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</si>
  <si>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</si>
  <si>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</si>
  <si>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</si>
  <si>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</si>
  <si>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</si>
  <si>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</si>
  <si>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</si>
  <si>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</si>
  <si>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</si>
  <si>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</si>
  <si>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</si>
  <si>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</si>
  <si>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</si>
  <si>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</si>
  <si>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</si>
  <si>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</si>
  <si>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</si>
  <si>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</si>
  <si>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</si>
  <si>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</si>
  <si>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</si>
  <si>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</si>
  <si>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</si>
  <si>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</si>
  <si>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</si>
  <si>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</si>
  <si>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</si>
  <si>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</si>
  <si>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</si>
  <si>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</si>
  <si>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</si>
  <si>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</si>
  <si>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</si>
  <si>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</si>
  <si>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</si>
  <si>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</si>
  <si>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</si>
  <si>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</si>
  <si>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</si>
  <si>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</si>
  <si>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</si>
  <si>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</si>
  <si>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</si>
  <si>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</si>
  <si>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</si>
  <si>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</si>
  <si>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</si>
  <si>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</si>
  <si>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</si>
  <si>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</si>
  <si>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</si>
  <si>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</si>
  <si>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</si>
  <si>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</si>
  <si>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</si>
  <si>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</si>
  <si>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</si>
  <si>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</si>
  <si>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</si>
  <si>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</si>
  <si>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</si>
  <si>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</si>
  <si>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</si>
  <si>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</si>
  <si>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</si>
  <si>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</si>
  <si>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</si>
  <si>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</si>
  <si>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</si>
  <si>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</si>
  <si>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</si>
  <si>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</si>
  <si>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</si>
  <si>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</si>
  <si>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</si>
  <si>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</si>
  <si>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</si>
  <si>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</si>
  <si>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</si>
  <si>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</si>
  <si>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</si>
  <si>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</si>
  <si>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</si>
  <si>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</si>
  <si>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</si>
  <si>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</si>
  <si>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</si>
  <si>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</si>
  <si>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</si>
  <si>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</si>
  <si>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</si>
  <si>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</si>
  <si>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</si>
  <si>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</si>
  <si>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</si>
  <si>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</si>
  <si>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</si>
  <si>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</si>
  <si>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</si>
  <si>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</si>
  <si>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</si>
  <si>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</si>
  <si>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</si>
  <si>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</si>
  <si>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</si>
  <si>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</si>
  <si>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</si>
  <si>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</si>
  <si>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</si>
  <si>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</si>
  <si>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</si>
  <si>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</si>
  <si>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</si>
  <si>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</si>
  <si>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</si>
  <si>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</si>
  <si>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</si>
  <si>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</si>
  <si>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</si>
  <si>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</si>
  <si>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</si>
  <si>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</si>
  <si>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</si>
  <si>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</si>
  <si>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</si>
  <si>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</si>
  <si>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</si>
  <si>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</si>
  <si>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</si>
  <si>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</si>
  <si>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</si>
  <si>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</si>
  <si>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</si>
  <si>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</si>
  <si>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</si>
  <si>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</si>
  <si>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</si>
  <si>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</si>
  <si>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</si>
  <si>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</si>
  <si>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</si>
  <si>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</si>
  <si>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</si>
  <si>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</si>
  <si>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</si>
  <si>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</si>
  <si>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</si>
  <si>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</si>
  <si>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</si>
  <si>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</si>
  <si>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</si>
  <si>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</si>
  <si>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</si>
  <si>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</si>
  <si>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</si>
  <si>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</si>
  <si>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</si>
  <si>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</si>
  <si>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</si>
  <si>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</si>
  <si>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</si>
  <si>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</si>
  <si>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</si>
  <si>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</si>
  <si>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</si>
  <si>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</si>
  <si>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</si>
  <si>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</si>
  <si>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</si>
  <si>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</si>
  <si>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</si>
  <si>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</si>
  <si>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</si>
  <si>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</si>
  <si>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</si>
  <si>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</si>
  <si>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</si>
  <si>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</si>
  <si>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</si>
  <si>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</si>
  <si>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</si>
  <si>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</si>
  <si>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</si>
  <si>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</si>
  <si>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</si>
  <si>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</si>
  <si>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</si>
  <si>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</si>
  <si>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</si>
  <si>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</si>
  <si>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</si>
  <si>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</si>
  <si>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</si>
  <si>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</si>
  <si>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</si>
  <si>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</si>
  <si>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</si>
  <si>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</si>
  <si>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</si>
  <si>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</si>
  <si>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</si>
  <si>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</si>
  <si>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</si>
  <si>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</si>
  <si>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</si>
  <si>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</si>
  <si>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</si>
  <si>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</si>
  <si>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</si>
  <si>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</si>
  <si>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</si>
  <si>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</si>
  <si>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</si>
  <si>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</si>
  <si>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</si>
  <si>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</si>
  <si>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</si>
  <si>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</si>
  <si>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</si>
  <si>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</si>
  <si>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</si>
  <si>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</si>
  <si>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</si>
  <si>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</si>
  <si>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</si>
  <si>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</si>
  <si>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</si>
  <si>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</si>
  <si>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</si>
  <si>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</si>
  <si>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</si>
  <si>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</si>
  <si>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</si>
  <si>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</si>
  <si>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</si>
  <si>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</si>
  <si>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</si>
  <si>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</si>
  <si>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</si>
  <si>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</si>
  <si>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</si>
  <si>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</si>
  <si>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</si>
  <si>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</si>
  <si>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</si>
  <si>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</si>
  <si>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</si>
  <si>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</si>
  <si>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</si>
  <si>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</si>
  <si>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</si>
  <si>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</si>
  <si>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</si>
  <si>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</si>
  <si>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</si>
  <si>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</si>
  <si>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</si>
  <si>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</si>
  <si>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</si>
  <si>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</si>
  <si>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</si>
  <si>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</si>
  <si>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</si>
  <si>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</si>
  <si>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</si>
  <si>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</si>
  <si>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</si>
  <si>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</si>
  <si>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</si>
  <si>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</si>
  <si>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</si>
  <si>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</si>
  <si>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</si>
  <si>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</si>
  <si>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</si>
  <si>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</si>
  <si>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</si>
  <si>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</si>
  <si>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</si>
  <si>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</si>
  <si>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</si>
  <si>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</si>
  <si>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</si>
  <si>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</si>
  <si>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</si>
  <si>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</si>
  <si>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</si>
  <si>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</si>
  <si>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</si>
  <si>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</si>
  <si>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</si>
  <si>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</si>
  <si>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</si>
  <si>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</si>
  <si>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</si>
  <si>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</si>
  <si>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</si>
  <si>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</si>
  <si>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</si>
  <si>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</si>
  <si>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</si>
  <si>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</si>
  <si>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</si>
  <si>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</si>
  <si>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</si>
  <si>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</si>
  <si>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</si>
  <si>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</si>
  <si>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</si>
  <si>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</si>
  <si>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</si>
  <si>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</si>
  <si>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</si>
  <si>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</si>
  <si>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</si>
  <si>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</si>
  <si>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</si>
  <si>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</si>
  <si>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</si>
  <si>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</si>
  <si>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</si>
  <si>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</si>
  <si>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</si>
  <si>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</si>
  <si>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</si>
  <si>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</si>
  <si>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</si>
  <si>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</si>
  <si>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</si>
  <si>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</si>
  <si>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</si>
  <si>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</si>
  <si>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</si>
  <si>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</si>
  <si>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</si>
  <si>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</si>
  <si>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</si>
  <si>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</si>
  <si>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</si>
  <si>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</si>
  <si>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</si>
  <si>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</si>
  <si>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</si>
  <si>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</si>
  <si>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</si>
  <si>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</si>
  <si>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</si>
  <si>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</si>
  <si>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</si>
  <si>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</si>
  <si>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</si>
  <si>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</si>
  <si>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</si>
  <si>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</si>
  <si>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</si>
  <si>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</si>
  <si>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</si>
  <si>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</si>
  <si>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</si>
  <si>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</si>
  <si>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</si>
  <si>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</si>
  <si>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</si>
  <si>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</si>
  <si>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</si>
  <si>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</si>
  <si>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</si>
  <si>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</si>
  <si>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</si>
  <si>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</si>
  <si>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</si>
  <si>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</si>
  <si>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</si>
  <si>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</si>
  <si>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</si>
  <si>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</si>
  <si>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</si>
  <si>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</si>
  <si>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</si>
  <si>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</si>
  <si>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</si>
  <si>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</si>
  <si>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</si>
  <si>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</si>
  <si>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</si>
  <si>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</si>
  <si>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</si>
  <si>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</si>
  <si>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</si>
  <si>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</si>
  <si>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</si>
  <si>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</si>
  <si>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</si>
  <si>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</si>
  <si>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</si>
  <si>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</si>
  <si>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</si>
  <si>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shipment_value</t>
  </si>
  <si>
    <t>platform_charges</t>
  </si>
  <si>
    <t>shipping_charges</t>
  </si>
  <si>
    <t>gift_charges</t>
  </si>
  <si>
    <t>cashback</t>
  </si>
  <si>
    <t>wallet</t>
  </si>
  <si>
    <t>starts_from</t>
  </si>
  <si>
    <t>ends_on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</si>
  <si>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</si>
  <si>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</si>
  <si>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</si>
  <si>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</si>
  <si>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</si>
  <si>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</si>
  <si>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</si>
  <si>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</si>
  <si>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</si>
  <si>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</si>
  <si>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</si>
  <si>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</si>
  <si>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</si>
  <si>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</si>
  <si>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</si>
  <si>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</si>
  <si>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</si>
  <si>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</si>
  <si>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</si>
  <si>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</si>
  <si>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</si>
  <si>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</si>
  <si>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</si>
  <si>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</si>
  <si>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</si>
  <si>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</si>
  <si>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</si>
  <si>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</si>
  <si>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</si>
  <si>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</si>
  <si>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</si>
  <si>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</si>
  <si>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</si>
  <si>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</si>
  <si>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</si>
  <si>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</si>
  <si>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</si>
  <si>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</si>
  <si>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</si>
  <si>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</si>
  <si>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</si>
  <si>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</si>
  <si>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</si>
  <si>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</si>
  <si>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</si>
  <si>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</si>
  <si>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</si>
  <si>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</si>
  <si>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</si>
  <si>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</si>
  <si>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</si>
  <si>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</si>
  <si>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</si>
  <si>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</si>
  <si>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</si>
  <si>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</si>
  <si>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</si>
  <si>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</si>
  <si>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</si>
  <si>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</si>
  <si>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</si>
  <si>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</si>
  <si>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</si>
  <si>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</si>
  <si>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</si>
  <si>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</si>
  <si>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</si>
  <si>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</si>
  <si>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</si>
  <si>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</si>
  <si>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</si>
  <si>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</si>
  <si>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</si>
  <si>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</si>
  <si>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</si>
  <si>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</si>
  <si>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</si>
  <si>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</si>
  <si>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</si>
  <si>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</si>
  <si>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</si>
  <si>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</si>
  <si>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</si>
  <si>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</si>
  <si>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</si>
  <si>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</si>
  <si>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</si>
  <si>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</si>
  <si>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</si>
  <si>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</si>
  <si>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</si>
  <si>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</si>
  <si>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</si>
  <si>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</si>
  <si>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</si>
  <si>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</si>
  <si>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</si>
  <si>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</si>
  <si>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</si>
  <si>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</si>
  <si>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</si>
  <si>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</si>
  <si>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</si>
  <si>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</si>
  <si>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</si>
  <si>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</si>
  <si>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</si>
  <si>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</si>
  <si>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</si>
  <si>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</si>
  <si>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</si>
  <si>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</si>
  <si>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</si>
  <si>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</si>
  <si>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</si>
  <si>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</si>
  <si>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</si>
  <si>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</si>
  <si>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</si>
  <si>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</si>
  <si>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</si>
  <si>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</si>
  <si>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</si>
  <si>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</si>
  <si>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</si>
  <si>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</si>
  <si>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</si>
  <si>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</si>
  <si>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</si>
  <si>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</si>
  <si>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</si>
  <si>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</si>
  <si>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</si>
  <si>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</si>
  <si>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</si>
  <si>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</si>
  <si>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</si>
  <si>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</si>
  <si>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</si>
  <si>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</si>
  <si>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</si>
  <si>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</si>
  <si>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</si>
  <si>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</si>
  <si>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</si>
  <si>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</si>
  <si>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</si>
  <si>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</si>
  <si>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</si>
  <si>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</si>
  <si>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</si>
  <si>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</si>
  <si>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</si>
  <si>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</si>
  <si>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</si>
  <si>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</si>
  <si>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</si>
  <si>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</si>
  <si>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</si>
  <si>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</si>
  <si>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</si>
  <si>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</si>
  <si>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</si>
  <si>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</si>
  <si>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</si>
  <si>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</si>
  <si>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</si>
  <si>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</si>
  <si>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</si>
  <si>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</si>
  <si>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</si>
  <si>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</si>
  <si>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</si>
  <si>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</si>
  <si>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</si>
  <si>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</si>
  <si>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</si>
  <si>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</si>
  <si>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</si>
  <si>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</si>
  <si>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</si>
  <si>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</si>
  <si>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</si>
  <si>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</si>
  <si>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</si>
  <si>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</si>
  <si>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</si>
  <si>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</si>
  <si>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</si>
  <si>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</si>
  <si>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</si>
  <si>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</si>
  <si>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</si>
  <si>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</si>
  <si>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</si>
  <si>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</si>
  <si>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</si>
  <si>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</si>
  <si>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</si>
  <si>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</si>
  <si>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</si>
  <si>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</si>
  <si>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</si>
  <si>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</si>
  <si>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</si>
  <si>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</si>
  <si>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</si>
  <si>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</si>
  <si>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</si>
  <si>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</si>
  <si>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</si>
  <si>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</si>
  <si>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</si>
  <si>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</si>
  <si>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</si>
  <si>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</si>
  <si>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</si>
  <si>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</si>
  <si>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</si>
  <si>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</si>
  <si>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</si>
  <si>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</si>
  <si>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</si>
  <si>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</si>
  <si>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</si>
  <si>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</si>
  <si>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</si>
  <si>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</si>
  <si>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</si>
  <si>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</si>
  <si>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</si>
  <si>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</si>
  <si>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</si>
  <si>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</si>
  <si>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</si>
  <si>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</si>
  <si>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</si>
  <si>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</si>
  <si>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</si>
  <si>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</si>
  <si>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</si>
  <si>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</si>
  <si>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</si>
  <si>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</si>
  <si>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</si>
  <si>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</si>
  <si>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</si>
  <si>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</si>
  <si>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</si>
  <si>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</si>
  <si>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</si>
  <si>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</si>
  <si>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</si>
  <si>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</si>
  <si>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</si>
  <si>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</si>
  <si>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</si>
  <si>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</si>
  <si>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</si>
  <si>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</si>
  <si>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</si>
  <si>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</si>
  <si>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</si>
  <si>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</si>
  <si>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</si>
  <si>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</si>
  <si>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</si>
  <si>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</si>
  <si>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</si>
  <si>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</si>
  <si>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</si>
  <si>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</si>
  <si>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</si>
  <si>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</si>
  <si>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</si>
  <si>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</si>
  <si>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</si>
  <si>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</si>
  <si>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</si>
  <si>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</si>
  <si>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</si>
  <si>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</si>
  <si>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</si>
  <si>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</si>
  <si>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</si>
  <si>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</si>
  <si>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</si>
  <si>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</si>
  <si>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</si>
  <si>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</si>
  <si>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</si>
  <si>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</si>
  <si>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</si>
  <si>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</si>
  <si>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</si>
  <si>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</si>
  <si>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</si>
  <si>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</si>
  <si>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</si>
  <si>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</si>
  <si>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</si>
  <si>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</si>
  <si>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</si>
  <si>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</si>
  <si>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</si>
  <si>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</si>
  <si>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</si>
  <si>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Ecomm Com.</t>
  </si>
  <si>
    <t>MSH (2)</t>
  </si>
  <si>
    <t>AJIO</t>
  </si>
  <si>
    <t>C2</t>
  </si>
  <si>
    <t>C3</t>
  </si>
  <si>
    <t>C4</t>
  </si>
  <si>
    <t>C5</t>
  </si>
  <si>
    <t>C6</t>
  </si>
  <si>
    <t>C7</t>
  </si>
  <si>
    <t xml:space="preserve">MAHESH </t>
  </si>
  <si>
    <t>24AIFPJ6378M2ZR</t>
  </si>
  <si>
    <t>s</t>
  </si>
  <si>
    <t>\\ADITYA-TECH\All Sharing\Ecom Setup\Devlop\ecomm statment\ForwardReports.xlsx</t>
  </si>
  <si>
    <t>\\ADITYA-TECH\All Sharing\Ecom Setup\Devlop\ecomm statment\shop101\5890409_GST_SUPPLIER_cron_1738837198280.xlsx</t>
  </si>
  <si>
    <t>5 Tier-Black(1)-03</t>
  </si>
  <si>
    <t>D:\All Sharing\Ecom Setup\Devlop\ecomm statment\tcs_sales meesho.xlsx</t>
  </si>
  <si>
    <t>total_taxable_sale_value</t>
  </si>
  <si>
    <t>total_invoice_value</t>
  </si>
  <si>
    <t>C:\Users\AT\Desktop\tcs_sales_return.xlsx</t>
  </si>
  <si>
    <t>C:\Users\AT\Downloads\R.xlsx</t>
  </si>
  <si>
    <t>Ecom Com</t>
  </si>
  <si>
    <t>D:\All Sharing\Ecom Setup\Devlop\Flipcart\SALES REPORT.xlsx</t>
  </si>
  <si>
    <t>Order Billed From (State)</t>
  </si>
  <si>
    <t>D:\All Sharing\Ecom Setup\Devlop\ecomm statment\jio Invoice Report.xlsx</t>
  </si>
  <si>
    <t>500 - KETAN</t>
  </si>
  <si>
    <t>2.5</t>
  </si>
  <si>
    <t>0.0</t>
  </si>
  <si>
    <t>1</t>
  </si>
  <si>
    <t>5% (465455)</t>
  </si>
  <si>
    <t>Default</t>
  </si>
  <si>
    <t>C:\Users\AT\Documents\ajio.xlsx</t>
  </si>
  <si>
    <t>FN3307503408</t>
  </si>
  <si>
    <t>Thu Jul 31 14:20:08 IST 2025</t>
  </si>
  <si>
    <t>5120233653</t>
  </si>
  <si>
    <t>Thu Jul 31 00:00:00 IST 2025</t>
  </si>
  <si>
    <t>AJI15028</t>
  </si>
  <si>
    <t>Thu Jul 31 18:59:09 IST 2025</t>
  </si>
  <si>
    <t>AF25GJ183167376</t>
  </si>
  <si>
    <t>701045948069</t>
  </si>
  <si>
    <t>AJIO-1649</t>
  </si>
  <si>
    <t>1649-WT_34</t>
  </si>
  <si>
    <t>342.12</t>
  </si>
  <si>
    <t>8.15</t>
  </si>
  <si>
    <t>342.13</t>
  </si>
  <si>
    <t>325.83</t>
  </si>
  <si>
    <t>DV00338064</t>
  </si>
  <si>
    <t>OM ENTERPRISE</t>
  </si>
  <si>
    <t>FN7958605391</t>
  </si>
  <si>
    <t>Thu Jul 31 13:52:11 IST 2025</t>
  </si>
  <si>
    <t>5120233659</t>
  </si>
  <si>
    <t>AJI15027</t>
  </si>
  <si>
    <t>Thu Jul 31 18:46:46 IST 2025</t>
  </si>
  <si>
    <t>AF25GJ183165071</t>
  </si>
  <si>
    <t>700211961012</t>
  </si>
  <si>
    <t>AJI1162-AJI1524</t>
  </si>
  <si>
    <t>1164(AJIO)_PRL_XXL</t>
  </si>
  <si>
    <t>335.23</t>
  </si>
  <si>
    <t>7.98</t>
  </si>
  <si>
    <t>319.27</t>
  </si>
  <si>
    <t>FN7329604868</t>
  </si>
  <si>
    <t>Thu Jul 31 12:48:47 IST 2025</t>
  </si>
  <si>
    <t>5120233663</t>
  </si>
  <si>
    <t>AJI15026</t>
  </si>
  <si>
    <t>Thu Jul 31 18:46:35 IST 2025</t>
  </si>
  <si>
    <t>AF25GJ183165108</t>
  </si>
  <si>
    <t>Thu Jul 31 18:46:36 IST 2025</t>
  </si>
  <si>
    <t>701300619014</t>
  </si>
  <si>
    <t>AJI-1653</t>
  </si>
  <si>
    <t>1653-BG_L</t>
  </si>
  <si>
    <t>273.64</t>
  </si>
  <si>
    <t>6.52</t>
  </si>
  <si>
    <t>273.65</t>
  </si>
  <si>
    <t>260.61</t>
  </si>
  <si>
    <t>FN8029601783</t>
  </si>
  <si>
    <t>Thu Jul 31 17:56:19 IST 2025</t>
  </si>
  <si>
    <t>5120233658</t>
  </si>
  <si>
    <t>AJI15025</t>
  </si>
  <si>
    <t>Thu Jul 31 18:46:20 IST 2025</t>
  </si>
  <si>
    <t>AF25GJ183165047</t>
  </si>
  <si>
    <t>700211961020</t>
  </si>
  <si>
    <t>1162(AJIO)_BK_L</t>
  </si>
  <si>
    <t>FN8998604010</t>
  </si>
  <si>
    <t>Thu Jul 31 15:27:33 IST 2025</t>
  </si>
  <si>
    <t>5120233660</t>
  </si>
  <si>
    <t>AJI15024</t>
  </si>
  <si>
    <t>Thu Jul 31 18:46:09 IST 2025</t>
  </si>
  <si>
    <t>AF25GJ183165004</t>
  </si>
  <si>
    <t>701300619039</t>
  </si>
  <si>
    <t>1653-WT_M</t>
  </si>
  <si>
    <t>EX0032860010</t>
  </si>
  <si>
    <t>Thu Jul 31 16:50:08 IST 2025</t>
  </si>
  <si>
    <t>5120233657</t>
  </si>
  <si>
    <t>AJI15023</t>
  </si>
  <si>
    <t>Thu Jul 31 18:46:04 IST 2025</t>
  </si>
  <si>
    <t>AF25GJ183164988</t>
  </si>
  <si>
    <t>357.58</t>
  </si>
  <si>
    <t>8.51</t>
  </si>
  <si>
    <t>357.57</t>
  </si>
  <si>
    <t>340.55</t>
  </si>
  <si>
    <t>FN0598604600</t>
  </si>
  <si>
    <t>Thu Jul 31 11:44:23 IST 2025</t>
  </si>
  <si>
    <t>5120233656</t>
  </si>
  <si>
    <t>AJI15022</t>
  </si>
  <si>
    <t>Thu Jul 31 18:45:54 IST 2025</t>
  </si>
  <si>
    <t>AF25GJ183164961</t>
  </si>
  <si>
    <t>701000619009</t>
  </si>
  <si>
    <t>AJI-DPT-1499-1501</t>
  </si>
  <si>
    <t>1499_PNK_3XL</t>
  </si>
  <si>
    <t>479.4</t>
  </si>
  <si>
    <t>11.41</t>
  </si>
  <si>
    <t>479.39</t>
  </si>
  <si>
    <t>456.57</t>
  </si>
  <si>
    <t>FN7463600643</t>
  </si>
  <si>
    <t>Thu Jul 31 16:08:46 IST 2025</t>
  </si>
  <si>
    <t>5120233655</t>
  </si>
  <si>
    <t>AJI15021</t>
  </si>
  <si>
    <t>Thu Jul 31 18:45:53 IST 2025</t>
  </si>
  <si>
    <t>AF25GJ183164957</t>
  </si>
  <si>
    <t>701045948047</t>
  </si>
  <si>
    <t>1649-GRY_32</t>
  </si>
  <si>
    <t>FN6468606060</t>
  </si>
  <si>
    <t>Wed Jul 30 17:39:57 IST 2025</t>
  </si>
  <si>
    <t>5120044050</t>
  </si>
  <si>
    <t>Wed Jul 30 00:00:00 IST 2025</t>
  </si>
  <si>
    <t>AJI14992</t>
  </si>
  <si>
    <t>Wed Jul 30 19:31:38 IST 2025</t>
  </si>
  <si>
    <t>AF25GJ183070683</t>
  </si>
  <si>
    <t>Thu Jul 31 14:09:32 IST 2025</t>
  </si>
  <si>
    <t>701000619012</t>
  </si>
  <si>
    <t>1501_RD_XXL</t>
  </si>
  <si>
    <t>FN8319601891</t>
  </si>
  <si>
    <t>Wed Jul 30 23:31:20 IST 2025</t>
  </si>
  <si>
    <t>5120093947</t>
  </si>
  <si>
    <t>AJI15003</t>
  </si>
  <si>
    <t>Thu Jul 31 07:56:20 IST 2025</t>
  </si>
  <si>
    <t>AF25GJ183068892</t>
  </si>
  <si>
    <t>Thu Jul 31 14:04:27 IST 2025</t>
  </si>
  <si>
    <t>700211961009</t>
  </si>
  <si>
    <t>1426(AJIO)_BG_XXL</t>
  </si>
  <si>
    <t>FN7877605863</t>
  </si>
  <si>
    <t>Wed Jul 30 23:54:35 IST 2025</t>
  </si>
  <si>
    <t>5120093950</t>
  </si>
  <si>
    <t>AJI15004</t>
  </si>
  <si>
    <t>Thu Jul 31 07:56:30 IST 2025</t>
  </si>
  <si>
    <t>AF25GJ183068836</t>
  </si>
  <si>
    <t>Thu Jul 31 14:04:15 IST 2025</t>
  </si>
  <si>
    <t>700906377011</t>
  </si>
  <si>
    <t>AJIO1637-1640</t>
  </si>
  <si>
    <t>1637_BK_34</t>
  </si>
  <si>
    <t>326.79</t>
  </si>
  <si>
    <t>7.78</t>
  </si>
  <si>
    <t>311.23</t>
  </si>
  <si>
    <t>FN0126607038</t>
  </si>
  <si>
    <t>Wed Jul 30 23:27:03 IST 2025</t>
  </si>
  <si>
    <t>5120093949</t>
  </si>
  <si>
    <t>AJI15005</t>
  </si>
  <si>
    <t>Thu Jul 31 07:56:40 IST 2025</t>
  </si>
  <si>
    <t>AF25GJ183068762</t>
  </si>
  <si>
    <t>Thu Jul 31 14:04:08 IST 2025</t>
  </si>
  <si>
    <t>700906377009</t>
  </si>
  <si>
    <t>1640_BL_34</t>
  </si>
  <si>
    <t>FN7029609718</t>
  </si>
  <si>
    <t>Wed Jul 30 23:41:27 IST 2025</t>
  </si>
  <si>
    <t>5120093948</t>
  </si>
  <si>
    <t>AJI15006</t>
  </si>
  <si>
    <t>Thu Jul 31 07:56:50 IST 2025</t>
  </si>
  <si>
    <t>AF25GJ183068737</t>
  </si>
  <si>
    <t>Thu Jul 31 14:04:00 IST 2025</t>
  </si>
  <si>
    <t>700211961034</t>
  </si>
  <si>
    <t>1166(AJIO)_RM_M</t>
  </si>
  <si>
    <t>FN2067602834</t>
  </si>
  <si>
    <t>Thu Jul 31 10:49:31 IST 2025</t>
  </si>
  <si>
    <t>5120146351</t>
  </si>
  <si>
    <t>AJI15020</t>
  </si>
  <si>
    <t>Thu Jul 31 11:52:18 IST 2025</t>
  </si>
  <si>
    <t>AF25GJ183028563</t>
  </si>
  <si>
    <t>Thu Jul 31 11:52:21 IST 2025</t>
  </si>
  <si>
    <t>700211961021</t>
  </si>
  <si>
    <t>1164(AJIO)_PRL_XL</t>
  </si>
  <si>
    <t>FN2526608310</t>
  </si>
  <si>
    <t>Thu Jul 31 09:26:12 IST 2025</t>
  </si>
  <si>
    <t>5120146350</t>
  </si>
  <si>
    <t>AJI15019</t>
  </si>
  <si>
    <t>Thu Jul 31 11:52:07 IST 2025</t>
  </si>
  <si>
    <t>AF25GJ183028504</t>
  </si>
  <si>
    <t>Thu Jul 31 11:52:11 IST 2025</t>
  </si>
  <si>
    <t>700906377010</t>
  </si>
  <si>
    <t>1637_BK_32</t>
  </si>
  <si>
    <t>FN0019601121</t>
  </si>
  <si>
    <t>Thu Jul 31 01:30:02 IST 2025</t>
  </si>
  <si>
    <t>5120146347</t>
  </si>
  <si>
    <t>AJI15018</t>
  </si>
  <si>
    <t>Thu Jul 31 11:51:56 IST 2025</t>
  </si>
  <si>
    <t>AF25GJ183028412</t>
  </si>
  <si>
    <t>Thu Jul 31 11:51:57 IST 2025</t>
  </si>
  <si>
    <t>FN5198607696</t>
  </si>
  <si>
    <t>Thu Jul 31 01:40:36 IST 2025</t>
  </si>
  <si>
    <t>5120146349</t>
  </si>
  <si>
    <t>AJI15017</t>
  </si>
  <si>
    <t>Thu Jul 31 11:51:45 IST 2025</t>
  </si>
  <si>
    <t>AF25GJ183028374</t>
  </si>
  <si>
    <t>700211961014</t>
  </si>
  <si>
    <t>1426(AJIO)_BG_XL</t>
  </si>
  <si>
    <t>FN2083306553</t>
  </si>
  <si>
    <t>Thu Jul 31 03:06:07 IST 2025</t>
  </si>
  <si>
    <t>5120146346</t>
  </si>
  <si>
    <t>AJI15016</t>
  </si>
  <si>
    <t>Thu Jul 31 11:51:33 IST 2025</t>
  </si>
  <si>
    <t>AF25GJ183028332</t>
  </si>
  <si>
    <t>Thu Jul 31 11:51:34 IST 2025</t>
  </si>
  <si>
    <t>700211961022</t>
  </si>
  <si>
    <t>1426(AJIO)_BG_L</t>
  </si>
  <si>
    <t>FN3329607532</t>
  </si>
  <si>
    <t>Thu Jul 31 10:05:00 IST 2025</t>
  </si>
  <si>
    <t>5120146348</t>
  </si>
  <si>
    <t>AJI15015</t>
  </si>
  <si>
    <t>Thu Jul 31 11:51:22 IST 2025</t>
  </si>
  <si>
    <t>AF25GJ183028296</t>
  </si>
  <si>
    <t>Thu Jul 31 11:51:23 IST 2025</t>
  </si>
  <si>
    <t>701199126009</t>
  </si>
  <si>
    <t>AJIO-1656-57</t>
  </si>
  <si>
    <t>AJI-1658-BRN_XL</t>
  </si>
  <si>
    <t>545.72</t>
  </si>
  <si>
    <t>12.99</t>
  </si>
  <si>
    <t>545.71</t>
  </si>
  <si>
    <t>519.73</t>
  </si>
  <si>
    <t>FN7278607624</t>
  </si>
  <si>
    <t>Thu Jul 31 07:54:20 IST 2025</t>
  </si>
  <si>
    <t>5120146344</t>
  </si>
  <si>
    <t>AJI15014</t>
  </si>
  <si>
    <t>Thu Jul 31 11:51:11 IST 2025</t>
  </si>
  <si>
    <t>AF25GJ183028235</t>
  </si>
  <si>
    <t>Thu Jul 31 11:51:14 IST 2025</t>
  </si>
  <si>
    <t>700659603030</t>
  </si>
  <si>
    <t>AJI1589-95</t>
  </si>
  <si>
    <t>1591_RD_XL</t>
  </si>
  <si>
    <t>388.9</t>
  </si>
  <si>
    <t>9.26</t>
  </si>
  <si>
    <t>370.38</t>
  </si>
  <si>
    <t>FN2747604621</t>
  </si>
  <si>
    <t>Thu Jul 31 00:10:48 IST 2025</t>
  </si>
  <si>
    <t>5120146345</t>
  </si>
  <si>
    <t>AJI15013</t>
  </si>
  <si>
    <t>Thu Jul 31 11:51:00 IST 2025</t>
  </si>
  <si>
    <t>AF25GJ183028173</t>
  </si>
  <si>
    <t>700659603034</t>
  </si>
  <si>
    <t>1595_GRN_L</t>
  </si>
  <si>
    <t>FN7029608947</t>
  </si>
  <si>
    <t>Thu Jul 31 00:54:19 IST 2025</t>
  </si>
  <si>
    <t>5120146342</t>
  </si>
  <si>
    <t>AJI15012</t>
  </si>
  <si>
    <t>Thu Jul 31 11:50:48 IST 2025</t>
  </si>
  <si>
    <t>AF25GJ183028086</t>
  </si>
  <si>
    <t>Thu Jul 31 11:50:49 IST 2025</t>
  </si>
  <si>
    <t>EX0032832693</t>
  </si>
  <si>
    <t>Thu Jul 31 11:26:06 IST 2025</t>
  </si>
  <si>
    <t>5120146353</t>
  </si>
  <si>
    <t>AJI15011</t>
  </si>
  <si>
    <t>Thu Jul 31 11:50:37 IST 2025</t>
  </si>
  <si>
    <t>AF25GJ183028045</t>
  </si>
  <si>
    <t>Thu Jul 31 11:50:39 IST 2025</t>
  </si>
  <si>
    <t>700211961027</t>
  </si>
  <si>
    <t>1163(AJIO)_GRY_XL</t>
  </si>
  <si>
    <t>324.05</t>
  </si>
  <si>
    <t>7.72</t>
  </si>
  <si>
    <t>324.06</t>
  </si>
  <si>
    <t>308.62</t>
  </si>
  <si>
    <t>FN4837608493</t>
  </si>
  <si>
    <t>Wed Jul 30 09:02:15 IST 2025</t>
  </si>
  <si>
    <t>5120103325</t>
  </si>
  <si>
    <t>AJI15010</t>
  </si>
  <si>
    <t>Thu Jul 31 08:35:50 IST 2025</t>
  </si>
  <si>
    <t>AF25GJ182947238</t>
  </si>
  <si>
    <t>Thu Jul 31 08:35:51 IST 2025</t>
  </si>
  <si>
    <t>701000619010</t>
  </si>
  <si>
    <t>1501_RD_3XL</t>
  </si>
  <si>
    <t>491.69</t>
  </si>
  <si>
    <t>11.71</t>
  </si>
  <si>
    <t>491.7</t>
  </si>
  <si>
    <t>468.28</t>
  </si>
  <si>
    <t>FN0334604763</t>
  </si>
  <si>
    <t>Wed Jul 30 22:46:09 IST 2025</t>
  </si>
  <si>
    <t>5120093953</t>
  </si>
  <si>
    <t>AJI15009</t>
  </si>
  <si>
    <t>Thu Jul 31 07:57:22 IST 2025</t>
  </si>
  <si>
    <t>AF25GJ182941126</t>
  </si>
  <si>
    <t>FN9129609998</t>
  </si>
  <si>
    <t>Wed Jul 30 20:05:33 IST 2025</t>
  </si>
  <si>
    <t>5120093952</t>
  </si>
  <si>
    <t>AJI15008</t>
  </si>
  <si>
    <t>Thu Jul 31 07:57:11 IST 2025</t>
  </si>
  <si>
    <t>AF25GJ182941080</t>
  </si>
  <si>
    <t>701045948005</t>
  </si>
  <si>
    <t>1649-BG_38</t>
  </si>
  <si>
    <t>FN8542604953</t>
  </si>
  <si>
    <t>Wed Jul 30 20:58:59 IST 2025</t>
  </si>
  <si>
    <t>5120093951</t>
  </si>
  <si>
    <t>AJI15007</t>
  </si>
  <si>
    <t>Thu Jul 31 07:57:00 IST 2025</t>
  </si>
  <si>
    <t>AF25GJ182941039</t>
  </si>
  <si>
    <t>701045948059</t>
  </si>
  <si>
    <t>1649-NBL_36</t>
  </si>
  <si>
    <t>FN6229606965</t>
  </si>
  <si>
    <t>Wed Jul 30 23:28:08 IST 2025</t>
  </si>
  <si>
    <t>5120093946</t>
  </si>
  <si>
    <t>AJI15002</t>
  </si>
  <si>
    <t>Thu Jul 31 07:56:08 IST 2025</t>
  </si>
  <si>
    <t>AF25GJ182940910</t>
  </si>
  <si>
    <t>Thu Jul 31 07:56:09 IST 2025</t>
  </si>
  <si>
    <t>701300619037</t>
  </si>
  <si>
    <t>1653-WT_XL</t>
  </si>
  <si>
    <t>FN7229606382</t>
  </si>
  <si>
    <t>Wed Jul 30 23:39:29 IST 2025</t>
  </si>
  <si>
    <t>5120093945</t>
  </si>
  <si>
    <t>AJI15001</t>
  </si>
  <si>
    <t>Thu Jul 31 07:55:56 IST 2025</t>
  </si>
  <si>
    <t>AF25GJ182940903</t>
  </si>
  <si>
    <t>Thu Jul 31 07:55:57 IST 2025</t>
  </si>
  <si>
    <t>FN9909605387</t>
  </si>
  <si>
    <t>Wed Jul 30 10:01:22 IST 2025</t>
  </si>
  <si>
    <t>5120044064</t>
  </si>
  <si>
    <t>AJI15000</t>
  </si>
  <si>
    <t>Thu Jul 31 07:55:08 IST 2025</t>
  </si>
  <si>
    <t>AF25GJ182940865</t>
  </si>
  <si>
    <t>Thu Jul 31 07:55:09 IST 2025</t>
  </si>
  <si>
    <t>700906377005</t>
  </si>
  <si>
    <t>1639_GRY_36</t>
  </si>
  <si>
    <t>335.18</t>
  </si>
  <si>
    <t>319.22</t>
  </si>
  <si>
    <t>700906377008</t>
  </si>
  <si>
    <t>1640_BL_36</t>
  </si>
  <si>
    <t>FN1819602333</t>
  </si>
  <si>
    <t>Wed Jul 30 17:07:40 IST 2025</t>
  </si>
  <si>
    <t>5120044041</t>
  </si>
  <si>
    <t>AJI14999</t>
  </si>
  <si>
    <t>Thu Jul 31 07:54:56 IST 2025</t>
  </si>
  <si>
    <t>AF25GJ182940837</t>
  </si>
  <si>
    <t>Thu Jul 31 07:54:57 IST 2025</t>
  </si>
  <si>
    <t>701045948057</t>
  </si>
  <si>
    <t>1649-NBL_32</t>
  </si>
  <si>
    <t>FN0319609019</t>
  </si>
  <si>
    <t>Wed Jul 30 10:56:20 IST 2025</t>
  </si>
  <si>
    <t>5120044037</t>
  </si>
  <si>
    <t>AJI14998</t>
  </si>
  <si>
    <t>Thu Jul 31 07:54:45 IST 2025</t>
  </si>
  <si>
    <t>AF25GJ182940844</t>
  </si>
  <si>
    <t>Thu Jul 31 07:54:46 IST 2025</t>
  </si>
  <si>
    <t>700659603005</t>
  </si>
  <si>
    <t>1594_MRN_M</t>
  </si>
  <si>
    <t>402.32</t>
  </si>
  <si>
    <t>9.58</t>
  </si>
  <si>
    <t>383.16</t>
  </si>
  <si>
    <t>FN1109600151</t>
  </si>
  <si>
    <t>Wed Jul 30 08:50:52 IST 2025</t>
  </si>
  <si>
    <t>5120044047</t>
  </si>
  <si>
    <t>AJI14997</t>
  </si>
  <si>
    <t>Thu Jul 31 07:54:33 IST 2025</t>
  </si>
  <si>
    <t>AF25GJ182940827</t>
  </si>
  <si>
    <t>Thu Jul 31 07:54:34 IST 2025</t>
  </si>
  <si>
    <t>701000619001</t>
  </si>
  <si>
    <t>1499_PNK_M</t>
  </si>
  <si>
    <t>FN6668607239</t>
  </si>
  <si>
    <t>Wed Jul 30 14:28:13 IST 2025</t>
  </si>
  <si>
    <t>5120044046</t>
  </si>
  <si>
    <t>AJI14996</t>
  </si>
  <si>
    <t>Thu Jul 31 07:54:22 IST 2025</t>
  </si>
  <si>
    <t>AF25GJ182940809</t>
  </si>
  <si>
    <t>466956028013</t>
  </si>
  <si>
    <t>AJIO1188-1191</t>
  </si>
  <si>
    <t>1188_BK_L</t>
  </si>
  <si>
    <t>246.89</t>
  </si>
  <si>
    <t>5.88</t>
  </si>
  <si>
    <t>235.13</t>
  </si>
  <si>
    <t>FN3648609370</t>
  </si>
  <si>
    <t>Wed Jul 30 14:31:48 IST 2025</t>
  </si>
  <si>
    <t>5120044052</t>
  </si>
  <si>
    <t>AJI14995</t>
  </si>
  <si>
    <t>Wed Jul 30 19:32:10 IST 2025</t>
  </si>
  <si>
    <t>AF25GJ182893940</t>
  </si>
  <si>
    <t>Wed Jul 30 19:32:11 IST 2025</t>
  </si>
  <si>
    <t>700211961030</t>
  </si>
  <si>
    <t>1163(AJIO)_GRY_XXL</t>
  </si>
  <si>
    <t>FN8665609669</t>
  </si>
  <si>
    <t>Wed Jul 30 17:24:22 IST 2025</t>
  </si>
  <si>
    <t>5120044049</t>
  </si>
  <si>
    <t>AJI14994</t>
  </si>
  <si>
    <t>Wed Jul 30 19:31:59 IST 2025</t>
  </si>
  <si>
    <t>AF25GJ182893892</t>
  </si>
  <si>
    <t>Wed Jul 30 19:32:00 IST 2025</t>
  </si>
  <si>
    <t>701199126006</t>
  </si>
  <si>
    <t>AJI-1657-GRN_XXL</t>
  </si>
  <si>
    <t>EX0032847183</t>
  </si>
  <si>
    <t>Wed Jul 30 19:05:08 IST 2025</t>
  </si>
  <si>
    <t>5120044051</t>
  </si>
  <si>
    <t>AJI14993</t>
  </si>
  <si>
    <t>Wed Jul 30 19:31:48 IST 2025</t>
  </si>
  <si>
    <t>AF25GJ182893843</t>
  </si>
  <si>
    <t>Wed Jul 30 19:31:49 IST 2025</t>
  </si>
  <si>
    <t>700211961033</t>
  </si>
  <si>
    <t>1166(AJIO)_RM_L</t>
  </si>
  <si>
    <t>FN6129608390</t>
  </si>
  <si>
    <t>Wed Jul 30 17:34:57 IST 2025</t>
  </si>
  <si>
    <t>5120044065</t>
  </si>
  <si>
    <t>AJI14991</t>
  </si>
  <si>
    <t>Wed Jul 30 19:31:27 IST 2025</t>
  </si>
  <si>
    <t>AF25GJ182893755</t>
  </si>
  <si>
    <t>FN7284604912</t>
  </si>
  <si>
    <t>Wed Jul 30 15:00:55 IST 2025</t>
  </si>
  <si>
    <t>5120044048</t>
  </si>
  <si>
    <t>AJI14990</t>
  </si>
  <si>
    <t>Wed Jul 30 19:31:15 IST 2025</t>
  </si>
  <si>
    <t>AF25GJ182893729</t>
  </si>
  <si>
    <t>701045948024</t>
  </si>
  <si>
    <t>1649-BK_36</t>
  </si>
  <si>
    <t>EX0032816805</t>
  </si>
  <si>
    <t>Wed Jul 30 12:40:43 IST 2025</t>
  </si>
  <si>
    <t>5120044045</t>
  </si>
  <si>
    <t>AJI14989</t>
  </si>
  <si>
    <t>Wed Jul 30 19:31:04 IST 2025</t>
  </si>
  <si>
    <t>AF25GJ182893654</t>
  </si>
  <si>
    <t>701199126001</t>
  </si>
  <si>
    <t>AJI-1657-GRN_L</t>
  </si>
  <si>
    <t>558.12</t>
  </si>
  <si>
    <t>13.29</t>
  </si>
  <si>
    <t>531.54</t>
  </si>
  <si>
    <t>FN4511501139</t>
  </si>
  <si>
    <t>Wed Jul 30 12:53:28 IST 2025</t>
  </si>
  <si>
    <t>5120044031</t>
  </si>
  <si>
    <t>AJI14988</t>
  </si>
  <si>
    <t>Wed Jul 30 19:30:53 IST 2025</t>
  </si>
  <si>
    <t>AF25GJ182893647</t>
  </si>
  <si>
    <t>701045948026</t>
  </si>
  <si>
    <t>1649-BRN_32</t>
  </si>
  <si>
    <t>349.09</t>
  </si>
  <si>
    <t>8.31</t>
  </si>
  <si>
    <t>332.47</t>
  </si>
  <si>
    <t>FN5029600620</t>
  </si>
  <si>
    <t>Wed Jul 30 10:46:31 IST 2025</t>
  </si>
  <si>
    <t>5120044039</t>
  </si>
  <si>
    <t>AJI14987</t>
  </si>
  <si>
    <t>Wed Jul 30 19:30:41 IST 2025</t>
  </si>
  <si>
    <t>AF25GJ182893641</t>
  </si>
  <si>
    <t>Wed Jul 30 19:30:42 IST 2025</t>
  </si>
  <si>
    <t>700659603024</t>
  </si>
  <si>
    <t>1593_GRY_L</t>
  </si>
  <si>
    <t>FN2893603923</t>
  </si>
  <si>
    <t>Wed Jul 30 02:53:02 IST 2025</t>
  </si>
  <si>
    <t>5119916439</t>
  </si>
  <si>
    <t>AJI14986</t>
  </si>
  <si>
    <t>Wed Jul 30 19:27:08 IST 2025</t>
  </si>
  <si>
    <t>AF25GJ182893098</t>
  </si>
  <si>
    <t>FN8104603655</t>
  </si>
  <si>
    <t>Tue Jul 29 15:59:25 IST 2025</t>
  </si>
  <si>
    <t>5119948060</t>
  </si>
  <si>
    <t>AJI14985</t>
  </si>
  <si>
    <t>Wed Jul 30 11:00:55 IST 2025</t>
  </si>
  <si>
    <t>AF25GJ182733843</t>
  </si>
  <si>
    <t>Wed Jul 30 11:00:56 IST 2025</t>
  </si>
  <si>
    <t>700376176002</t>
  </si>
  <si>
    <t>AJIO-1509</t>
  </si>
  <si>
    <t>1509_BG_XS</t>
  </si>
  <si>
    <t>318.47</t>
  </si>
  <si>
    <t>7.58</t>
  </si>
  <si>
    <t>318.46</t>
  </si>
  <si>
    <t>303.3</t>
  </si>
  <si>
    <t>AJIO-1596-97</t>
  </si>
  <si>
    <t>700329824002</t>
  </si>
  <si>
    <t>AJIO-1510-1513</t>
  </si>
  <si>
    <t>1511_BK_XS</t>
  </si>
  <si>
    <t>700329846003</t>
  </si>
  <si>
    <t>AJIO-1502-05</t>
  </si>
  <si>
    <t>1503_PNK_XS</t>
  </si>
  <si>
    <t>FN1409603850</t>
  </si>
  <si>
    <t>Wed Jul 30 00:20:15 IST 2025</t>
  </si>
  <si>
    <t>5119908496</t>
  </si>
  <si>
    <t>AJI14984</t>
  </si>
  <si>
    <t>Wed Jul 30 08:32:41 IST 2025</t>
  </si>
  <si>
    <t>AF25GJ182675126</t>
  </si>
  <si>
    <t>Wed Jul 30 08:32:42 IST 2025</t>
  </si>
  <si>
    <t>700659603018</t>
  </si>
  <si>
    <t>1592_CRM_L</t>
  </si>
  <si>
    <t>FN5915605003</t>
  </si>
  <si>
    <t>Wed Jul 30 04:00:53 IST 2025</t>
  </si>
  <si>
    <t>5119908495</t>
  </si>
  <si>
    <t>AJI14983</t>
  </si>
  <si>
    <t>Wed Jul 30 08:32:30 IST 2025</t>
  </si>
  <si>
    <t>AF25GJ182675090</t>
  </si>
  <si>
    <t>Wed Jul 30 08:32:31 IST 2025</t>
  </si>
  <si>
    <t>700211961026</t>
  </si>
  <si>
    <t>1163(AJIO)_GRY_L</t>
  </si>
  <si>
    <t>FN5245506435</t>
  </si>
  <si>
    <t>Wed Jul 30 02:11:08 IST 2025</t>
  </si>
  <si>
    <t>5119908500</t>
  </si>
  <si>
    <t>AJI14982</t>
  </si>
  <si>
    <t>Wed Jul 30 08:05:45 IST 2025</t>
  </si>
  <si>
    <t>AF25GJ182668982</t>
  </si>
  <si>
    <t>Wed Jul 30 08:05:46 IST 2025</t>
  </si>
  <si>
    <t>701199126003</t>
  </si>
  <si>
    <t>AJI-1657-GRN_XL</t>
  </si>
  <si>
    <t>FN8919601628</t>
  </si>
  <si>
    <t>Wed Jul 30 00:11:47 IST 2025</t>
  </si>
  <si>
    <t>5119908497</t>
  </si>
  <si>
    <t>AJI14981</t>
  </si>
  <si>
    <t>Wed Jul 30 08:05:34 IST 2025</t>
  </si>
  <si>
    <t>AF25GJ182668963</t>
  </si>
  <si>
    <t>701300619036</t>
  </si>
  <si>
    <t>1653-WT_S</t>
  </si>
  <si>
    <t>279.22</t>
  </si>
  <si>
    <t>6.65</t>
  </si>
  <si>
    <t>265.92</t>
  </si>
  <si>
    <t>FN1077600808</t>
  </si>
  <si>
    <t>Tue Jul 29 20:08:42 IST 2025</t>
  </si>
  <si>
    <t>5119906880</t>
  </si>
  <si>
    <t>AJI14977</t>
  </si>
  <si>
    <t>Wed Jul 30 07:59:06 IST 2025</t>
  </si>
  <si>
    <t>AF25GJ182668369</t>
  </si>
  <si>
    <t>Wed Jul 30 07:59:07 IST 2025</t>
  </si>
  <si>
    <t>700329846008</t>
  </si>
  <si>
    <t>1502_BL_M</t>
  </si>
  <si>
    <t>FN6426603489</t>
  </si>
  <si>
    <t>Tue Jul 29 23:30:23 IST 2025</t>
  </si>
  <si>
    <t>5119906863</t>
  </si>
  <si>
    <t>AJI14980</t>
  </si>
  <si>
    <t>Wed Jul 30 07:58:33 IST 2025</t>
  </si>
  <si>
    <t>AF25GJ182668217</t>
  </si>
  <si>
    <t>701199126004</t>
  </si>
  <si>
    <t>AJI-1657-GRN_M</t>
  </si>
  <si>
    <t>FN6919604174</t>
  </si>
  <si>
    <t>Tue Jul 29 23:37:59 IST 2025</t>
  </si>
  <si>
    <t>5119906873</t>
  </si>
  <si>
    <t>AJI14979</t>
  </si>
  <si>
    <t>Wed Jul 30 07:58:21 IST 2025</t>
  </si>
  <si>
    <t>AF25GJ182668157</t>
  </si>
  <si>
    <t>Wed Jul 30 07:58:22 IST 2025</t>
  </si>
  <si>
    <t>701045948071</t>
  </si>
  <si>
    <t>1649-WT_36</t>
  </si>
  <si>
    <t>FN1919601960</t>
  </si>
  <si>
    <t>Tue Jul 29 20:27:05 IST 2025</t>
  </si>
  <si>
    <t>5119906878</t>
  </si>
  <si>
    <t>AJI14976</t>
  </si>
  <si>
    <t>Wed Jul 30 07:57:32 IST 2025</t>
  </si>
  <si>
    <t>AF25GJ182667922</t>
  </si>
  <si>
    <t>Wed Jul 30 07:57:37 IST 2025</t>
  </si>
  <si>
    <t>701300619040</t>
  </si>
  <si>
    <t>1653-WT_L</t>
  </si>
  <si>
    <t>FN3609609628</t>
  </si>
  <si>
    <t>Tue Jul 29 21:14:48 IST 2025</t>
  </si>
  <si>
    <t>5119906879</t>
  </si>
  <si>
    <t>AJI14975</t>
  </si>
  <si>
    <t>Wed Jul 30 07:57:20 IST 2025</t>
  </si>
  <si>
    <t>AF25GJ182667843</t>
  </si>
  <si>
    <t>Wed Jul 30 07:57:26 IST 2025</t>
  </si>
  <si>
    <t>FN8598600694</t>
  </si>
  <si>
    <t>Tue Jul 29 21:15:40 IST 2025</t>
  </si>
  <si>
    <t>5119906877</t>
  </si>
  <si>
    <t>AJI14974</t>
  </si>
  <si>
    <t>Wed Jul 30 07:57:17 IST 2025</t>
  </si>
  <si>
    <t>AF25GJ182667819</t>
  </si>
  <si>
    <t>Wed Jul 30 07:57:23 IST 2025</t>
  </si>
  <si>
    <t>700906377007</t>
  </si>
  <si>
    <t>1640_BL_32</t>
  </si>
  <si>
    <t>FN9358604284</t>
  </si>
  <si>
    <t>Tue Jul 29 21:22:02 IST 2025</t>
  </si>
  <si>
    <t>5119906872</t>
  </si>
  <si>
    <t>AJI14973</t>
  </si>
  <si>
    <t>Wed Jul 30 07:57:07 IST 2025</t>
  </si>
  <si>
    <t>AF25GJ182667739</t>
  </si>
  <si>
    <t>701045948067</t>
  </si>
  <si>
    <t>1649-WT_28</t>
  </si>
  <si>
    <t>EX0032819471</t>
  </si>
  <si>
    <t>Tue Jul 29 21:35:08 IST 2025</t>
  </si>
  <si>
    <t>5119906876</t>
  </si>
  <si>
    <t>AJI14972</t>
  </si>
  <si>
    <t>Wed Jul 30 07:57:00 IST 2025</t>
  </si>
  <si>
    <t>AF25GJ182667529</t>
  </si>
  <si>
    <t>Wed Jul 30 07:57:05 IST 2025</t>
  </si>
  <si>
    <t>700211961003</t>
  </si>
  <si>
    <t>1164(AJIO)_PRL_M</t>
  </si>
  <si>
    <t>FN3919609684</t>
  </si>
  <si>
    <t>Tue Jul 29 21:31:37 IST 2025</t>
  </si>
  <si>
    <t>5119906871</t>
  </si>
  <si>
    <t>AJI14971</t>
  </si>
  <si>
    <t>Wed Jul 30 07:56:48 IST 2025</t>
  </si>
  <si>
    <t>AF25GJ182667684</t>
  </si>
  <si>
    <t>Wed Jul 30 07:56:53 IST 2025</t>
  </si>
  <si>
    <t>701045948034</t>
  </si>
  <si>
    <t>1649-DBRN_30</t>
  </si>
  <si>
    <t>FN2209600524</t>
  </si>
  <si>
    <t>Tue Jul 29 22:35:53 IST 2025</t>
  </si>
  <si>
    <t>5119906868</t>
  </si>
  <si>
    <t>AJI14970</t>
  </si>
  <si>
    <t>Wed Jul 30 07:56:37 IST 2025</t>
  </si>
  <si>
    <t>AF25GJ182667616</t>
  </si>
  <si>
    <t>Wed Jul 30 07:56:38 IST 2025</t>
  </si>
  <si>
    <t>FN8088607081</t>
  </si>
  <si>
    <t>Tue Jul 29 21:47:21 IST 2025</t>
  </si>
  <si>
    <t>5119906869</t>
  </si>
  <si>
    <t>AJI14969</t>
  </si>
  <si>
    <t>AF25GJ182667613</t>
  </si>
  <si>
    <t>FN7609602702</t>
  </si>
  <si>
    <t>Tue Jul 29 22:12:34 IST 2025</t>
  </si>
  <si>
    <t>5119906870</t>
  </si>
  <si>
    <t>AJI14968</t>
  </si>
  <si>
    <t>Wed Jul 30 07:56:26 IST 2025</t>
  </si>
  <si>
    <t>AF25GJ182667586</t>
  </si>
  <si>
    <t>700211961028</t>
  </si>
  <si>
    <t>1163(AJIO)_GRY_M</t>
  </si>
  <si>
    <t>FN8219606016</t>
  </si>
  <si>
    <t>Tue Jul 29 23:13:46 IST 2025</t>
  </si>
  <si>
    <t>5119906875</t>
  </si>
  <si>
    <t>AJI14967</t>
  </si>
  <si>
    <t>Wed Jul 30 07:56:11 IST 2025</t>
  </si>
  <si>
    <t>AF25GJ182667575</t>
  </si>
  <si>
    <t>FN7865605432</t>
  </si>
  <si>
    <t>Tue Jul 29 23:29:48 IST 2025</t>
  </si>
  <si>
    <t>5119906866</t>
  </si>
  <si>
    <t>AJI14965</t>
  </si>
  <si>
    <t>Wed Jul 30 07:56:00 IST 2025</t>
  </si>
  <si>
    <t>AF25GJ182667563</t>
  </si>
  <si>
    <t>467072551022</t>
  </si>
  <si>
    <t>1323-1333AJI</t>
  </si>
  <si>
    <t>AJI-1325_NBL_M</t>
  </si>
  <si>
    <t>553.16</t>
  </si>
  <si>
    <t>13.17</t>
  </si>
  <si>
    <t>526.82</t>
  </si>
  <si>
    <t>FN3109604600</t>
  </si>
  <si>
    <t>Tue Jul 29 19:34:04 IST 2025</t>
  </si>
  <si>
    <t>5119906867</t>
  </si>
  <si>
    <t>AJI14966</t>
  </si>
  <si>
    <t>AF25GJ182667564</t>
  </si>
  <si>
    <t>701037328004</t>
  </si>
  <si>
    <t>AJIO-1098</t>
  </si>
  <si>
    <t>AJI-1098_BK_S</t>
  </si>
  <si>
    <t>195.46</t>
  </si>
  <si>
    <t>4.65</t>
  </si>
  <si>
    <t>195.45</t>
  </si>
  <si>
    <t>186.15</t>
  </si>
  <si>
    <t>FN4907604926</t>
  </si>
  <si>
    <t>Tue Jul 29 23:10:57 IST 2025</t>
  </si>
  <si>
    <t>5119906865</t>
  </si>
  <si>
    <t>AJI14964</t>
  </si>
  <si>
    <t>Wed Jul 30 07:55:49 IST 2025</t>
  </si>
  <si>
    <t>AF25GJ182667551</t>
  </si>
  <si>
    <t>FN1144608221</t>
  </si>
  <si>
    <t>Tue Jul 29 23:12:22 IST 2025</t>
  </si>
  <si>
    <t>5119906874</t>
  </si>
  <si>
    <t>AJI14963</t>
  </si>
  <si>
    <t>Wed Jul 30 07:55:37 IST 2025</t>
  </si>
  <si>
    <t>AF25GJ182667542</t>
  </si>
  <si>
    <t>Wed Jul 30 07:55:38 IST 2025</t>
  </si>
  <si>
    <t>FN3558602479</t>
  </si>
  <si>
    <t>Tue Jul 29 12:37:27 IST 2025</t>
  </si>
  <si>
    <t>5119858923</t>
  </si>
  <si>
    <t>Tue Jul 29 00:00:00 IST 2025</t>
  </si>
  <si>
    <t>AJI14962</t>
  </si>
  <si>
    <t>Tue Jul 29 19:17:47 IST 2025</t>
  </si>
  <si>
    <t>AF25GJ182618519</t>
  </si>
  <si>
    <t>Tue Jul 29 19:17:48 IST 2025</t>
  </si>
  <si>
    <t>700211961032</t>
  </si>
  <si>
    <t>1166(AJIO)_RM_XL</t>
  </si>
  <si>
    <t>FN0388605374</t>
  </si>
  <si>
    <t>Tue Jul 29 18:32:09 IST 2025</t>
  </si>
  <si>
    <t>5119858921</t>
  </si>
  <si>
    <t>AJI14961</t>
  </si>
  <si>
    <t>Tue Jul 29 19:17:36 IST 2025</t>
  </si>
  <si>
    <t>AF25GJ182618472</t>
  </si>
  <si>
    <t>FN9698609219</t>
  </si>
  <si>
    <t>Tue Jul 29 16:30:40 IST 2025</t>
  </si>
  <si>
    <t>5119858918</t>
  </si>
  <si>
    <t>AJI14960</t>
  </si>
  <si>
    <t>Tue Jul 29 19:17:25 IST 2025</t>
  </si>
  <si>
    <t>AF25GJ182618447</t>
  </si>
  <si>
    <t>701045948023</t>
  </si>
  <si>
    <t>1649-BK_34</t>
  </si>
  <si>
    <t>FN6719609217</t>
  </si>
  <si>
    <t>Tue Jul 29 13:21:12 IST 2025</t>
  </si>
  <si>
    <t>5119858914</t>
  </si>
  <si>
    <t>AJI14959</t>
  </si>
  <si>
    <t>Tue Jul 29 19:17:13 IST 2025</t>
  </si>
  <si>
    <t>AF25GJ182618404</t>
  </si>
  <si>
    <t>Tue Jul 29 19:17:14 IST 2025</t>
  </si>
  <si>
    <t>FN7288603356</t>
  </si>
  <si>
    <t>Tue Jul 29 16:42:50 IST 2025</t>
  </si>
  <si>
    <t>5119858926</t>
  </si>
  <si>
    <t>AJI14958</t>
  </si>
  <si>
    <t>Tue Jul 29 19:17:02 IST 2025</t>
  </si>
  <si>
    <t>AF25GJ182618341</t>
  </si>
  <si>
    <t>Tue Jul 29 19:17:03 IST 2025</t>
  </si>
  <si>
    <t>FN9519608166</t>
  </si>
  <si>
    <t>Tue Jul 29 13:38:53 IST 2025</t>
  </si>
  <si>
    <t>5119858927</t>
  </si>
  <si>
    <t>AJI14957</t>
  </si>
  <si>
    <t>Tue Jul 29 19:01:01 IST 2025</t>
  </si>
  <si>
    <t>AF25GJ182614925</t>
  </si>
  <si>
    <t>Tue Jul 29 19:01:02 IST 2025</t>
  </si>
  <si>
    <t>701045948048</t>
  </si>
  <si>
    <t>1649-GRY_30</t>
  </si>
  <si>
    <t>FN3819603394</t>
  </si>
  <si>
    <t>Tue Jul 29 15:44:38 IST 2025</t>
  </si>
  <si>
    <t>5119858920</t>
  </si>
  <si>
    <t>AJI14956</t>
  </si>
  <si>
    <t>Tue Jul 29 19:00:50 IST 2025</t>
  </si>
  <si>
    <t>AF25GJ182614909</t>
  </si>
  <si>
    <t>FN9427605137</t>
  </si>
  <si>
    <t>Tue Jul 29 12:22:59 IST 2025</t>
  </si>
  <si>
    <t>5119798160</t>
  </si>
  <si>
    <t>AJI14955</t>
  </si>
  <si>
    <t>Tue Jul 29 18:57:12 IST 2025</t>
  </si>
  <si>
    <t>AF25GJ182614074</t>
  </si>
  <si>
    <t>701000619007</t>
  </si>
  <si>
    <t>1499_PNK_XXL</t>
  </si>
  <si>
    <t>FN7103609312</t>
  </si>
  <si>
    <t>Tue Jul 29 11:19:01 IST 2025</t>
  </si>
  <si>
    <t>5119797921</t>
  </si>
  <si>
    <t>AJI14954</t>
  </si>
  <si>
    <t>Tue Jul 29 12:37:24 IST 2025</t>
  </si>
  <si>
    <t>AF25GJ182507315</t>
  </si>
  <si>
    <t>FN9076600318</t>
  </si>
  <si>
    <t>Tue Jul 29 12:03:34 IST 2025</t>
  </si>
  <si>
    <t>5119797552</t>
  </si>
  <si>
    <t>AJI14953</t>
  </si>
  <si>
    <t>Tue Jul 29 12:31:57 IST 2025</t>
  </si>
  <si>
    <t>AF25GJ182505463</t>
  </si>
  <si>
    <t>Tue Jul 29 12:31:58 IST 2025</t>
  </si>
  <si>
    <t>EX0032823243</t>
  </si>
  <si>
    <t>Tue Jul 29 11:35:03 IST 2025</t>
  </si>
  <si>
    <t>5119797550</t>
  </si>
  <si>
    <t>AJI14952</t>
  </si>
  <si>
    <t>Tue Jul 29 12:31:45 IST 2025</t>
  </si>
  <si>
    <t>AF25GJ182505407</t>
  </si>
  <si>
    <t>Tue Jul 29 12:31:46 IST 2025</t>
  </si>
  <si>
    <t>700211961016</t>
  </si>
  <si>
    <t>1162(AJIO)_BK_XL</t>
  </si>
  <si>
    <t>FN5158603545</t>
  </si>
  <si>
    <t>Tue Jul 29 11:33:03 IST 2025</t>
  </si>
  <si>
    <t>5119797549</t>
  </si>
  <si>
    <t>AJI14951</t>
  </si>
  <si>
    <t>Tue Jul 29 12:31:33 IST 2025</t>
  </si>
  <si>
    <t>AF25GJ182505375</t>
  </si>
  <si>
    <t>Tue Jul 29 12:31:39 IST 2025</t>
  </si>
  <si>
    <t>467072551009</t>
  </si>
  <si>
    <t>AJI-1323_BL_XL</t>
  </si>
  <si>
    <t>FN2119605449</t>
  </si>
  <si>
    <t>Tue Jul 29 12:14:05 IST 2025</t>
  </si>
  <si>
    <t>5119797547</t>
  </si>
  <si>
    <t>AJI14950</t>
  </si>
  <si>
    <t>Tue Jul 29 12:31:21 IST 2025</t>
  </si>
  <si>
    <t>AF25GJ182505303</t>
  </si>
  <si>
    <t>Tue Jul 29 12:31:27 IST 2025</t>
  </si>
  <si>
    <t>700211961011</t>
  </si>
  <si>
    <t>1162(AJIO)_BK_3XL</t>
  </si>
  <si>
    <t>FN2486602907</t>
  </si>
  <si>
    <t>Tue Jul 29 11:46:22 IST 2025</t>
  </si>
  <si>
    <t>5119797551</t>
  </si>
  <si>
    <t>AJI14949</t>
  </si>
  <si>
    <t>Tue Jul 29 12:31:09 IST 2025</t>
  </si>
  <si>
    <t>AF25GJ182505193</t>
  </si>
  <si>
    <t>Tue Jul 29 12:31:10 IST 2025</t>
  </si>
  <si>
    <t>FN7734501933</t>
  </si>
  <si>
    <t>Tue Jul 29 11:29:46 IST 2025</t>
  </si>
  <si>
    <t>5119797546</t>
  </si>
  <si>
    <t>AJI14948</t>
  </si>
  <si>
    <t>Tue Jul 29 12:30:58 IST 2025</t>
  </si>
  <si>
    <t>AF25GJ182505144</t>
  </si>
  <si>
    <t>FN0518601583</t>
  </si>
  <si>
    <t>Tue Jul 29 09:51:13 IST 2025</t>
  </si>
  <si>
    <t>5119797545</t>
  </si>
  <si>
    <t>AJI14947</t>
  </si>
  <si>
    <t>Tue Jul 29 12:30:46 IST 2025</t>
  </si>
  <si>
    <t>AF25GJ182505099</t>
  </si>
  <si>
    <t>Tue Jul 29 12:30:47 IST 2025</t>
  </si>
  <si>
    <t>701009172030</t>
  </si>
  <si>
    <t>DPT1322-1435</t>
  </si>
  <si>
    <t>1433-DPT_3XL</t>
  </si>
  <si>
    <t>FN4719602362</t>
  </si>
  <si>
    <t>Tue Jul 29 09:52:41 IST 2025</t>
  </si>
  <si>
    <t>5119797559</t>
  </si>
  <si>
    <t>AJI14946</t>
  </si>
  <si>
    <t>Tue Jul 29 12:30:34 IST 2025</t>
  </si>
  <si>
    <t>AF25GJ182505064</t>
  </si>
  <si>
    <t>FN4419600188</t>
  </si>
  <si>
    <t>Mon Jul 28 09:04:24 IST 2025</t>
  </si>
  <si>
    <t>5119755188</t>
  </si>
  <si>
    <t>AJI14945</t>
  </si>
  <si>
    <t>Tue Jul 29 09:09:12 IST 2025</t>
  </si>
  <si>
    <t>AF25GJ182430521</t>
  </si>
  <si>
    <t>Tue Jul 29 09:09:13 IST 2025</t>
  </si>
  <si>
    <t>FN4419600052</t>
  </si>
  <si>
    <t>Mon Jul 28 08:35:10 IST 2025</t>
  </si>
  <si>
    <t>5119742522</t>
  </si>
  <si>
    <t>AJI14944</t>
  </si>
  <si>
    <t>Tue Jul 29 08:00:10 IST 2025</t>
  </si>
  <si>
    <t>AF25GJ182414146</t>
  </si>
  <si>
    <t>700211961044</t>
  </si>
  <si>
    <t>1167(AJIO)_WHT_XXL</t>
  </si>
  <si>
    <t>FN6119600961</t>
  </si>
  <si>
    <t>Mon Jul 28 10:24:43 IST 2025</t>
  </si>
  <si>
    <t>5119741798</t>
  </si>
  <si>
    <t>AJI14943</t>
  </si>
  <si>
    <t>Tue Jul 29 08:00:04 IST 2025</t>
  </si>
  <si>
    <t>AF25GJ182414125</t>
  </si>
  <si>
    <t>701045948008</t>
  </si>
  <si>
    <t>1649-BG_34</t>
  </si>
  <si>
    <t>FN2519609580</t>
  </si>
  <si>
    <t>Mon Jul 28 13:58:55 IST 2025</t>
  </si>
  <si>
    <t>5119741793</t>
  </si>
  <si>
    <t>AJI14942</t>
  </si>
  <si>
    <t>Tue Jul 29 07:59:58 IST 2025</t>
  </si>
  <si>
    <t>AF25GJ182414231</t>
  </si>
  <si>
    <t>Tue Jul 29 07:59:59 IST 2025</t>
  </si>
  <si>
    <t>FN7141600482</t>
  </si>
  <si>
    <t>Mon Jul 28 13:59:12 IST 2025</t>
  </si>
  <si>
    <t>5119741782</t>
  </si>
  <si>
    <t>AJI14941</t>
  </si>
  <si>
    <t>Tue Jul 29 07:59:48 IST 2025</t>
  </si>
  <si>
    <t>AF25GJ182414118</t>
  </si>
  <si>
    <t>FN7119603107</t>
  </si>
  <si>
    <t>Mon Jul 28 21:04:52 IST 2025</t>
  </si>
  <si>
    <t>5119741781</t>
  </si>
  <si>
    <t>AJI14940</t>
  </si>
  <si>
    <t>Tue Jul 29 07:59:37 IST 2025</t>
  </si>
  <si>
    <t>AF25GJ182414116</t>
  </si>
  <si>
    <t>700211961047</t>
  </si>
  <si>
    <t>1167(AJIO)_WHT_M</t>
  </si>
  <si>
    <t>FN3619603082</t>
  </si>
  <si>
    <t>Mon Jul 28 22:48:42 IST 2025</t>
  </si>
  <si>
    <t>5119741780</t>
  </si>
  <si>
    <t>AJI14939</t>
  </si>
  <si>
    <t>Tue Jul 29 07:59:33 IST 2025</t>
  </si>
  <si>
    <t>AF25GJ182414057</t>
  </si>
  <si>
    <t>700211961046</t>
  </si>
  <si>
    <t>1167(AJIO)_WHT_XL</t>
  </si>
  <si>
    <t>FN8619606231</t>
  </si>
  <si>
    <t>Mon Jul 28 23:04:46 IST 2025</t>
  </si>
  <si>
    <t>5119741796</t>
  </si>
  <si>
    <t>AJI14938</t>
  </si>
  <si>
    <t>Tue Jul 29 07:59:21 IST 2025</t>
  </si>
  <si>
    <t>AF25GJ182413966</t>
  </si>
  <si>
    <t>Tue Jul 29 07:59:22 IST 2025</t>
  </si>
  <si>
    <t>700211961004</t>
  </si>
  <si>
    <t>1426(AJIO)_BG_3XL</t>
  </si>
  <si>
    <t>EX0032812292</t>
  </si>
  <si>
    <t>Mon Jul 28 15:20:15 IST 2025</t>
  </si>
  <si>
    <t>5119741790</t>
  </si>
  <si>
    <t>AJI14937</t>
  </si>
  <si>
    <t>Tue Jul 29 07:59:09 IST 2025</t>
  </si>
  <si>
    <t>AF25GJ182413961</t>
  </si>
  <si>
    <t>Tue Jul 29 07:59:10 IST 2025</t>
  </si>
  <si>
    <t>700659603013</t>
  </si>
  <si>
    <t>1592_CRM_XL</t>
  </si>
  <si>
    <t>FN8784603362</t>
  </si>
  <si>
    <t>Mon Jul 28 08:03:56 IST 2025</t>
  </si>
  <si>
    <t>5119741794</t>
  </si>
  <si>
    <t>AJI14935</t>
  </si>
  <si>
    <t>Tue Jul 29 07:59:06 IST 2025</t>
  </si>
  <si>
    <t>AF25GJ182413947</t>
  </si>
  <si>
    <t>FN7198605342</t>
  </si>
  <si>
    <t>Mon Jul 28 15:42:53 IST 2025</t>
  </si>
  <si>
    <t>5119741783</t>
  </si>
  <si>
    <t>AJI14934</t>
  </si>
  <si>
    <t>Tue Jul 29 07:58:21 IST 2025</t>
  </si>
  <si>
    <t>AF25GJ182413928</t>
  </si>
  <si>
    <t>Tue Jul 29 07:58:22 IST 2025</t>
  </si>
  <si>
    <t>FN9984605818</t>
  </si>
  <si>
    <t>Mon Jul 28 09:46:19 IST 2025</t>
  </si>
  <si>
    <t>5119741788</t>
  </si>
  <si>
    <t>AJI14933</t>
  </si>
  <si>
    <t>Tue Jul 29 07:58:10 IST 2025</t>
  </si>
  <si>
    <t>AF25GJ182413896</t>
  </si>
  <si>
    <t>Tue Jul 29 07:58:11 IST 2025</t>
  </si>
  <si>
    <t>715.18</t>
  </si>
  <si>
    <t>17.03</t>
  </si>
  <si>
    <t>715.17</t>
  </si>
  <si>
    <t>340.56</t>
  </si>
  <si>
    <t>2</t>
  </si>
  <si>
    <t>681.12</t>
  </si>
  <si>
    <t>700211961002</t>
  </si>
  <si>
    <t>1162(AJIO)_BK_M</t>
  </si>
  <si>
    <t>FN1418600034</t>
  </si>
  <si>
    <t>Tue Jul 29 00:10:58 IST 2025</t>
  </si>
  <si>
    <t>5119741787</t>
  </si>
  <si>
    <t>AJI14932</t>
  </si>
  <si>
    <t>AF25GJ182413893</t>
  </si>
  <si>
    <t>700906377006</t>
  </si>
  <si>
    <t>1639_GRY_34</t>
  </si>
  <si>
    <t>FN3419603673</t>
  </si>
  <si>
    <t>Mon Jul 28 12:24:02 IST 2025</t>
  </si>
  <si>
    <t>5119741777</t>
  </si>
  <si>
    <t>AJI14931</t>
  </si>
  <si>
    <t>Tue Jul 29 07:57:58 IST 2025</t>
  </si>
  <si>
    <t>AF25GJ182413886</t>
  </si>
  <si>
    <t>Tue Jul 29 07:57:59 IST 2025</t>
  </si>
  <si>
    <t>701000619006</t>
  </si>
  <si>
    <t>1501_RD_L</t>
  </si>
  <si>
    <t>FN9419607191</t>
  </si>
  <si>
    <t>Mon Jul 28 14:13:12 IST 2025</t>
  </si>
  <si>
    <t>5119741789</t>
  </si>
  <si>
    <t>AJI14930</t>
  </si>
  <si>
    <t>Tue Jul 29 07:57:47 IST 2025</t>
  </si>
  <si>
    <t>AF25GJ182413880</t>
  </si>
  <si>
    <t>Tue Jul 29 07:57:48 IST 2025</t>
  </si>
  <si>
    <t>FN2519607306</t>
  </si>
  <si>
    <t>Mon Jul 28 14:49:19 IST 2025</t>
  </si>
  <si>
    <t>5119741785</t>
  </si>
  <si>
    <t>AJI14929</t>
  </si>
  <si>
    <t>Tue Jul 29 07:57:36 IST 2025</t>
  </si>
  <si>
    <t>AF25GJ182413872</t>
  </si>
  <si>
    <t>Tue Jul 29 07:57:37 IST 2025</t>
  </si>
  <si>
    <t>FN2425602610</t>
  </si>
  <si>
    <t>Mon Jul 28 14:54:00 IST 2025</t>
  </si>
  <si>
    <t>5119741774</t>
  </si>
  <si>
    <t>AJI14928</t>
  </si>
  <si>
    <t>Tue Jul 29 07:57:25 IST 2025</t>
  </si>
  <si>
    <t>AF25GJ182413865</t>
  </si>
  <si>
    <t>FN9619609822</t>
  </si>
  <si>
    <t>Mon Jul 28 23:48:05 IST 2025</t>
  </si>
  <si>
    <t>5119741776</t>
  </si>
  <si>
    <t>AJI14927</t>
  </si>
  <si>
    <t>Tue Jul 29 07:57:14 IST 2025</t>
  </si>
  <si>
    <t>AF25GJ182413861</t>
  </si>
  <si>
    <t>701045948045</t>
  </si>
  <si>
    <t>1649-GRY_34</t>
  </si>
  <si>
    <t>FN9763601803</t>
  </si>
  <si>
    <t>Mon Jul 28 23:57:00 IST 2025</t>
  </si>
  <si>
    <t>5119741773</t>
  </si>
  <si>
    <t>AJI14926</t>
  </si>
  <si>
    <t>Tue Jul 29 07:57:02 IST 2025</t>
  </si>
  <si>
    <t>AF25GJ182413850</t>
  </si>
  <si>
    <t>Tue Jul 29 07:57:03 IST 2025</t>
  </si>
  <si>
    <t>701045948060</t>
  </si>
  <si>
    <t>1649-NBL_30</t>
  </si>
  <si>
    <t>FN5995602218</t>
  </si>
  <si>
    <t>Mon Jul 28 21:05:19 IST 2025</t>
  </si>
  <si>
    <t>5119741786</t>
  </si>
  <si>
    <t>AJI14925</t>
  </si>
  <si>
    <t>Tue Jul 29 07:56:50 IST 2025</t>
  </si>
  <si>
    <t>AF25GJ182413824</t>
  </si>
  <si>
    <t>Tue Jul 29 07:56:51 IST 2025</t>
  </si>
  <si>
    <t>466956028011</t>
  </si>
  <si>
    <t>1188_BK_XS</t>
  </si>
  <si>
    <t>254.15</t>
  </si>
  <si>
    <t>6.05</t>
  </si>
  <si>
    <t>242.05</t>
  </si>
  <si>
    <t>FN9156603744</t>
  </si>
  <si>
    <t>Mon Jul 28 11:11:23 IST 2025</t>
  </si>
  <si>
    <t>5119741771</t>
  </si>
  <si>
    <t>AJI14924</t>
  </si>
  <si>
    <t>Tue Jul 29 07:56:39 IST 2025</t>
  </si>
  <si>
    <t>AF25GJ182413802</t>
  </si>
  <si>
    <t>Tue Jul 29 07:56:40 IST 2025</t>
  </si>
  <si>
    <t>FN1928603614</t>
  </si>
  <si>
    <t>Mon Jul 28 11:17:19 IST 2025</t>
  </si>
  <si>
    <t>5119741769</t>
  </si>
  <si>
    <t>AJI14923</t>
  </si>
  <si>
    <t>Tue Jul 29 07:56:28 IST 2025</t>
  </si>
  <si>
    <t>AF25GJ182413779</t>
  </si>
  <si>
    <t>Tue Jul 29 07:56:29 IST 2025</t>
  </si>
  <si>
    <t>700210515040</t>
  </si>
  <si>
    <t>1323-1333AJIO1</t>
  </si>
  <si>
    <t>1328(AJIO)_BK_XL</t>
  </si>
  <si>
    <t>469.37</t>
  </si>
  <si>
    <t>11.18</t>
  </si>
  <si>
    <t>469.38</t>
  </si>
  <si>
    <t>447.02</t>
  </si>
  <si>
    <t>FN4267605829</t>
  </si>
  <si>
    <t>Mon Jul 28 11:28:42 IST 2025</t>
  </si>
  <si>
    <t>5119741784</t>
  </si>
  <si>
    <t>AJI14922</t>
  </si>
  <si>
    <t>Tue Jul 29 07:56:16 IST 2025</t>
  </si>
  <si>
    <t>AF25GJ182413767</t>
  </si>
  <si>
    <t>Tue Jul 29 07:56:22 IST 2025</t>
  </si>
  <si>
    <t>FN8519606911</t>
  </si>
  <si>
    <t>Mon Jul 28 17:06:43 IST 2025</t>
  </si>
  <si>
    <t>5119741779</t>
  </si>
  <si>
    <t>AJI14921</t>
  </si>
  <si>
    <t>Tue Jul 29 07:56:04 IST 2025</t>
  </si>
  <si>
    <t>AF25GJ182413717</t>
  </si>
  <si>
    <t>Tue Jul 29 07:56:10 IST 2025</t>
  </si>
  <si>
    <t>FN3419602130</t>
  </si>
  <si>
    <t>Mon Jul 28 11:50:09 IST 2025</t>
  </si>
  <si>
    <t>5119741778</t>
  </si>
  <si>
    <t>AJI14920</t>
  </si>
  <si>
    <t>Tue Jul 29 07:55:52 IST 2025</t>
  </si>
  <si>
    <t>AF25GJ182413697</t>
  </si>
  <si>
    <t>Tue Jul 29 07:55:58 IST 2025</t>
  </si>
  <si>
    <t>FN1108600499</t>
  </si>
  <si>
    <t>Mon Jul 28 10:17:16 IST 2025</t>
  </si>
  <si>
    <t>5119741770</t>
  </si>
  <si>
    <t>AJI14919</t>
  </si>
  <si>
    <t>Tue Jul 29 07:55:41 IST 2025</t>
  </si>
  <si>
    <t>AF25GJ182413660</t>
  </si>
  <si>
    <t>701045948020</t>
  </si>
  <si>
    <t>1649-BK_38</t>
  </si>
  <si>
    <t>EX0032791434</t>
  </si>
  <si>
    <t>Sat Jul 26 18:35:08 IST 2025</t>
  </si>
  <si>
    <t>5119559625</t>
  </si>
  <si>
    <t>Mon Jul 28 00:00:00 IST 2025</t>
  </si>
  <si>
    <t>AJI14918</t>
  </si>
  <si>
    <t>Mon Jul 28 08:51:30 IST 2025</t>
  </si>
  <si>
    <t>AF25GJ182117357</t>
  </si>
  <si>
    <t>FN9414608090</t>
  </si>
  <si>
    <t>Sun Jul 27 23:34:45 IST 2025</t>
  </si>
  <si>
    <t>5119555334</t>
  </si>
  <si>
    <t>AJI14917</t>
  </si>
  <si>
    <t>Mon Jul 28 08:16:12 IST 2025</t>
  </si>
  <si>
    <t>AF25GJ182102421</t>
  </si>
  <si>
    <t>Mon Jul 28 08:16:17 IST 2025</t>
  </si>
  <si>
    <t>EX0032786827</t>
  </si>
  <si>
    <t>Sun Jul 27 23:10:04 IST 2025</t>
  </si>
  <si>
    <t>5119552687</t>
  </si>
  <si>
    <t>AJI14909</t>
  </si>
  <si>
    <t>Mon Jul 28 08:15:23 IST 2025</t>
  </si>
  <si>
    <t>AF25GJ182102087</t>
  </si>
  <si>
    <t>Mon Jul 28 08:15:29 IST 2025</t>
  </si>
  <si>
    <t>FN2019600765</t>
  </si>
  <si>
    <t>Sat Jul 26 23:45:08 IST 2025</t>
  </si>
  <si>
    <t>5119552695</t>
  </si>
  <si>
    <t>AJI14915</t>
  </si>
  <si>
    <t>Mon Jul 28 08:15:13 IST 2025</t>
  </si>
  <si>
    <t>AF25GJ182102020</t>
  </si>
  <si>
    <t>Mon Jul 28 08:15:19 IST 2025</t>
  </si>
  <si>
    <t>701045948003</t>
  </si>
  <si>
    <t>1649-RM_30</t>
  </si>
  <si>
    <t>701045948038</t>
  </si>
  <si>
    <t>1649-DPRL_30</t>
  </si>
  <si>
    <t>701045948019</t>
  </si>
  <si>
    <t>1649-BK_30</t>
  </si>
  <si>
    <t>FN9319609334</t>
  </si>
  <si>
    <t>Mon Jul 28 00:13:47 IST 2025</t>
  </si>
  <si>
    <t>5119552691</t>
  </si>
  <si>
    <t>AJI14914</t>
  </si>
  <si>
    <t>Mon Jul 28 08:15:02 IST 2025</t>
  </si>
  <si>
    <t>AF25GJ182101913</t>
  </si>
  <si>
    <t>Mon Jul 28 08:15:03 IST 2025</t>
  </si>
  <si>
    <t>FN5496601506</t>
  </si>
  <si>
    <t>Mon Jul 28 00:29:22 IST 2025</t>
  </si>
  <si>
    <t>5119552689</t>
  </si>
  <si>
    <t>AJI14912</t>
  </si>
  <si>
    <t>Mon Jul 28 08:14:51 IST 2025</t>
  </si>
  <si>
    <t>AF25GJ182101882</t>
  </si>
  <si>
    <t>701000619003</t>
  </si>
  <si>
    <t>1501_RD_M</t>
  </si>
  <si>
    <t>FN0019608241</t>
  </si>
  <si>
    <t>Sun Jul 27 12:04:39 IST 2025</t>
  </si>
  <si>
    <t>5119552686</t>
  </si>
  <si>
    <t>AJI14911</t>
  </si>
  <si>
    <t>Mon Jul 28 08:14:41 IST 2025</t>
  </si>
  <si>
    <t>AF25GJ182101854</t>
  </si>
  <si>
    <t>700906377004</t>
  </si>
  <si>
    <t>1639_GRY_32</t>
  </si>
  <si>
    <t>FN3087606010</t>
  </si>
  <si>
    <t>Sun Jul 27 18:09:17 IST 2025</t>
  </si>
  <si>
    <t>5119552684</t>
  </si>
  <si>
    <t>AJI14908</t>
  </si>
  <si>
    <t>Mon Jul 28 08:14:26 IST 2025</t>
  </si>
  <si>
    <t>AF25GJ182101813</t>
  </si>
  <si>
    <t>FN4336602102</t>
  </si>
  <si>
    <t>Sun Jul 27 10:18:23 IST 2025</t>
  </si>
  <si>
    <t>5119551606</t>
  </si>
  <si>
    <t>AJI14895</t>
  </si>
  <si>
    <t>Mon Jul 28 08:14:18 IST 2025</t>
  </si>
  <si>
    <t>AF25GJ182101767</t>
  </si>
  <si>
    <t>Mon Jul 28 08:14:19 IST 2025</t>
  </si>
  <si>
    <t>467166228003</t>
  </si>
  <si>
    <t>AJI1241</t>
  </si>
  <si>
    <t>AJI1241_YLW_S</t>
  </si>
  <si>
    <t>326.76</t>
  </si>
  <si>
    <t>311.2</t>
  </si>
  <si>
    <t>FN9319604773</t>
  </si>
  <si>
    <t>Sun Jul 27 23:44:11 IST 2025</t>
  </si>
  <si>
    <t>5119552690</t>
  </si>
  <si>
    <t>AJI14907</t>
  </si>
  <si>
    <t>Mon Jul 28 08:14:15 IST 2025</t>
  </si>
  <si>
    <t>AF25GJ182101763</t>
  </si>
  <si>
    <t>FN9956609217</t>
  </si>
  <si>
    <t>Sun Jul 27 22:12:23 IST 2025</t>
  </si>
  <si>
    <t>5119552688</t>
  </si>
  <si>
    <t>AJI14906</t>
  </si>
  <si>
    <t>Mon Jul 28 08:14:11 IST 2025</t>
  </si>
  <si>
    <t>AF25GJ182101772</t>
  </si>
  <si>
    <t>Mon Jul 28 08:14:12 IST 2025</t>
  </si>
  <si>
    <t>701000619005</t>
  </si>
  <si>
    <t>1499_PNK_L</t>
  </si>
  <si>
    <t>FN3809605259</t>
  </si>
  <si>
    <t>Sun Jul 27 22:39:10 IST 2025</t>
  </si>
  <si>
    <t>5119552685</t>
  </si>
  <si>
    <t>AJI14905</t>
  </si>
  <si>
    <t>Mon Jul 28 08:14:09 IST 2025</t>
  </si>
  <si>
    <t>AF25GJ182101770</t>
  </si>
  <si>
    <t>Mon Jul 28 08:14:10 IST 2025</t>
  </si>
  <si>
    <t>700659603023</t>
  </si>
  <si>
    <t>1592_CRM_M</t>
  </si>
  <si>
    <t>FN9993609126</t>
  </si>
  <si>
    <t>Sun Jul 27 11:04:01 IST 2025</t>
  </si>
  <si>
    <t>5119551604</t>
  </si>
  <si>
    <t>AJI14893</t>
  </si>
  <si>
    <t>Mon Jul 28 08:14:08 IST 2025</t>
  </si>
  <si>
    <t>AF25GJ182101749</t>
  </si>
  <si>
    <t>467166242001</t>
  </si>
  <si>
    <t>AJI1245</t>
  </si>
  <si>
    <t>AJI1245_PRL_L</t>
  </si>
  <si>
    <t>FN3448603985</t>
  </si>
  <si>
    <t>Sun Jul 27 16:24:42 IST 2025</t>
  </si>
  <si>
    <t>5119551610</t>
  </si>
  <si>
    <t>AJI14904</t>
  </si>
  <si>
    <t>Mon Jul 28 08:13:57 IST 2025</t>
  </si>
  <si>
    <t>AF25GJ182101734</t>
  </si>
  <si>
    <t>Mon Jul 28 08:13:58 IST 2025</t>
  </si>
  <si>
    <t>700329846005</t>
  </si>
  <si>
    <t>1502_BL_XXL</t>
  </si>
  <si>
    <t>FN6127600668</t>
  </si>
  <si>
    <t>Sun Jul 27 22:57:47 IST 2025</t>
  </si>
  <si>
    <t>5119551611</t>
  </si>
  <si>
    <t>AJI14903</t>
  </si>
  <si>
    <t>Mon Jul 28 08:13:50 IST 2025</t>
  </si>
  <si>
    <t>AF25GJ182101723</t>
  </si>
  <si>
    <t>Mon Jul 28 08:13:51 IST 2025</t>
  </si>
  <si>
    <t>EX0032814020</t>
  </si>
  <si>
    <t>Sun Jul 27 19:25:08 IST 2025</t>
  </si>
  <si>
    <t>5119551594</t>
  </si>
  <si>
    <t>AJI14888</t>
  </si>
  <si>
    <t>Mon Jul 28 08:13:46 IST 2025</t>
  </si>
  <si>
    <t>AF25GJ182101707</t>
  </si>
  <si>
    <t>700906377012</t>
  </si>
  <si>
    <t>1637_BK_36</t>
  </si>
  <si>
    <t>FN6487603398</t>
  </si>
  <si>
    <t>Sun Jul 27 23:04:11 IST 2025</t>
  </si>
  <si>
    <t>5119551609</t>
  </si>
  <si>
    <t>AJI14902</t>
  </si>
  <si>
    <t>Mon Jul 28 08:13:39 IST 2025</t>
  </si>
  <si>
    <t>AF25GJ182101688</t>
  </si>
  <si>
    <t>FN8576504037</t>
  </si>
  <si>
    <t>Sun Jul 27 12:31:43 IST 2025</t>
  </si>
  <si>
    <t>5119551601</t>
  </si>
  <si>
    <t>AJI14901</t>
  </si>
  <si>
    <t>Mon Jul 28 08:13:35 IST 2025</t>
  </si>
  <si>
    <t>AF25GJ182101674</t>
  </si>
  <si>
    <t>Mon Jul 28 08:13:36 IST 2025</t>
  </si>
  <si>
    <t>FN4119605868</t>
  </si>
  <si>
    <t>Sun Jul 27 12:51:45 IST 2025</t>
  </si>
  <si>
    <t>5119551608</t>
  </si>
  <si>
    <t>AJI14899</t>
  </si>
  <si>
    <t>Mon Jul 28 08:13:31 IST 2025</t>
  </si>
  <si>
    <t>AF25GJ182101657</t>
  </si>
  <si>
    <t>701045948017</t>
  </si>
  <si>
    <t>1649-PCH_38</t>
  </si>
  <si>
    <t>698.19</t>
  </si>
  <si>
    <t>664.94</t>
  </si>
  <si>
    <t>FN8472608462</t>
  </si>
  <si>
    <t>Sat Jul 26 15:49:23 IST 2025</t>
  </si>
  <si>
    <t>5119551607</t>
  </si>
  <si>
    <t>AJI14898</t>
  </si>
  <si>
    <t>Mon Jul 28 08:13:20 IST 2025</t>
  </si>
  <si>
    <t>AF25GJ182101600</t>
  </si>
  <si>
    <t>467151860020</t>
  </si>
  <si>
    <t>AJI1322-1435</t>
  </si>
  <si>
    <t>AJI1430_PRL_L</t>
  </si>
  <si>
    <t>402.23</t>
  </si>
  <si>
    <t>402.24</t>
  </si>
  <si>
    <t>383.08</t>
  </si>
  <si>
    <t>FN8509601458</t>
  </si>
  <si>
    <t>Sun Jul 27 10:16:24 IST 2025</t>
  </si>
  <si>
    <t>5119551605</t>
  </si>
  <si>
    <t>AJI14897</t>
  </si>
  <si>
    <t>Mon Jul 28 08:13:15 IST 2025</t>
  </si>
  <si>
    <t>AF25GJ182101587</t>
  </si>
  <si>
    <t>Mon Jul 28 08:13:16 IST 2025</t>
  </si>
  <si>
    <t>700211961019</t>
  </si>
  <si>
    <t>1524(AJIO)_CRM_M</t>
  </si>
  <si>
    <t>FN1219606094</t>
  </si>
  <si>
    <t>Sun Jul 27 17:06:12 IST 2025</t>
  </si>
  <si>
    <t>5119551603</t>
  </si>
  <si>
    <t>AJI14892</t>
  </si>
  <si>
    <t>Mon Jul 28 08:12:56 IST 2025</t>
  </si>
  <si>
    <t>AF25GJ182101510</t>
  </si>
  <si>
    <t>FN5219605490</t>
  </si>
  <si>
    <t>Sun Jul 27 17:08:44 IST 2025</t>
  </si>
  <si>
    <t>5119551600</t>
  </si>
  <si>
    <t>AJI14891</t>
  </si>
  <si>
    <t>Mon Jul 28 08:12:46 IST 2025</t>
  </si>
  <si>
    <t>AF25GJ182101451</t>
  </si>
  <si>
    <t>Mon Jul 28 08:12:47 IST 2025</t>
  </si>
  <si>
    <t>FN9909607884</t>
  </si>
  <si>
    <t>Sat Jul 26 22:15:21 IST 2025</t>
  </si>
  <si>
    <t>5119551598</t>
  </si>
  <si>
    <t>AJI14890</t>
  </si>
  <si>
    <t>Mon Jul 28 08:12:35 IST 2025</t>
  </si>
  <si>
    <t>AF25GJ182101426</t>
  </si>
  <si>
    <t>FN6409606351</t>
  </si>
  <si>
    <t>Sat Jul 26 22:51:35 IST 2025</t>
  </si>
  <si>
    <t>5119551595</t>
  </si>
  <si>
    <t>AJI14889</t>
  </si>
  <si>
    <t>Mon Jul 28 08:12:31 IST 2025</t>
  </si>
  <si>
    <t>AF25GJ182101422</t>
  </si>
  <si>
    <t>Mon Jul 28 08:12:32 IST 2025</t>
  </si>
  <si>
    <t>FN2618603060</t>
  </si>
  <si>
    <t>Sun Jul 27 19:24:51 IST 2025</t>
  </si>
  <si>
    <t>5119551599</t>
  </si>
  <si>
    <t>AJI14887</t>
  </si>
  <si>
    <t>Mon Jul 28 08:12:16 IST 2025</t>
  </si>
  <si>
    <t>AF25GJ182101393</t>
  </si>
  <si>
    <t>Mon Jul 28 08:12:18 IST 2025</t>
  </si>
  <si>
    <t>701045948070</t>
  </si>
  <si>
    <t>1649-WT_32</t>
  </si>
  <si>
    <t>701045948066</t>
  </si>
  <si>
    <t>1649-TBL_36</t>
  </si>
  <si>
    <t>FN9219602485</t>
  </si>
  <si>
    <t>Sun Jul 27 19:40:30 IST 2025</t>
  </si>
  <si>
    <t>5119551602</t>
  </si>
  <si>
    <t>AJI14886</t>
  </si>
  <si>
    <t>Mon Jul 28 08:12:11 IST 2025</t>
  </si>
  <si>
    <t>AF25GJ182101376</t>
  </si>
  <si>
    <t>Mon Jul 28 08:12:12 IST 2025</t>
  </si>
  <si>
    <t>FN8709601448</t>
  </si>
  <si>
    <t>Sun Jul 27 20:01:46 IST 2025</t>
  </si>
  <si>
    <t>5119551592</t>
  </si>
  <si>
    <t>AJI14885</t>
  </si>
  <si>
    <t>Mon Jul 28 08:12:01 IST 2025</t>
  </si>
  <si>
    <t>AF25GJ182101356</t>
  </si>
  <si>
    <t>Mon Jul 28 08:12:02 IST 2025</t>
  </si>
  <si>
    <t>701045948025</t>
  </si>
  <si>
    <t>1649-BRN_28</t>
  </si>
  <si>
    <t>FN1419609597</t>
  </si>
  <si>
    <t>Mon Jul 28 01:33:32 IST 2025</t>
  </si>
  <si>
    <t>5119551596</t>
  </si>
  <si>
    <t>AJI14884</t>
  </si>
  <si>
    <t>Mon Jul 28 08:11:55 IST 2025</t>
  </si>
  <si>
    <t>AF25GJ182101338</t>
  </si>
  <si>
    <t>Mon Jul 28 08:11:56 IST 2025</t>
  </si>
  <si>
    <t>701045948044</t>
  </si>
  <si>
    <t>1649-GRY_36</t>
  </si>
  <si>
    <t>FN2419605811</t>
  </si>
  <si>
    <t>Mon Jul 28 01:59:03 IST 2025</t>
  </si>
  <si>
    <t>5119551590</t>
  </si>
  <si>
    <t>AJI14883</t>
  </si>
  <si>
    <t>Mon Jul 28 08:11:47 IST 2025</t>
  </si>
  <si>
    <t>AF25GJ182101253</t>
  </si>
  <si>
    <t>Mon Jul 28 08:11:48 IST 2025</t>
  </si>
  <si>
    <t>701300619023</t>
  </si>
  <si>
    <t>1653-RM_L</t>
  </si>
  <si>
    <t>FN7019606140</t>
  </si>
  <si>
    <t>Sun Jul 27 06:48:15 IST 2025</t>
  </si>
  <si>
    <t>5119551597</t>
  </si>
  <si>
    <t>AJI14882</t>
  </si>
  <si>
    <t>Mon Jul 28 08:11:36 IST 2025</t>
  </si>
  <si>
    <t>AF25GJ182101280</t>
  </si>
  <si>
    <t>Mon Jul 28 08:11:37 IST 2025</t>
  </si>
  <si>
    <t>700211961018</t>
  </si>
  <si>
    <t>1426(AJIO)_BG_M</t>
  </si>
  <si>
    <t>FN8663606678</t>
  </si>
  <si>
    <t>Mon Jul 28 04:50:15 IST 2025</t>
  </si>
  <si>
    <t>5119551588</t>
  </si>
  <si>
    <t>AJI14881</t>
  </si>
  <si>
    <t>Mon Jul 28 08:11:25 IST 2025</t>
  </si>
  <si>
    <t>AF25GJ182101234</t>
  </si>
  <si>
    <t>Mon Jul 28 08:11:27 IST 2025</t>
  </si>
  <si>
    <t>701045948012</t>
  </si>
  <si>
    <t>1649-BG_30</t>
  </si>
  <si>
    <t>FN1019603492</t>
  </si>
  <si>
    <t>Sun Jul 27 00:07:29 IST 2025</t>
  </si>
  <si>
    <t>5119551589</t>
  </si>
  <si>
    <t>AJI14880</t>
  </si>
  <si>
    <t>Mon Jul 28 08:11:20 IST 2025</t>
  </si>
  <si>
    <t>AF25GJ182101221</t>
  </si>
  <si>
    <t>Mon Jul 28 08:11:22 IST 2025</t>
  </si>
  <si>
    <t>FN7056605251</t>
  </si>
  <si>
    <t>Sun Jul 27 09:14:20 IST 2025</t>
  </si>
  <si>
    <t>5119551591</t>
  </si>
  <si>
    <t>AJI14879</t>
  </si>
  <si>
    <t>Mon Jul 28 08:11:10 IST 2025</t>
  </si>
  <si>
    <t>AF25GJ182101191</t>
  </si>
  <si>
    <t>700329842007</t>
  </si>
  <si>
    <t>1596_BK_2XL</t>
  </si>
  <si>
    <t>FN9019606726</t>
  </si>
  <si>
    <t>Sun Jul 27 09:49:17 IST 2025</t>
  </si>
  <si>
    <t>5119551584</t>
  </si>
  <si>
    <t>AJI14878</t>
  </si>
  <si>
    <t>Mon Jul 28 08:11:03 IST 2025</t>
  </si>
  <si>
    <t>AF25GJ182101170</t>
  </si>
  <si>
    <t>Mon Jul 28 08:11:04 IST 2025</t>
  </si>
  <si>
    <t>FN8396608351</t>
  </si>
  <si>
    <t>Sat Jul 26 17:13:34 IST 2025</t>
  </si>
  <si>
    <t>5119551585</t>
  </si>
  <si>
    <t>AJI14877</t>
  </si>
  <si>
    <t>Mon Jul 28 08:10:55 IST 2025</t>
  </si>
  <si>
    <t>AF25GJ182101150</t>
  </si>
  <si>
    <t>FN7909600138</t>
  </si>
  <si>
    <t>Sun Jul 27 10:03:56 IST 2025</t>
  </si>
  <si>
    <t>5119551593</t>
  </si>
  <si>
    <t>AJI14876</t>
  </si>
  <si>
    <t>Mon Jul 28 08:10:46 IST 2025</t>
  </si>
  <si>
    <t>AF25GJ182101120</t>
  </si>
  <si>
    <t>Mon Jul 28 08:10:47 IST 2025</t>
  </si>
  <si>
    <t>FN9909600082</t>
  </si>
  <si>
    <t>Sun Jul 27 20:09:02 IST 2025</t>
  </si>
  <si>
    <t>5119551587</t>
  </si>
  <si>
    <t>AJI14875</t>
  </si>
  <si>
    <t>Mon Jul 28 08:10:34 IST 2025</t>
  </si>
  <si>
    <t>AF25GJ182101090</t>
  </si>
  <si>
    <t>Mon Jul 28 08:10:35 IST 2025</t>
  </si>
  <si>
    <t>701300619045</t>
  </si>
  <si>
    <t>1653-GRY_L</t>
  </si>
  <si>
    <t>EX0032794613</t>
  </si>
  <si>
    <t>Sun Jul 27 13:10:10 IST 2025</t>
  </si>
  <si>
    <t>5119551581</t>
  </si>
  <si>
    <t>AJI14874</t>
  </si>
  <si>
    <t>Mon Jul 28 08:10:28 IST 2025</t>
  </si>
  <si>
    <t>AF25GJ182101073</t>
  </si>
  <si>
    <t>Mon Jul 28 08:10:29 IST 2025</t>
  </si>
  <si>
    <t>EX0032783795</t>
  </si>
  <si>
    <t>Sun Jul 27 13:15:11 IST 2025</t>
  </si>
  <si>
    <t>5119551580</t>
  </si>
  <si>
    <t>AJI14873</t>
  </si>
  <si>
    <t>Mon Jul 28 08:10:23 IST 2025</t>
  </si>
  <si>
    <t>AF25GJ182101056</t>
  </si>
  <si>
    <t>Mon Jul 28 08:10:24 IST 2025</t>
  </si>
  <si>
    <t>FN3398601212</t>
  </si>
  <si>
    <t>Sun Jul 27 13:05:50 IST 2025</t>
  </si>
  <si>
    <t>5119551582</t>
  </si>
  <si>
    <t>AJI14872</t>
  </si>
  <si>
    <t>Mon Jul 28 08:10:12 IST 2025</t>
  </si>
  <si>
    <t>AF25GJ182101013</t>
  </si>
  <si>
    <t>FN6119602258</t>
  </si>
  <si>
    <t>Sun Jul 27 13:32:30 IST 2025</t>
  </si>
  <si>
    <t>5119551586</t>
  </si>
  <si>
    <t>AJI14871</t>
  </si>
  <si>
    <t>Mon Jul 28 08:09:54 IST 2025</t>
  </si>
  <si>
    <t>AF25GJ182100943</t>
  </si>
  <si>
    <t>EX0032777792</t>
  </si>
  <si>
    <t>Sat Jul 26 20:25:07 IST 2025</t>
  </si>
  <si>
    <t>5119551578</t>
  </si>
  <si>
    <t>AJI14870</t>
  </si>
  <si>
    <t>Mon Jul 28 08:09:43 IST 2025</t>
  </si>
  <si>
    <t>AF25GJ182100914</t>
  </si>
  <si>
    <t>Mon Jul 28 08:09:44 IST 2025</t>
  </si>
  <si>
    <t>FN6909601887</t>
  </si>
  <si>
    <t>Sat Jul 26 20:51:49 IST 2025</t>
  </si>
  <si>
    <t>5119551583</t>
  </si>
  <si>
    <t>AJI14869</t>
  </si>
  <si>
    <t>Mon Jul 28 08:09:18 IST 2025</t>
  </si>
  <si>
    <t>AF25GJ182100812</t>
  </si>
  <si>
    <t>700659603026</t>
  </si>
  <si>
    <t>1591_RD_S</t>
  </si>
  <si>
    <t>700659603002</t>
  </si>
  <si>
    <t>1590_AQBL_S</t>
  </si>
  <si>
    <t>EX0032785661</t>
  </si>
  <si>
    <t>Sun Jul 27 14:55:06 IST 2025</t>
  </si>
  <si>
    <t>5119551577</t>
  </si>
  <si>
    <t>AJI14868</t>
  </si>
  <si>
    <t>Mon Jul 28 08:09:09 IST 2025</t>
  </si>
  <si>
    <t>AF25GJ182100779</t>
  </si>
  <si>
    <t>Mon Jul 28 08:09:10 IST 2025</t>
  </si>
  <si>
    <t>700659603003</t>
  </si>
  <si>
    <t>1592_CRM_S</t>
  </si>
  <si>
    <t>FN0909604574</t>
  </si>
  <si>
    <t>Sat Jul 26 17:28:16 IST 2025</t>
  </si>
  <si>
    <t>5119551574</t>
  </si>
  <si>
    <t>AJI14867</t>
  </si>
  <si>
    <t>Mon Jul 28 08:08:59 IST 2025</t>
  </si>
  <si>
    <t>AF25GJ182100750</t>
  </si>
  <si>
    <t>Mon Jul 28 08:09:01 IST 2025</t>
  </si>
  <si>
    <t>FN9168601489</t>
  </si>
  <si>
    <t>Sat Jul 26 17:49:56 IST 2025</t>
  </si>
  <si>
    <t>5119551576</t>
  </si>
  <si>
    <t>AJI14866</t>
  </si>
  <si>
    <t>Mon Jul 28 08:08:45 IST 2025</t>
  </si>
  <si>
    <t>AF25GJ182100695</t>
  </si>
  <si>
    <t>Mon Jul 28 08:08:51 IST 2025</t>
  </si>
  <si>
    <t>FN3615601989</t>
  </si>
  <si>
    <t>Mon Jul 28 03:27:37 IST 2025</t>
  </si>
  <si>
    <t>5119551579</t>
  </si>
  <si>
    <t>AJI14865</t>
  </si>
  <si>
    <t>Mon Jul 28 08:08:41 IST 2025</t>
  </si>
  <si>
    <t>AF25GJ182100673</t>
  </si>
  <si>
    <t>Mon Jul 28 08:08:47 IST 2025</t>
  </si>
  <si>
    <t>FN1909604180</t>
  </si>
  <si>
    <t>Sat Jul 26 17:53:43 IST 2025</t>
  </si>
  <si>
    <t>5119551573</t>
  </si>
  <si>
    <t>AJI14864</t>
  </si>
  <si>
    <t>Mon Jul 28 08:08:19 IST 2025</t>
  </si>
  <si>
    <t>AF25GJ182100531</t>
  </si>
  <si>
    <t>Mon Jul 28 08:08:20 IST 2025</t>
  </si>
  <si>
    <t>701000619008</t>
  </si>
  <si>
    <t>1501_RD_XL</t>
  </si>
  <si>
    <t>FN6209605330</t>
  </si>
  <si>
    <t>Mon Jul 28 06:23:28 IST 2025</t>
  </si>
  <si>
    <t>5119551575</t>
  </si>
  <si>
    <t>AJI14863</t>
  </si>
  <si>
    <t>Mon Jul 28 08:08:11 IST 2025</t>
  </si>
  <si>
    <t>AF25GJ182100364</t>
  </si>
  <si>
    <t>Mon Jul 28 08:08:12 IST 2025</t>
  </si>
  <si>
    <t>FN5206606432</t>
  </si>
  <si>
    <t>Sun Jul 27 21:30:07 IST 2025</t>
  </si>
  <si>
    <t>5119551567</t>
  </si>
  <si>
    <t>AJI14858</t>
  </si>
  <si>
    <t>Mon Jul 28 08:08:00 IST 2025</t>
  </si>
  <si>
    <t>AF25GJ182100417</t>
  </si>
  <si>
    <t>EX0032792394</t>
  </si>
  <si>
    <t>Sat Jul 26 18:40:06 IST 2025</t>
  </si>
  <si>
    <t>5119551569</t>
  </si>
  <si>
    <t>AJI14862</t>
  </si>
  <si>
    <t>Mon Jul 28 08:07:52 IST 2025</t>
  </si>
  <si>
    <t>AF25GJ182100410</t>
  </si>
  <si>
    <t>Mon Jul 28 08:07:58 IST 2025</t>
  </si>
  <si>
    <t>FN4948601903</t>
  </si>
  <si>
    <t>Sat Jul 26 18:54:41 IST 2025</t>
  </si>
  <si>
    <t>5119551572</t>
  </si>
  <si>
    <t>AJI14861</t>
  </si>
  <si>
    <t>Mon Jul 28 08:07:40 IST 2025</t>
  </si>
  <si>
    <t>AF25GJ182100377</t>
  </si>
  <si>
    <t>Mon Jul 28 08:07:46 IST 2025</t>
  </si>
  <si>
    <t>FN9518608249</t>
  </si>
  <si>
    <t>Sun Jul 27 21:07:55 IST 2025</t>
  </si>
  <si>
    <t>5119551571</t>
  </si>
  <si>
    <t>AJI14860</t>
  </si>
  <si>
    <t>Mon Jul 28 08:07:18 IST 2025</t>
  </si>
  <si>
    <t>AF25GJ182100278</t>
  </si>
  <si>
    <t>FN0085606971</t>
  </si>
  <si>
    <t>Sun Jul 27 21:39:09 IST 2025</t>
  </si>
  <si>
    <t>5119551570</t>
  </si>
  <si>
    <t>AJI14857</t>
  </si>
  <si>
    <t>Mon Jul 28 08:07:03 IST 2025</t>
  </si>
  <si>
    <t>AF25GJ182100240</t>
  </si>
  <si>
    <t>Mon Jul 28 08:07:04 IST 2025</t>
  </si>
  <si>
    <t>FN1415402570</t>
  </si>
  <si>
    <t>Sun Jul 27 21:49:20 IST 2025</t>
  </si>
  <si>
    <t>5119551566</t>
  </si>
  <si>
    <t>AJI14856</t>
  </si>
  <si>
    <t>Mon Jul 28 08:06:58 IST 2025</t>
  </si>
  <si>
    <t>AF25GJ182100214</t>
  </si>
  <si>
    <t>FN4319600086</t>
  </si>
  <si>
    <t>Sun Jul 27 21:57:35 IST 2025</t>
  </si>
  <si>
    <t>5119551568</t>
  </si>
  <si>
    <t>AJI14855</t>
  </si>
  <si>
    <t>Mon Jul 28 08:06:46 IST 2025</t>
  </si>
  <si>
    <t>AF25GJ182100145</t>
  </si>
  <si>
    <t>Mon Jul 28 08:06:47 IST 2025</t>
  </si>
  <si>
    <t>FN3524605831</t>
  </si>
  <si>
    <t>Sun Jul 27 22:00:25 IST 2025</t>
  </si>
  <si>
    <t>5119551565</t>
  </si>
  <si>
    <t>AJI14854</t>
  </si>
  <si>
    <t>Mon Jul 28 08:06:34 IST 2025</t>
  </si>
  <si>
    <t>AF25GJ182100121</t>
  </si>
  <si>
    <t>Mon Jul 28 08:06:40 IST 2025</t>
  </si>
  <si>
    <t>FN0698601357</t>
  </si>
  <si>
    <t>Sat Jul 26 23:19:45 IST 2025</t>
  </si>
  <si>
    <t>5119551564</t>
  </si>
  <si>
    <t>AJI14853</t>
  </si>
  <si>
    <t>Mon Jul 28 08:06:23 IST 2025</t>
  </si>
  <si>
    <t>AF25GJ182100063</t>
  </si>
  <si>
    <t>Mon Jul 28 08:06:28 IST 2025</t>
  </si>
  <si>
    <t>FN8187609736</t>
  </si>
  <si>
    <t>Sat Jul 26 12:44:04 IST 2025</t>
  </si>
  <si>
    <t>5119293978</t>
  </si>
  <si>
    <t>Sat Jul 26 00:00:00 IST 2025</t>
  </si>
  <si>
    <t>AJI14852</t>
  </si>
  <si>
    <t>Sat Jul 26 12:57:32 IST 2025</t>
  </si>
  <si>
    <t>AF25GJ181713992</t>
  </si>
  <si>
    <t>FN8709600507</t>
  </si>
  <si>
    <t>Sat Jul 26 12:02:11 IST 2025</t>
  </si>
  <si>
    <t>5119286609</t>
  </si>
  <si>
    <t>AJI14851</t>
  </si>
  <si>
    <t>Sat Jul 26 12:26:17 IST 2025</t>
  </si>
  <si>
    <t>AF25GJ181705503</t>
  </si>
  <si>
    <t>Sat Jul 26 12:26:18 IST 2025</t>
  </si>
  <si>
    <t>700210515014</t>
  </si>
  <si>
    <t>1324(AJIO)_PNK_XXL</t>
  </si>
  <si>
    <t>FN9625603507</t>
  </si>
  <si>
    <t>Sat Jul 26 11:07:54 IST 2025</t>
  </si>
  <si>
    <t>5119286620</t>
  </si>
  <si>
    <t>AJI14850</t>
  </si>
  <si>
    <t>Sat Jul 26 12:26:07 IST 2025</t>
  </si>
  <si>
    <t>AF25GJ181705402</t>
  </si>
  <si>
    <t>FN9636302533</t>
  </si>
  <si>
    <t>Sat Jul 26 11:22:09 IST 2025</t>
  </si>
  <si>
    <t>5119286615</t>
  </si>
  <si>
    <t>AJI14849</t>
  </si>
  <si>
    <t>Sat Jul 26 12:25:56 IST 2025</t>
  </si>
  <si>
    <t>AF25GJ181705425</t>
  </si>
  <si>
    <t>467117623012</t>
  </si>
  <si>
    <t>AJI1241-1246</t>
  </si>
  <si>
    <t>1243_MLT_XXL</t>
  </si>
  <si>
    <t>FN4130303821</t>
  </si>
  <si>
    <t>Sat Jul 26 10:57:53 IST 2025</t>
  </si>
  <si>
    <t>5119286612</t>
  </si>
  <si>
    <t>AJI14848</t>
  </si>
  <si>
    <t>Sat Jul 26 12:25:46 IST 2025</t>
  </si>
  <si>
    <t>AF25GJ181705377</t>
  </si>
  <si>
    <t>EX0032794273</t>
  </si>
  <si>
    <t>Sat Jul 26 12:00:03 IST 2025</t>
  </si>
  <si>
    <t>5119286611</t>
  </si>
  <si>
    <t>AJI14847</t>
  </si>
  <si>
    <t>Sat Jul 26 12:20:15 IST 2025</t>
  </si>
  <si>
    <t>AF25GJ181703991</t>
  </si>
  <si>
    <t>Sat Jul 26 12:20:17 IST 2025</t>
  </si>
  <si>
    <t>FN4372603007</t>
  </si>
  <si>
    <t>Sat Jul 26 10:31:10 IST 2025</t>
  </si>
  <si>
    <t>5119278592</t>
  </si>
  <si>
    <t>AJI14846</t>
  </si>
  <si>
    <t>Sat Jul 26 10:56:01 IST 2025</t>
  </si>
  <si>
    <t>AF25GJ181675422</t>
  </si>
  <si>
    <t>Sat Jul 26 10:56:07 IST 2025</t>
  </si>
  <si>
    <t>FN9598602067</t>
  </si>
  <si>
    <t>Sat Jul 26 10:05:14 IST 2025</t>
  </si>
  <si>
    <t>5119271002</t>
  </si>
  <si>
    <t>AJI14845</t>
  </si>
  <si>
    <t>Sat Jul 26 10:12:09 IST 2025</t>
  </si>
  <si>
    <t>AF25GJ181657500</t>
  </si>
  <si>
    <t>Sat Jul 26 10:12:10 IST 2025</t>
  </si>
  <si>
    <t>FN0657304512</t>
  </si>
  <si>
    <t>Sat Jul 26 09:42:55 IST 2025</t>
  </si>
  <si>
    <t>5119270999</t>
  </si>
  <si>
    <t>AJI14844</t>
  </si>
  <si>
    <t>Sat Jul 26 10:11:14 IST 2025</t>
  </si>
  <si>
    <t>AF25GJ181657215</t>
  </si>
  <si>
    <t>Sat Jul 26 10:11:19 IST 2025</t>
  </si>
  <si>
    <t>FN5709605491</t>
  </si>
  <si>
    <t>Sat Jul 26 09:53:35 IST 2025</t>
  </si>
  <si>
    <t>5119270998</t>
  </si>
  <si>
    <t>AJI14843</t>
  </si>
  <si>
    <t>Sat Jul 26 10:11:03 IST 2025</t>
  </si>
  <si>
    <t>AF25GJ181657079</t>
  </si>
  <si>
    <t>Sat Jul 26 10:11:06 IST 2025</t>
  </si>
  <si>
    <t>FN5709606913</t>
  </si>
  <si>
    <t>Sat Jul 26 10:00:36 IST 2025</t>
  </si>
  <si>
    <t>5119271000</t>
  </si>
  <si>
    <t>AJI14842</t>
  </si>
  <si>
    <t>Sat Jul 26 10:10:52 IST 2025</t>
  </si>
  <si>
    <t>AF25GJ181657012</t>
  </si>
  <si>
    <t>FN1487603612</t>
  </si>
  <si>
    <t>Sat Jul 26 09:34:53 IST 2025</t>
  </si>
  <si>
    <t>5119266335</t>
  </si>
  <si>
    <t>AJI14841</t>
  </si>
  <si>
    <t>Sat Jul 26 10:09:35 IST 2025</t>
  </si>
  <si>
    <t>AF25GJ181656428</t>
  </si>
  <si>
    <t>Sat Jul 26 10:09:40 IST 2025</t>
  </si>
  <si>
    <t>701045948068</t>
  </si>
  <si>
    <t>1649-WT_30</t>
  </si>
  <si>
    <t>FN1228604807</t>
  </si>
  <si>
    <t>Sat Jul 26 09:03:20 IST 2025</t>
  </si>
  <si>
    <t>5119258902</t>
  </si>
  <si>
    <t>AJI14840</t>
  </si>
  <si>
    <t>Sat Jul 26 09:28:22 IST 2025</t>
  </si>
  <si>
    <t>AF25GJ181634733</t>
  </si>
  <si>
    <t>Sat Jul 26 09:28:23 IST 2025</t>
  </si>
  <si>
    <t>FN5309609420</t>
  </si>
  <si>
    <t>Sat Jul 26 09:13:10 IST 2025</t>
  </si>
  <si>
    <t>5119258900</t>
  </si>
  <si>
    <t>AJI14839</t>
  </si>
  <si>
    <t>Sat Jul 26 09:26:16 IST 2025</t>
  </si>
  <si>
    <t>AF25GJ181633685</t>
  </si>
  <si>
    <t>FN5309603437</t>
  </si>
  <si>
    <t>Sat Jul 26 09:02:50 IST 2025</t>
  </si>
  <si>
    <t>5119258901</t>
  </si>
  <si>
    <t>AJI14838</t>
  </si>
  <si>
    <t>Sat Jul 26 09:26:06 IST 2025</t>
  </si>
  <si>
    <t>AF25GJ181633627</t>
  </si>
  <si>
    <t>Sat Jul 26 09:26:07 IST 2025</t>
  </si>
  <si>
    <t>FN6818609117</t>
  </si>
  <si>
    <t>Sat Jul 26 08:25:17 IST 2025</t>
  </si>
  <si>
    <t>5119248499</t>
  </si>
  <si>
    <t>AJI14837</t>
  </si>
  <si>
    <t>Sat Jul 26 09:01:02 IST 2025</t>
  </si>
  <si>
    <t>AF25GJ181622084</t>
  </si>
  <si>
    <t>FN6609605158</t>
  </si>
  <si>
    <t>Sat Jul 26 07:46:31 IST 2025</t>
  </si>
  <si>
    <t>5119242132</t>
  </si>
  <si>
    <t>AJI14836</t>
  </si>
  <si>
    <t>Sat Jul 26 08:35:30 IST 2025</t>
  </si>
  <si>
    <t>AF25GJ181614610</t>
  </si>
  <si>
    <t>Sat Jul 26 08:35:36 IST 2025</t>
  </si>
  <si>
    <t>FN1566600719</t>
  </si>
  <si>
    <t>Fri Jul 25 21:16:12 IST 2025</t>
  </si>
  <si>
    <t>5119242131</t>
  </si>
  <si>
    <t>AJI14835</t>
  </si>
  <si>
    <t>Sat Jul 26 08:35:18 IST 2025</t>
  </si>
  <si>
    <t>AF25GJ181614514</t>
  </si>
  <si>
    <t>Sat Jul 26 08:35:23 IST 2025</t>
  </si>
  <si>
    <t>FN9116600749</t>
  </si>
  <si>
    <t>Sat Jul 26 02:12:31 IST 2025</t>
  </si>
  <si>
    <t>5119233805</t>
  </si>
  <si>
    <t>AJI14834</t>
  </si>
  <si>
    <t>Sat Jul 26 08:22:44 IST 2025</t>
  </si>
  <si>
    <t>AF25GJ181610579</t>
  </si>
  <si>
    <t>701045948062</t>
  </si>
  <si>
    <t>1649-TBL_30</t>
  </si>
  <si>
    <t>FN9929205202</t>
  </si>
  <si>
    <t>Sat Jul 26 02:14:48 IST 2025</t>
  </si>
  <si>
    <t>5119233804</t>
  </si>
  <si>
    <t>AJI14833</t>
  </si>
  <si>
    <t>Sat Jul 26 08:22:32 IST 2025</t>
  </si>
  <si>
    <t>AF25GJ181610545</t>
  </si>
  <si>
    <t>Sat Jul 26 08:22:38 IST 2025</t>
  </si>
  <si>
    <t>466146158005</t>
  </si>
  <si>
    <t>PENCIL03</t>
  </si>
  <si>
    <t>P-03-PINK-L</t>
  </si>
  <si>
    <t>279.35</t>
  </si>
  <si>
    <t>266.05</t>
  </si>
  <si>
    <t>FN2709604247</t>
  </si>
  <si>
    <t>Sat Jul 26 07:41:26 IST 2025</t>
  </si>
  <si>
    <t>5119233797</t>
  </si>
  <si>
    <t>AJI14832</t>
  </si>
  <si>
    <t>Sat Jul 26 08:22:22 IST 2025</t>
  </si>
  <si>
    <t>AF25GJ181610485</t>
  </si>
  <si>
    <t>Sat Jul 26 08:22:24 IST 2025</t>
  </si>
  <si>
    <t>FN6534604923</t>
  </si>
  <si>
    <t>Fri Jul 25 20:28:57 IST 2025</t>
  </si>
  <si>
    <t>5119233802</t>
  </si>
  <si>
    <t>AJI14831</t>
  </si>
  <si>
    <t>Sat Jul 26 07:53:47 IST 2025</t>
  </si>
  <si>
    <t>AF25GJ181604083</t>
  </si>
  <si>
    <t>Sat Jul 26 07:53:52 IST 2025</t>
  </si>
  <si>
    <t>FN5509605181</t>
  </si>
  <si>
    <t>Fri Jul 25 22:33:33 IST 2025</t>
  </si>
  <si>
    <t>5119233811</t>
  </si>
  <si>
    <t>AJI14830</t>
  </si>
  <si>
    <t>Sat Jul 26 07:52:09 IST 2025</t>
  </si>
  <si>
    <t>AF25GJ181603939</t>
  </si>
  <si>
    <t>FN9868601042</t>
  </si>
  <si>
    <t>Sat Jul 26 00:11:05 IST 2025</t>
  </si>
  <si>
    <t>5119233812</t>
  </si>
  <si>
    <t>AJI14829</t>
  </si>
  <si>
    <t>Sat Jul 26 07:51:58 IST 2025</t>
  </si>
  <si>
    <t>AF25GJ181603920</t>
  </si>
  <si>
    <t>Sat Jul 26 07:51:59 IST 2025</t>
  </si>
  <si>
    <t>FN9609606445</t>
  </si>
  <si>
    <t>Sat Jul 26 00:49:11 IST 2025</t>
  </si>
  <si>
    <t>5119233810</t>
  </si>
  <si>
    <t>AJI14828</t>
  </si>
  <si>
    <t>Sat Jul 26 07:51:48 IST 2025</t>
  </si>
  <si>
    <t>AF25GJ181603916</t>
  </si>
  <si>
    <t>Sat Jul 26 07:51:49 IST 2025</t>
  </si>
  <si>
    <t>700211961043</t>
  </si>
  <si>
    <t>1167(AJIO)_WHT_S</t>
  </si>
  <si>
    <t>FN4536607745</t>
  </si>
  <si>
    <t>Fri Jul 25 23:13:50 IST 2025</t>
  </si>
  <si>
    <t>5119233809</t>
  </si>
  <si>
    <t>AJI14827</t>
  </si>
  <si>
    <t>Sat Jul 26 07:51:37 IST 2025</t>
  </si>
  <si>
    <t>AF25GJ181603905</t>
  </si>
  <si>
    <t>Sat Jul 26 07:51:39 IST 2025</t>
  </si>
  <si>
    <t>FN6635607178</t>
  </si>
  <si>
    <t>Fri Jul 25 23:38:57 IST 2025</t>
  </si>
  <si>
    <t>5119233808</t>
  </si>
  <si>
    <t>AJI14826</t>
  </si>
  <si>
    <t>Sat Jul 26 07:51:33 IST 2025</t>
  </si>
  <si>
    <t>AF25GJ181603901</t>
  </si>
  <si>
    <t>EX0032765933</t>
  </si>
  <si>
    <t>Fri Jul 25 19:35:05 IST 2025</t>
  </si>
  <si>
    <t>5119233813</t>
  </si>
  <si>
    <t>AJI14825</t>
  </si>
  <si>
    <t>Sat Jul 26 07:51:22 IST 2025</t>
  </si>
  <si>
    <t>AF25GJ181603876</t>
  </si>
  <si>
    <t>Sat Jul 26 07:51:23 IST 2025</t>
  </si>
  <si>
    <t>FN7867605378</t>
  </si>
  <si>
    <t>Fri Jul 25 18:04:18 IST 2025</t>
  </si>
  <si>
    <t>5119233803</t>
  </si>
  <si>
    <t>AJI14824</t>
  </si>
  <si>
    <t>Sat Jul 26 07:51:13 IST 2025</t>
  </si>
  <si>
    <t>AF25GJ181603867</t>
  </si>
  <si>
    <t>FN8509605649</t>
  </si>
  <si>
    <t>Fri Jul 25 18:58:18 IST 2025</t>
  </si>
  <si>
    <t>5119233800</t>
  </si>
  <si>
    <t>AJI14823</t>
  </si>
  <si>
    <t>Sat Jul 26 07:51:05 IST 2025</t>
  </si>
  <si>
    <t>AF25GJ181603860</t>
  </si>
  <si>
    <t>Sat Jul 26 07:51:09 IST 2025</t>
  </si>
  <si>
    <t>701045948021</t>
  </si>
  <si>
    <t>1649-BK_28</t>
  </si>
  <si>
    <t>EX0032794164</t>
  </si>
  <si>
    <t>Fri Jul 25 21:31:46 IST 2025</t>
  </si>
  <si>
    <t>5119233806</t>
  </si>
  <si>
    <t>AJI14822</t>
  </si>
  <si>
    <t>Sat Jul 26 07:50:58 IST 2025</t>
  </si>
  <si>
    <t>AF25GJ181603851</t>
  </si>
  <si>
    <t>Sat Jul 26 07:51:03 IST 2025</t>
  </si>
  <si>
    <t>FN6588604609</t>
  </si>
  <si>
    <t>Fri Jul 25 21:18:42 IST 2025</t>
  </si>
  <si>
    <t>5119233807</t>
  </si>
  <si>
    <t>AJI14821</t>
  </si>
  <si>
    <t>Sat Jul 26 07:50:47 IST 2025</t>
  </si>
  <si>
    <t>AF25GJ181603827</t>
  </si>
  <si>
    <t>Sat Jul 26 07:50:48 IST 2025</t>
  </si>
  <si>
    <t>FN0468600466</t>
  </si>
  <si>
    <t>Fri Jul 25 21:38:18 IST 2025</t>
  </si>
  <si>
    <t>5119233799</t>
  </si>
  <si>
    <t>AJI14820</t>
  </si>
  <si>
    <t>Sat Jul 26 07:50:36 IST 2025</t>
  </si>
  <si>
    <t>AF25GJ181603821</t>
  </si>
  <si>
    <t>Sat Jul 26 07:50:37 IST 2025</t>
  </si>
  <si>
    <t>FN7592507035</t>
  </si>
  <si>
    <t>Fri Jul 25 21:57:15 IST 2025</t>
  </si>
  <si>
    <t>5119233798</t>
  </si>
  <si>
    <t>AJI14819</t>
  </si>
  <si>
    <t>Sat Jul 26 07:50:25 IST 2025</t>
  </si>
  <si>
    <t>AF25GJ181603815</t>
  </si>
  <si>
    <t>FN0385608705</t>
  </si>
  <si>
    <t>Fri Jul 25 20:52:11 IST 2025</t>
  </si>
  <si>
    <t>5119233322</t>
  </si>
  <si>
    <t>AJI14818</t>
  </si>
  <si>
    <t>Sat Jul 26 07:47:17 IST 2025</t>
  </si>
  <si>
    <t>AF25GJ181603509</t>
  </si>
  <si>
    <t>Sat Jul 26 07:47:18 IST 2025</t>
  </si>
  <si>
    <t>FN8396600435</t>
  </si>
  <si>
    <t>Fri Jul 25 11:06:24 IST 2025</t>
  </si>
  <si>
    <t>5119173122</t>
  </si>
  <si>
    <t>Fri Jul 25 00:00:00 IST 2025</t>
  </si>
  <si>
    <t>AJI14817</t>
  </si>
  <si>
    <t>Fri Jul 25 18:02:03 IST 2025</t>
  </si>
  <si>
    <t>AF25GJ181529624</t>
  </si>
  <si>
    <t>467166235001</t>
  </si>
  <si>
    <t>AJI1244</t>
  </si>
  <si>
    <t>AJI1244_GRY_L</t>
  </si>
  <si>
    <t>FN8234601989</t>
  </si>
  <si>
    <t>Fri Jul 25 11:08:13 IST 2025</t>
  </si>
  <si>
    <t>5119173123</t>
  </si>
  <si>
    <t>AJI14816</t>
  </si>
  <si>
    <t>Fri Jul 25 18:01:51 IST 2025</t>
  </si>
  <si>
    <t>AF25GJ181529603</t>
  </si>
  <si>
    <t>Fri Jul 25 18:01:52 IST 2025</t>
  </si>
  <si>
    <t>FN0838607811</t>
  </si>
  <si>
    <t>Fri Jul 25 11:11:11 IST 2025</t>
  </si>
  <si>
    <t>5119173109</t>
  </si>
  <si>
    <t>AJI14815</t>
  </si>
  <si>
    <t>Fri Jul 25 18:01:39 IST 2025</t>
  </si>
  <si>
    <t>AF25GJ181529582</t>
  </si>
  <si>
    <t>Fri Jul 25 18:01:40 IST 2025</t>
  </si>
  <si>
    <t>701045948033</t>
  </si>
  <si>
    <t>1649-DBRN_36</t>
  </si>
  <si>
    <t>FN6309609018</t>
  </si>
  <si>
    <t>Fri Jul 25 10:28:59 IST 2025</t>
  </si>
  <si>
    <t>5119173124</t>
  </si>
  <si>
    <t>AJI14814</t>
  </si>
  <si>
    <t>Fri Jul 25 18:01:17 IST 2025</t>
  </si>
  <si>
    <t>AF25GJ181529528</t>
  </si>
  <si>
    <t>Fri Jul 25 18:01:18 IST 2025</t>
  </si>
  <si>
    <t>467166228002</t>
  </si>
  <si>
    <t>AJI1241_YLW_XL</t>
  </si>
  <si>
    <t>FN7073609601</t>
  </si>
  <si>
    <t>Fri Jul 25 11:46:11 IST 2025</t>
  </si>
  <si>
    <t>5119173105</t>
  </si>
  <si>
    <t>AJI14813</t>
  </si>
  <si>
    <t>Fri Jul 25 18:01:06 IST 2025</t>
  </si>
  <si>
    <t>AF25GJ181529473</t>
  </si>
  <si>
    <t>Fri Jul 25 18:01:07 IST 2025</t>
  </si>
  <si>
    <t>FN3477601983</t>
  </si>
  <si>
    <t>Fri Jul 25 10:41:11 IST 2025</t>
  </si>
  <si>
    <t>5119173121</t>
  </si>
  <si>
    <t>AJI14812</t>
  </si>
  <si>
    <t>Fri Jul 25 18:00:55 IST 2025</t>
  </si>
  <si>
    <t>AF25GJ181529439</t>
  </si>
  <si>
    <t>FN0458608109</t>
  </si>
  <si>
    <t>Fri Jul 25 06:28:38 IST 2025</t>
  </si>
  <si>
    <t>5119173120</t>
  </si>
  <si>
    <t>AJI14811</t>
  </si>
  <si>
    <t>Fri Jul 25 18:00:44 IST 2025</t>
  </si>
  <si>
    <t>AF25GJ181529408</t>
  </si>
  <si>
    <t>FN2282607811</t>
  </si>
  <si>
    <t>Fri Jul 25 13:48:35 IST 2025</t>
  </si>
  <si>
    <t>5119173119</t>
  </si>
  <si>
    <t>AJI14810</t>
  </si>
  <si>
    <t>Fri Jul 25 18:00:32 IST 2025</t>
  </si>
  <si>
    <t>AF25GJ181529382</t>
  </si>
  <si>
    <t>Fri Jul 25 18:00:33 IST 2025</t>
  </si>
  <si>
    <t>700659603022</t>
  </si>
  <si>
    <t>1590_AQBL_XL</t>
  </si>
  <si>
    <t>FN1545603615</t>
  </si>
  <si>
    <t>Fri Jul 25 10:04:45 IST 2025</t>
  </si>
  <si>
    <t>5119173093</t>
  </si>
  <si>
    <t>AJI14809</t>
  </si>
  <si>
    <t>Fri Jul 25 18:00:29 IST 2025</t>
  </si>
  <si>
    <t>AF25GJ181529228</t>
  </si>
  <si>
    <t>700211961029</t>
  </si>
  <si>
    <t>1163(AJIO)_GRY_3XL</t>
  </si>
  <si>
    <t>FN0868606746</t>
  </si>
  <si>
    <t>Fri Jul 25 07:03:42 IST 2025</t>
  </si>
  <si>
    <t>5119173104</t>
  </si>
  <si>
    <t>AJI14808</t>
  </si>
  <si>
    <t>Fri Jul 25 18:00:21 IST 2025</t>
  </si>
  <si>
    <t>AF25GJ181529154</t>
  </si>
  <si>
    <t>Fri Jul 25 18:00:22 IST 2025</t>
  </si>
  <si>
    <t>FN5868601232</t>
  </si>
  <si>
    <t>Fri Jul 25 13:51:27 IST 2025</t>
  </si>
  <si>
    <t>5119173103</t>
  </si>
  <si>
    <t>AJI14807</t>
  </si>
  <si>
    <t>Fri Jul 25 18:00:09 IST 2025</t>
  </si>
  <si>
    <t>AF25GJ181528963</t>
  </si>
  <si>
    <t>700211961001</t>
  </si>
  <si>
    <t>1162(AJIO)_BK_S</t>
  </si>
  <si>
    <t>FN7318609866</t>
  </si>
  <si>
    <t>Fri Jul 25 08:11:58 IST 2025</t>
  </si>
  <si>
    <t>5119173102</t>
  </si>
  <si>
    <t>AJI14806</t>
  </si>
  <si>
    <t>Fri Jul 25 17:59:58 IST 2025</t>
  </si>
  <si>
    <t>AF25GJ181528925</t>
  </si>
  <si>
    <t>FN9577604394</t>
  </si>
  <si>
    <t>Fri Jul 25 16:14:44 IST 2025</t>
  </si>
  <si>
    <t>5119173117</t>
  </si>
  <si>
    <t>AJI14805</t>
  </si>
  <si>
    <t>Fri Jul 25 17:59:47 IST 2025</t>
  </si>
  <si>
    <t>AF25GJ181528900</t>
  </si>
  <si>
    <t>700659603025</t>
  </si>
  <si>
    <t>1594_MRN_L</t>
  </si>
  <si>
    <t>FN0755602030</t>
  </si>
  <si>
    <t>Fri Jul 25 03:54:28 IST 2025</t>
  </si>
  <si>
    <t>5119173101</t>
  </si>
  <si>
    <t>AJI14804</t>
  </si>
  <si>
    <t>Fri Jul 25 17:59:36 IST 2025</t>
  </si>
  <si>
    <t>AF25GJ181528840</t>
  </si>
  <si>
    <t>701170766026</t>
  </si>
  <si>
    <t>AJIO-DPTSET-ALL</t>
  </si>
  <si>
    <t>AJI-1499-PNK_M</t>
  </si>
  <si>
    <t>502.85</t>
  </si>
  <si>
    <t>11.97</t>
  </si>
  <si>
    <t>502.84</t>
  </si>
  <si>
    <t>478.9</t>
  </si>
  <si>
    <t>FN1297609311</t>
  </si>
  <si>
    <t>Fri Jul 25 17:39:50 IST 2025</t>
  </si>
  <si>
    <t>5119173099</t>
  </si>
  <si>
    <t>AJI14803</t>
  </si>
  <si>
    <t>Fri Jul 25 17:59:24 IST 2025</t>
  </si>
  <si>
    <t>AF25GJ181528859</t>
  </si>
  <si>
    <t>Fri Jul 25 17:59:25 IST 2025</t>
  </si>
  <si>
    <t>FN3568605935</t>
  </si>
  <si>
    <t>Fri Jul 25 08:14:19 IST 2025</t>
  </si>
  <si>
    <t>5119173126</t>
  </si>
  <si>
    <t>AJI14802</t>
  </si>
  <si>
    <t>Fri Jul 25 17:59:13 IST 2025</t>
  </si>
  <si>
    <t>AF25GJ181528791</t>
  </si>
  <si>
    <t>Fri Jul 25 17:59:14 IST 2025</t>
  </si>
  <si>
    <t>701045948064</t>
  </si>
  <si>
    <t>1649-TBL_32</t>
  </si>
  <si>
    <t>701045948015</t>
  </si>
  <si>
    <t>1649-BG_32</t>
  </si>
  <si>
    <t>FN6688600093</t>
  </si>
  <si>
    <t>Fri Jul 25 11:44:52 IST 2025</t>
  </si>
  <si>
    <t>5119173118</t>
  </si>
  <si>
    <t>AJI14801</t>
  </si>
  <si>
    <t>Fri Jul 25 17:58:51 IST 2025</t>
  </si>
  <si>
    <t>AF25GJ181528679</t>
  </si>
  <si>
    <t>FN8418607842</t>
  </si>
  <si>
    <t>Fri Jul 25 14:19:52 IST 2025</t>
  </si>
  <si>
    <t>5119173116</t>
  </si>
  <si>
    <t>AJI14800</t>
  </si>
  <si>
    <t>Fri Jul 25 17:58:40 IST 2025</t>
  </si>
  <si>
    <t>AF25GJ181528620</t>
  </si>
  <si>
    <t>Fri Jul 25 17:58:41 IST 2025</t>
  </si>
  <si>
    <t>FN1638600471</t>
  </si>
  <si>
    <t>Fri Jul 25 14:37:41 IST 2025</t>
  </si>
  <si>
    <t>5119173115</t>
  </si>
  <si>
    <t>AJI14799</t>
  </si>
  <si>
    <t>Fri Jul 25 17:58:29 IST 2025</t>
  </si>
  <si>
    <t>AF25GJ181528590</t>
  </si>
  <si>
    <t>Fri Jul 25 17:58:30 IST 2025</t>
  </si>
  <si>
    <t>FN8193601995</t>
  </si>
  <si>
    <t>Fri Jul 25 14:46:14 IST 2025</t>
  </si>
  <si>
    <t>5119173114</t>
  </si>
  <si>
    <t>AJI14798</t>
  </si>
  <si>
    <t>Fri Jul 25 17:58:18 IST 2025</t>
  </si>
  <si>
    <t>AF25GJ181528549</t>
  </si>
  <si>
    <t>Fri Jul 25 17:58:19 IST 2025</t>
  </si>
  <si>
    <t>701000619004</t>
  </si>
  <si>
    <t>1499_PNK_S</t>
  </si>
  <si>
    <t>FN1768609788</t>
  </si>
  <si>
    <t>Fri Jul 25 14:55:00 IST 2025</t>
  </si>
  <si>
    <t>5119173096</t>
  </si>
  <si>
    <t>AJI14797</t>
  </si>
  <si>
    <t>Fri Jul 25 17:58:07 IST 2025</t>
  </si>
  <si>
    <t>AF25GJ181528487</t>
  </si>
  <si>
    <t>Fri Jul 25 17:58:10 IST 2025</t>
  </si>
  <si>
    <t>FN6509606384</t>
  </si>
  <si>
    <t>Fri Jul 25 17:30:03 IST 2025</t>
  </si>
  <si>
    <t>5119173097</t>
  </si>
  <si>
    <t>AJI14796</t>
  </si>
  <si>
    <t>Fri Jul 25 17:57:56 IST 2025</t>
  </si>
  <si>
    <t>AF25GJ181528410</t>
  </si>
  <si>
    <t>FN2968606290</t>
  </si>
  <si>
    <t>Fri Jul 25 09:07:21 IST 2025</t>
  </si>
  <si>
    <t>5119173094</t>
  </si>
  <si>
    <t>AJI14795</t>
  </si>
  <si>
    <t>Fri Jul 25 17:57:45 IST 2025</t>
  </si>
  <si>
    <t>AF25GJ181528314</t>
  </si>
  <si>
    <t>FN0409608709</t>
  </si>
  <si>
    <t>Fri Jul 25 09:29:04 IST 2025</t>
  </si>
  <si>
    <t>5119173113</t>
  </si>
  <si>
    <t>AJI14794</t>
  </si>
  <si>
    <t>Fri Jul 25 17:57:34 IST 2025</t>
  </si>
  <si>
    <t>AF25GJ181528305</t>
  </si>
  <si>
    <t>700211961025</t>
  </si>
  <si>
    <t>1163(AJIO)_GRY_S</t>
  </si>
  <si>
    <t>FN9363405327</t>
  </si>
  <si>
    <t>Fri Jul 25 15:39:39 IST 2025</t>
  </si>
  <si>
    <t>5119173111</t>
  </si>
  <si>
    <t>AJI14793</t>
  </si>
  <si>
    <t>Fri Jul 25 17:57:22 IST 2025</t>
  </si>
  <si>
    <t>AF25GJ181528268</t>
  </si>
  <si>
    <t>Fri Jul 25 17:57:23 IST 2025</t>
  </si>
  <si>
    <t>FN1817603373</t>
  </si>
  <si>
    <t>Fri Jul 25 15:45:32 IST 2025</t>
  </si>
  <si>
    <t>5119173091</t>
  </si>
  <si>
    <t>AJI14792</t>
  </si>
  <si>
    <t>Fri Jul 25 17:57:11 IST 2025</t>
  </si>
  <si>
    <t>AF25GJ181528228</t>
  </si>
  <si>
    <t>Fri Jul 25 17:57:12 IST 2025</t>
  </si>
  <si>
    <t>700211961045</t>
  </si>
  <si>
    <t>1167(AJIO)_WHT_3XL</t>
  </si>
  <si>
    <t>FN2757607274</t>
  </si>
  <si>
    <t>Fri Jul 25 00:13:11 IST 2025</t>
  </si>
  <si>
    <t>5119173112</t>
  </si>
  <si>
    <t>AJI14791</t>
  </si>
  <si>
    <t>Fri Jul 25 17:57:00 IST 2025</t>
  </si>
  <si>
    <t>AF25GJ181528195</t>
  </si>
  <si>
    <t>Fri Jul 25 17:57:05 IST 2025</t>
  </si>
  <si>
    <t>FN4698604957</t>
  </si>
  <si>
    <t>Fri Jul 25 00:13:40 IST 2025</t>
  </si>
  <si>
    <t>5119173110</t>
  </si>
  <si>
    <t>AJI14790</t>
  </si>
  <si>
    <t>Fri Jul 25 17:56:49 IST 2025</t>
  </si>
  <si>
    <t>AF25GJ181528128</t>
  </si>
  <si>
    <t>Fri Jul 25 17:56:50 IST 2025</t>
  </si>
  <si>
    <t>FN4309605592</t>
  </si>
  <si>
    <t>Fri Jul 25 00:32:01 IST 2025</t>
  </si>
  <si>
    <t>5119173092</t>
  </si>
  <si>
    <t>AJI14789</t>
  </si>
  <si>
    <t>Fri Jul 25 17:56:37 IST 2025</t>
  </si>
  <si>
    <t>AF25GJ181528102</t>
  </si>
  <si>
    <t>Fri Jul 25 17:56:38 IST 2025</t>
  </si>
  <si>
    <t>FN9545607960</t>
  </si>
  <si>
    <t>Fri Jul 25 00:36:47 IST 2025</t>
  </si>
  <si>
    <t>5119173108</t>
  </si>
  <si>
    <t>AJI14788</t>
  </si>
  <si>
    <t>Fri Jul 25 17:56:26 IST 2025</t>
  </si>
  <si>
    <t>AF25GJ181528054</t>
  </si>
  <si>
    <t>700211961048</t>
  </si>
  <si>
    <t>1167(AJIO)_WHT_L</t>
  </si>
  <si>
    <t>FN7767607616</t>
  </si>
  <si>
    <t>Fri Jul 25 12:49:16 IST 2025</t>
  </si>
  <si>
    <t>5119173107</t>
  </si>
  <si>
    <t>AJI14787</t>
  </si>
  <si>
    <t>Fri Jul 25 17:56:15 IST 2025</t>
  </si>
  <si>
    <t>AF25GJ181528031</t>
  </si>
  <si>
    <t>700211961024</t>
  </si>
  <si>
    <t>1524(AJIO)_CRM_L</t>
  </si>
  <si>
    <t>FN4148609536</t>
  </si>
  <si>
    <t>Fri Jul 25 12:49:29 IST 2025</t>
  </si>
  <si>
    <t>5119173106</t>
  </si>
  <si>
    <t>AJI14786</t>
  </si>
  <si>
    <t>Fri Jul 25 17:56:03 IST 2025</t>
  </si>
  <si>
    <t>AF25GJ181527975</t>
  </si>
  <si>
    <t>Fri Jul 25 17:56:04 IST 2025</t>
  </si>
  <si>
    <t>700211961013</t>
  </si>
  <si>
    <t>1426(AJIO)_BG_S</t>
  </si>
  <si>
    <t>FN8667505050</t>
  </si>
  <si>
    <t>Thu Jul 24 13:32:50 IST 2025</t>
  </si>
  <si>
    <t>5119079046</t>
  </si>
  <si>
    <t>AJI14785</t>
  </si>
  <si>
    <t>Fri Jul 25 08:27:33 IST 2025</t>
  </si>
  <si>
    <t>AF25GJ181343044</t>
  </si>
  <si>
    <t>Fri Jul 25 08:27:39 IST 2025</t>
  </si>
  <si>
    <t>FN1396607601</t>
  </si>
  <si>
    <t>Thu Jul 24 18:45:03 IST 2025</t>
  </si>
  <si>
    <t>5119072104</t>
  </si>
  <si>
    <t>AJI14784</t>
  </si>
  <si>
    <t>Fri Jul 25 08:02:21 IST 2025</t>
  </si>
  <si>
    <t>AF25GJ181338889</t>
  </si>
  <si>
    <t>Fri Jul 25 08:02:22 IST 2025</t>
  </si>
  <si>
    <t>FN9209604677</t>
  </si>
  <si>
    <t>Thu Jul 24 21:32:43 IST 2025</t>
  </si>
  <si>
    <t>5119072101</t>
  </si>
  <si>
    <t>AJI14783</t>
  </si>
  <si>
    <t>Fri Jul 25 08:02:10 IST 2025</t>
  </si>
  <si>
    <t>AF25GJ181338883</t>
  </si>
  <si>
    <t>FN0747605195</t>
  </si>
  <si>
    <t>Thu Jul 24 21:53:32 IST 2025</t>
  </si>
  <si>
    <t>5119072089</t>
  </si>
  <si>
    <t>AJI14782</t>
  </si>
  <si>
    <t>Fri Jul 25 08:01:58 IST 2025</t>
  </si>
  <si>
    <t>AF25GJ181338851</t>
  </si>
  <si>
    <t>701045948055</t>
  </si>
  <si>
    <t>1649-NBL_28</t>
  </si>
  <si>
    <t>FN9197606293</t>
  </si>
  <si>
    <t>Thu Jul 24 22:01:26 IST 2025</t>
  </si>
  <si>
    <t>5119072103</t>
  </si>
  <si>
    <t>AJI14781</t>
  </si>
  <si>
    <t>Fri Jul 25 08:01:46 IST 2025</t>
  </si>
  <si>
    <t>AF25GJ181338840</t>
  </si>
  <si>
    <t>Fri Jul 25 08:01:47 IST 2025</t>
  </si>
  <si>
    <t>701000619002</t>
  </si>
  <si>
    <t>1501_RD_S</t>
  </si>
  <si>
    <t>FN9788608416</t>
  </si>
  <si>
    <t>Thu Jul 24 22:26:03 IST 2025</t>
  </si>
  <si>
    <t>5119072088</t>
  </si>
  <si>
    <t>AJI14780</t>
  </si>
  <si>
    <t>Fri Jul 25 08:01:36 IST 2025</t>
  </si>
  <si>
    <t>AF25GJ181338808</t>
  </si>
  <si>
    <t>FN3309601530</t>
  </si>
  <si>
    <t>Thu Jul 24 23:01:09 IST 2025</t>
  </si>
  <si>
    <t>5119072094</t>
  </si>
  <si>
    <t>AJI14779</t>
  </si>
  <si>
    <t>Fri Jul 25 08:01:24 IST 2025</t>
  </si>
  <si>
    <t>AF25GJ181338824</t>
  </si>
  <si>
    <t>Fri Jul 25 08:01:25 IST 2025</t>
  </si>
  <si>
    <t>FN4209609205</t>
  </si>
  <si>
    <t>Thu Jul 24 19:25:32 IST 2025</t>
  </si>
  <si>
    <t>5119072092</t>
  </si>
  <si>
    <t>AJI14778</t>
  </si>
  <si>
    <t>Fri Jul 25 08:01:13 IST 2025</t>
  </si>
  <si>
    <t>AF25GJ181338798</t>
  </si>
  <si>
    <t>Fri Jul 25 08:01:14 IST 2025</t>
  </si>
  <si>
    <t>700211961015</t>
  </si>
  <si>
    <t>1524(AJIO)_CRM_XL</t>
  </si>
  <si>
    <t>FN5209602155</t>
  </si>
  <si>
    <t>Thu Jul 24 19:33:50 IST 2025</t>
  </si>
  <si>
    <t>5119072087</t>
  </si>
  <si>
    <t>AJI14777</t>
  </si>
  <si>
    <t>Fri Jul 25 08:01:02 IST 2025</t>
  </si>
  <si>
    <t>AF25GJ181338784</t>
  </si>
  <si>
    <t>Fri Jul 25 08:01:03 IST 2025</t>
  </si>
  <si>
    <t>FN3541604197</t>
  </si>
  <si>
    <t>Thu Jul 24 13:22:03 IST 2025</t>
  </si>
  <si>
    <t>5119072090</t>
  </si>
  <si>
    <t>AJI14776</t>
  </si>
  <si>
    <t>Fri Jul 25 08:00:51 IST 2025</t>
  </si>
  <si>
    <t>AF25GJ181338748</t>
  </si>
  <si>
    <t>701170766018</t>
  </si>
  <si>
    <t>AJI-1501-RED_M</t>
  </si>
  <si>
    <t>FN9714606228</t>
  </si>
  <si>
    <t>Thu Jul 24 20:25:26 IST 2025</t>
  </si>
  <si>
    <t>5119072100</t>
  </si>
  <si>
    <t>AJI14775</t>
  </si>
  <si>
    <t>Fri Jul 25 08:00:40 IST 2025</t>
  </si>
  <si>
    <t>AF25GJ181338759</t>
  </si>
  <si>
    <t>Fri Jul 25 08:00:41 IST 2025</t>
  </si>
  <si>
    <t>701045948002</t>
  </si>
  <si>
    <t>1649-PCH_36</t>
  </si>
  <si>
    <t>EX0032778152</t>
  </si>
  <si>
    <t>Thu Jul 24 20:41:30 IST 2025</t>
  </si>
  <si>
    <t>5119072093</t>
  </si>
  <si>
    <t>AJI14774</t>
  </si>
  <si>
    <t>Fri Jul 25 08:00:18 IST 2025</t>
  </si>
  <si>
    <t>AF25GJ181338722</t>
  </si>
  <si>
    <t>FN0390600270</t>
  </si>
  <si>
    <t>Thu Jul 24 17:30:03 IST 2025</t>
  </si>
  <si>
    <t>5119010551</t>
  </si>
  <si>
    <t>Thu Jul 24 00:00:00 IST 2025</t>
  </si>
  <si>
    <t>AJI14773</t>
  </si>
  <si>
    <t>Thu Jul 24 18:19:39 IST 2025</t>
  </si>
  <si>
    <t>AF25GJ181270101</t>
  </si>
  <si>
    <t>Thu Jul 24 18:19:40 IST 2025</t>
  </si>
  <si>
    <t>FN0398603727</t>
  </si>
  <si>
    <t>Thu Jul 24 17:43:32 IST 2025</t>
  </si>
  <si>
    <t>5119010550</t>
  </si>
  <si>
    <t>AJI14772</t>
  </si>
  <si>
    <t>Thu Jul 24 18:19:28 IST 2025</t>
  </si>
  <si>
    <t>AF25GJ181270063</t>
  </si>
  <si>
    <t>FN1137609567</t>
  </si>
  <si>
    <t>Thu Jul 24 09:19:35 IST 2025</t>
  </si>
  <si>
    <t>5119010549</t>
  </si>
  <si>
    <t>AJI14771</t>
  </si>
  <si>
    <t>Thu Jul 24 18:19:17 IST 2025</t>
  </si>
  <si>
    <t>AF25GJ181270004</t>
  </si>
  <si>
    <t>Thu Jul 24 18:19:18 IST 2025</t>
  </si>
  <si>
    <t>FN5288605888</t>
  </si>
  <si>
    <t>Thu Jul 24 10:20:57 IST 2025</t>
  </si>
  <si>
    <t>5119010563</t>
  </si>
  <si>
    <t>AJI14769</t>
  </si>
  <si>
    <t>Thu Jul 24 18:19:06 IST 2025</t>
  </si>
  <si>
    <t>AF25GJ181269949</t>
  </si>
  <si>
    <t>Thu Jul 24 18:19:07 IST 2025</t>
  </si>
  <si>
    <t>700211961035</t>
  </si>
  <si>
    <t>1166(AJIO)_RM_3XL</t>
  </si>
  <si>
    <t>700211961006</t>
  </si>
  <si>
    <t>1524(AJIO)_CRM_3XL</t>
  </si>
  <si>
    <t>FN3209608572</t>
  </si>
  <si>
    <t>Thu Jul 24 18:06:03 IST 2025</t>
  </si>
  <si>
    <t>5119010537</t>
  </si>
  <si>
    <t>AJI14770</t>
  </si>
  <si>
    <t>AF25GJ181269952</t>
  </si>
  <si>
    <t>FN9578609236</t>
  </si>
  <si>
    <t>Thu Jul 24 11:25:08 IST 2025</t>
  </si>
  <si>
    <t>5119010535</t>
  </si>
  <si>
    <t>AJI14768</t>
  </si>
  <si>
    <t>Thu Jul 24 18:18:55 IST 2025</t>
  </si>
  <si>
    <t>AF25GJ181269907</t>
  </si>
  <si>
    <t>Thu Jul 24 18:18:56 IST 2025</t>
  </si>
  <si>
    <t>700659603029</t>
  </si>
  <si>
    <t>1591_RD_XXL</t>
  </si>
  <si>
    <t>EX0032750728</t>
  </si>
  <si>
    <t>Thu Jul 24 10:45:10 IST 2025</t>
  </si>
  <si>
    <t>5119010547</t>
  </si>
  <si>
    <t>AJI14767</t>
  </si>
  <si>
    <t>Thu Jul 24 18:18:42 IST 2025</t>
  </si>
  <si>
    <t>AF25GJ181269873</t>
  </si>
  <si>
    <t>Thu Jul 24 18:18:43 IST 2025</t>
  </si>
  <si>
    <t>FN0109604641</t>
  </si>
  <si>
    <t>Thu Jul 24 11:38:06 IST 2025</t>
  </si>
  <si>
    <t>5119010546</t>
  </si>
  <si>
    <t>AJI14766</t>
  </si>
  <si>
    <t>Thu Jul 24 18:18:31 IST 2025</t>
  </si>
  <si>
    <t>AF25GJ181269848</t>
  </si>
  <si>
    <t>Thu Jul 24 18:18:33 IST 2025</t>
  </si>
  <si>
    <t>FN0277609032</t>
  </si>
  <si>
    <t>Thu Jul 24 09:37:43 IST 2025</t>
  </si>
  <si>
    <t>5119010548</t>
  </si>
  <si>
    <t>AJI14765</t>
  </si>
  <si>
    <t>Thu Jul 24 18:18:20 IST 2025</t>
  </si>
  <si>
    <t>AF25GJ181269821</t>
  </si>
  <si>
    <t>Thu Jul 24 18:18:21 IST 2025</t>
  </si>
  <si>
    <t>700211961005</t>
  </si>
  <si>
    <t>1162(AJIO)_BK_XXL</t>
  </si>
  <si>
    <t>FN4928600892</t>
  </si>
  <si>
    <t>Thu Jul 24 14:34:46 IST 2025</t>
  </si>
  <si>
    <t>5119010544</t>
  </si>
  <si>
    <t>AJI14764</t>
  </si>
  <si>
    <t>Thu Jul 24 18:18:09 IST 2025</t>
  </si>
  <si>
    <t>AF25GJ181269761</t>
  </si>
  <si>
    <t>Thu Jul 24 18:18:10 IST 2025</t>
  </si>
  <si>
    <t>FN9368603925</t>
  </si>
  <si>
    <t>Thu Jul 24 14:49:28 IST 2025</t>
  </si>
  <si>
    <t>5119010545</t>
  </si>
  <si>
    <t>AJI14763</t>
  </si>
  <si>
    <t>Thu Jul 24 18:17:58 IST 2025</t>
  </si>
  <si>
    <t>AF25GJ181269729</t>
  </si>
  <si>
    <t>Thu Jul 24 18:17:59 IST 2025</t>
  </si>
  <si>
    <t>700211961017</t>
  </si>
  <si>
    <t>1164(AJIO)_PRL_L</t>
  </si>
  <si>
    <t>FN9048604655</t>
  </si>
  <si>
    <t>Thu Jul 24 16:06:59 IST 2025</t>
  </si>
  <si>
    <t>5119010543</t>
  </si>
  <si>
    <t>AJI14762</t>
  </si>
  <si>
    <t>Thu Jul 24 18:17:47 IST 2025</t>
  </si>
  <si>
    <t>AF25GJ181269697</t>
  </si>
  <si>
    <t>Thu Jul 24 18:17:48 IST 2025</t>
  </si>
  <si>
    <t>FN0478600596</t>
  </si>
  <si>
    <t>Thu Jul 24 17:12:16 IST 2025</t>
  </si>
  <si>
    <t>5119010541</t>
  </si>
  <si>
    <t>AJI14761</t>
  </si>
  <si>
    <t>Thu Jul 24 18:17:36 IST 2025</t>
  </si>
  <si>
    <t>AF25GJ181269670</t>
  </si>
  <si>
    <t>FN3298601199</t>
  </si>
  <si>
    <t>Thu Jul 24 16:57:07 IST 2025</t>
  </si>
  <si>
    <t>5119010540</t>
  </si>
  <si>
    <t>AJI14760</t>
  </si>
  <si>
    <t>Thu Jul 24 18:17:25 IST 2025</t>
  </si>
  <si>
    <t>AF25GJ181269610</t>
  </si>
  <si>
    <t>FN7207604403</t>
  </si>
  <si>
    <t>Thu Jul 24 14:56:09 IST 2025</t>
  </si>
  <si>
    <t>5119010539</t>
  </si>
  <si>
    <t>AJI14759</t>
  </si>
  <si>
    <t>Thu Jul 24 18:17:13 IST 2025</t>
  </si>
  <si>
    <t>AF25GJ181269559</t>
  </si>
  <si>
    <t>Thu Jul 24 18:17:14 IST 2025</t>
  </si>
  <si>
    <t>701045948046</t>
  </si>
  <si>
    <t>1649-GRY_38</t>
  </si>
  <si>
    <t>FN7009604721</t>
  </si>
  <si>
    <t>Thu Jul 24 15:12:42 IST 2025</t>
  </si>
  <si>
    <t>5119010542</t>
  </si>
  <si>
    <t>AJI14758</t>
  </si>
  <si>
    <t>Thu Jul 24 18:17:02 IST 2025</t>
  </si>
  <si>
    <t>AF25GJ181269489</t>
  </si>
  <si>
    <t>Thu Jul 24 18:17:03 IST 2025</t>
  </si>
  <si>
    <t>FN8109607435</t>
  </si>
  <si>
    <t>Thu Jul 24 16:20:48 IST 2025</t>
  </si>
  <si>
    <t>5119010538</t>
  </si>
  <si>
    <t>AJI14757</t>
  </si>
  <si>
    <t>Thu Jul 24 18:16:52 IST 2025</t>
  </si>
  <si>
    <t>AF25GJ181269464</t>
  </si>
  <si>
    <t>FN2266608473</t>
  </si>
  <si>
    <t>Thu Jul 24 08:25:51 IST 2025</t>
  </si>
  <si>
    <t>5119010534</t>
  </si>
  <si>
    <t>AJI14756</t>
  </si>
  <si>
    <t>Thu Jul 24 18:16:40 IST 2025</t>
  </si>
  <si>
    <t>AF25GJ181269419</t>
  </si>
  <si>
    <t>Thu Jul 24 18:16:41 IST 2025</t>
  </si>
  <si>
    <t>FN9658209455</t>
  </si>
  <si>
    <t>Thu Jul 24 13:44:55 IST 2025</t>
  </si>
  <si>
    <t>5119010532</t>
  </si>
  <si>
    <t>AJI14755</t>
  </si>
  <si>
    <t>Thu Jul 24 18:16:29 IST 2025</t>
  </si>
  <si>
    <t>AF25GJ181269384</t>
  </si>
  <si>
    <t>FN1956608878</t>
  </si>
  <si>
    <t>Thu Jul 24 08:25:28 IST 2025</t>
  </si>
  <si>
    <t>5119010533</t>
  </si>
  <si>
    <t>AJI14754</t>
  </si>
  <si>
    <t>Thu Jul 24 18:16:18 IST 2025</t>
  </si>
  <si>
    <t>AF25GJ181269354</t>
  </si>
  <si>
    <t>FN2222600606</t>
  </si>
  <si>
    <t>Thu Jul 24 12:01:14 IST 2025</t>
  </si>
  <si>
    <t>5119010531</t>
  </si>
  <si>
    <t>AJI14753</t>
  </si>
  <si>
    <t>Thu Jul 24 18:16:07 IST 2025</t>
  </si>
  <si>
    <t>AF25GJ181269319</t>
  </si>
  <si>
    <t>FN8127606005</t>
  </si>
  <si>
    <t>Thu Jul 24 01:37:43 IST 2025</t>
  </si>
  <si>
    <t>5118911306</t>
  </si>
  <si>
    <t>AJI14752</t>
  </si>
  <si>
    <t>Thu Jul 24 18:14:16 IST 2025</t>
  </si>
  <si>
    <t>AF25GJ181268999</t>
  </si>
  <si>
    <t>FN0098609080</t>
  </si>
  <si>
    <t>Thu Jul 24 02:03:22 IST 2025</t>
  </si>
  <si>
    <t>5118911309</t>
  </si>
  <si>
    <t>AJI14751</t>
  </si>
  <si>
    <t>Thu Jul 24 18:14:04 IST 2025</t>
  </si>
  <si>
    <t>AF25GJ181268976</t>
  </si>
  <si>
    <t>Thu Jul 24 18:14:05 IST 2025</t>
  </si>
  <si>
    <t>FN1009605057</t>
  </si>
  <si>
    <t>Thu Jul 24 00:34:45 IST 2025</t>
  </si>
  <si>
    <t>5118911308</t>
  </si>
  <si>
    <t>AJI14750</t>
  </si>
  <si>
    <t>Thu Jul 24 18:13:53 IST 2025</t>
  </si>
  <si>
    <t>AF25GJ181268939</t>
  </si>
  <si>
    <t>Thu Jul 24 18:13:54 IST 2025</t>
  </si>
  <si>
    <t>FN3009605778</t>
  </si>
  <si>
    <t>Thu Jul 24 04:42:44 IST 2025</t>
  </si>
  <si>
    <t>5118911307</t>
  </si>
  <si>
    <t>AJI14749</t>
  </si>
  <si>
    <t>Thu Jul 24 18:13:42 IST 2025</t>
  </si>
  <si>
    <t>AF25GJ181268878</t>
  </si>
  <si>
    <t>FN0909500675</t>
  </si>
  <si>
    <t>Thu Jul 24 00:51:41 IST 2025</t>
  </si>
  <si>
    <t>5118911305</t>
  </si>
  <si>
    <t>AJI14748</t>
  </si>
  <si>
    <t>Thu Jul 24 18:13:31 IST 2025</t>
  </si>
  <si>
    <t>AF25GJ181268898</t>
  </si>
  <si>
    <t>FN8598600442</t>
  </si>
  <si>
    <t>Wed Jul 23 23:00:27 IST 2025</t>
  </si>
  <si>
    <t>5118911310</t>
  </si>
  <si>
    <t>AJI14747</t>
  </si>
  <si>
    <t>Thu Jul 24 08:17:01 IST 2025</t>
  </si>
  <si>
    <t>AF25GJ181081409</t>
  </si>
  <si>
    <t>Thu Jul 24 08:17:06 IST 2025</t>
  </si>
  <si>
    <t>FN3009602635</t>
  </si>
  <si>
    <t>Thu Jul 24 02:52:04 IST 2025</t>
  </si>
  <si>
    <t>5118911311</t>
  </si>
  <si>
    <t>AJI14746</t>
  </si>
  <si>
    <t>Thu Jul 24 08:15:58 IST 2025</t>
  </si>
  <si>
    <t>AF25GJ181081116</t>
  </si>
  <si>
    <t>Thu Jul 24 08:16:04 IST 2025</t>
  </si>
  <si>
    <t>FN0278603774</t>
  </si>
  <si>
    <t>Thu Jul 24 07:13:32 IST 2025</t>
  </si>
  <si>
    <t>5118911313</t>
  </si>
  <si>
    <t>AJI14745</t>
  </si>
  <si>
    <t>Thu Jul 24 08:15:47 IST 2025</t>
  </si>
  <si>
    <t>AF25GJ181081058</t>
  </si>
  <si>
    <t>Thu Jul 24 08:15:53 IST 2025</t>
  </si>
  <si>
    <t>700223415023</t>
  </si>
  <si>
    <t>AJI-1542-47</t>
  </si>
  <si>
    <t>1546_PRL_L</t>
  </si>
  <si>
    <t>FN8088601562</t>
  </si>
  <si>
    <t>Wed Jul 23 21:56:02 IST 2025</t>
  </si>
  <si>
    <t>5118910404</t>
  </si>
  <si>
    <t>AJI14744</t>
  </si>
  <si>
    <t>Thu Jul 24 08:12:06 IST 2025</t>
  </si>
  <si>
    <t>AF25GJ181080158</t>
  </si>
  <si>
    <t>Thu Jul 24 08:12:08 IST 2025</t>
  </si>
  <si>
    <t>FN2998607091</t>
  </si>
  <si>
    <t>Wed Jul 23 20:04:43 IST 2025</t>
  </si>
  <si>
    <t>5118910405</t>
  </si>
  <si>
    <t>AJI14743</t>
  </si>
  <si>
    <t>Thu Jul 24 08:11:55 IST 2025</t>
  </si>
  <si>
    <t>AF25GJ181080122</t>
  </si>
  <si>
    <t>Thu Jul 24 08:11:58 IST 2025</t>
  </si>
  <si>
    <t>FN5998603951</t>
  </si>
  <si>
    <t>Wed Jul 23 21:20:21 IST 2025</t>
  </si>
  <si>
    <t>5118910412</t>
  </si>
  <si>
    <t>AJI14742</t>
  </si>
  <si>
    <t>Thu Jul 24 08:10:42 IST 2025</t>
  </si>
  <si>
    <t>AF25GJ181079823</t>
  </si>
  <si>
    <t>FN1105609292</t>
  </si>
  <si>
    <t>Wed Jul 23 21:55:15 IST 2025</t>
  </si>
  <si>
    <t>5118910403</t>
  </si>
  <si>
    <t>AJI14741</t>
  </si>
  <si>
    <t>Thu Jul 24 08:10:24 IST 2025</t>
  </si>
  <si>
    <t>AF25GJ181079709</t>
  </si>
  <si>
    <t>Thu Jul 24 08:10:29 IST 2025</t>
  </si>
  <si>
    <t>701000619011</t>
  </si>
  <si>
    <t>1499_PNK_XL</t>
  </si>
  <si>
    <t>FN4457605694</t>
  </si>
  <si>
    <t>Wed Jul 23 22:07:19 IST 2025</t>
  </si>
  <si>
    <t>5118909835</t>
  </si>
  <si>
    <t>AJI14740</t>
  </si>
  <si>
    <t>Thu Jul 24 08:07:38 IST 2025</t>
  </si>
  <si>
    <t>AF25GJ181078987</t>
  </si>
  <si>
    <t>FN8861607387</t>
  </si>
  <si>
    <t>Wed Jul 23 22:25:47 IST 2025</t>
  </si>
  <si>
    <t>5118909833</t>
  </si>
  <si>
    <t>AJI14739</t>
  </si>
  <si>
    <t>Thu Jul 24 08:07:27 IST 2025</t>
  </si>
  <si>
    <t>AF25GJ181078963</t>
  </si>
  <si>
    <t>Thu Jul 24 08:07:29 IST 2025</t>
  </si>
  <si>
    <t>700659603007</t>
  </si>
  <si>
    <t>1590_AQBL_XXL</t>
  </si>
  <si>
    <t>FN3236409661</t>
  </si>
  <si>
    <t>Wed Jul 23 22:42:36 IST 2025</t>
  </si>
  <si>
    <t>5118909831</t>
  </si>
  <si>
    <t>AJI14738</t>
  </si>
  <si>
    <t>Thu Jul 24 08:07:16 IST 2025</t>
  </si>
  <si>
    <t>AF25GJ181078940</t>
  </si>
  <si>
    <t>Thu Jul 24 08:07:17 IST 2025</t>
  </si>
  <si>
    <t>FN5037603877</t>
  </si>
  <si>
    <t>Wed Jul 23 23:44:58 IST 2025</t>
  </si>
  <si>
    <t>5118909836</t>
  </si>
  <si>
    <t>AJI14737</t>
  </si>
  <si>
    <t>Thu Jul 24 08:07:04 IST 2025</t>
  </si>
  <si>
    <t>AF25GJ181078916</t>
  </si>
  <si>
    <t>Thu Jul 24 08:07:10 IST 2025</t>
  </si>
  <si>
    <t>FN0009609370</t>
  </si>
  <si>
    <t>Wed Jul 23 23:56:57 IST 2025</t>
  </si>
  <si>
    <t>5118909834</t>
  </si>
  <si>
    <t>AJI14736</t>
  </si>
  <si>
    <t>Thu Jul 24 08:06:53 IST 2025</t>
  </si>
  <si>
    <t>AF25GJ181078864</t>
  </si>
  <si>
    <t>Thu Jul 24 08:06:54 IST 2025</t>
  </si>
  <si>
    <t>700210515036</t>
  </si>
  <si>
    <t>1323(AJIO)_BL_XXL</t>
  </si>
  <si>
    <t>FN6043601113</t>
  </si>
  <si>
    <t>Wed Jul 23 19:19:14 IST 2025</t>
  </si>
  <si>
    <t>5118858636</t>
  </si>
  <si>
    <t>Wed Jul 23 00:00:00 IST 2025</t>
  </si>
  <si>
    <t>AJI14735</t>
  </si>
  <si>
    <t>Wed Jul 23 19:30:41 IST 2025</t>
  </si>
  <si>
    <t>AF25GJ181022086</t>
  </si>
  <si>
    <t>FN3798607052</t>
  </si>
  <si>
    <t>Wed Jul 23 09:59:57 IST 2025</t>
  </si>
  <si>
    <t>5118857816</t>
  </si>
  <si>
    <t>AJI14734</t>
  </si>
  <si>
    <t>Wed Jul 23 19:29:57 IST 2025</t>
  </si>
  <si>
    <t>AF25GJ181021894</t>
  </si>
  <si>
    <t>Wed Jul 23 19:29:58 IST 2025</t>
  </si>
  <si>
    <t>FN2338608478</t>
  </si>
  <si>
    <t>Wed Jul 23 17:02:28 IST 2025</t>
  </si>
  <si>
    <t>5118857833</t>
  </si>
  <si>
    <t>AJI14733</t>
  </si>
  <si>
    <t>Wed Jul 23 19:24:19 IST 2025</t>
  </si>
  <si>
    <t>AF25GJ181021072</t>
  </si>
  <si>
    <t>701045948043</t>
  </si>
  <si>
    <t>1649-GRY_28</t>
  </si>
  <si>
    <t>FN2947609737</t>
  </si>
  <si>
    <t>Wed Jul 23 10:25:45 IST 2025</t>
  </si>
  <si>
    <t>5118857829</t>
  </si>
  <si>
    <t>AJI14732</t>
  </si>
  <si>
    <t>Wed Jul 23 19:24:08 IST 2025</t>
  </si>
  <si>
    <t>AF25GJ181021032</t>
  </si>
  <si>
    <t>FN7207603602</t>
  </si>
  <si>
    <t>Wed Jul 23 13:36:06 IST 2025</t>
  </si>
  <si>
    <t>5118857832</t>
  </si>
  <si>
    <t>AJI14731</t>
  </si>
  <si>
    <t>Wed Jul 23 19:23:56 IST 2025</t>
  </si>
  <si>
    <t>AF25GJ181021005</t>
  </si>
  <si>
    <t>Wed Jul 23 19:23:57 IST 2025</t>
  </si>
  <si>
    <t>700659603010</t>
  </si>
  <si>
    <t>1594_MRN_S</t>
  </si>
  <si>
    <t>FN7821504237</t>
  </si>
  <si>
    <t>Wed Jul 23 14:47:41 IST 2025</t>
  </si>
  <si>
    <t>5118857831</t>
  </si>
  <si>
    <t>AJI14730</t>
  </si>
  <si>
    <t>Wed Jul 23 19:23:45 IST 2025</t>
  </si>
  <si>
    <t>AF25GJ181020980</t>
  </si>
  <si>
    <t>FN0926601949</t>
  </si>
  <si>
    <t>Wed Jul 23 17:18:51 IST 2025</t>
  </si>
  <si>
    <t>5118857825</t>
  </si>
  <si>
    <t>AJI14729</t>
  </si>
  <si>
    <t>Wed Jul 23 19:23:34 IST 2025</t>
  </si>
  <si>
    <t>AF25GJ181020946</t>
  </si>
  <si>
    <t>FN6898608790</t>
  </si>
  <si>
    <t>Wed Jul 23 17:29:40 IST 2025</t>
  </si>
  <si>
    <t>5118857828</t>
  </si>
  <si>
    <t>AJI14728</t>
  </si>
  <si>
    <t>Wed Jul 23 19:23:23 IST 2025</t>
  </si>
  <si>
    <t>AF25GJ181020917</t>
  </si>
  <si>
    <t>EX0032765273</t>
  </si>
  <si>
    <t>Wed Jul 23 18:05:07 IST 2025</t>
  </si>
  <si>
    <t>5118857818</t>
  </si>
  <si>
    <t>AJI14727</t>
  </si>
  <si>
    <t>Wed Jul 23 19:23:00 IST 2025</t>
  </si>
  <si>
    <t>AF25GJ181020873</t>
  </si>
  <si>
    <t>Wed Jul 23 19:23:01 IST 2025</t>
  </si>
  <si>
    <t>FN3840600611</t>
  </si>
  <si>
    <t>Wed Jul 23 08:21:50 IST 2025</t>
  </si>
  <si>
    <t>5118857830</t>
  </si>
  <si>
    <t>AJI14726</t>
  </si>
  <si>
    <t>Wed Jul 23 19:22:49 IST 2025</t>
  </si>
  <si>
    <t>AF25GJ181020842</t>
  </si>
  <si>
    <t>FN0836609509</t>
  </si>
  <si>
    <t>Wed Jul 23 14:32:03 IST 2025</t>
  </si>
  <si>
    <t>5118857826</t>
  </si>
  <si>
    <t>AJI14725</t>
  </si>
  <si>
    <t>Wed Jul 23 19:22:38 IST 2025</t>
  </si>
  <si>
    <t>AF25GJ181020812</t>
  </si>
  <si>
    <t>FN9664500129</t>
  </si>
  <si>
    <t>Wed Jul 23 14:38:04 IST 2025</t>
  </si>
  <si>
    <t>5118857811</t>
  </si>
  <si>
    <t>AJI14724</t>
  </si>
  <si>
    <t>Wed Jul 23 19:22:26 IST 2025</t>
  </si>
  <si>
    <t>AF25GJ181020793</t>
  </si>
  <si>
    <t>Wed Jul 23 19:22:27 IST 2025</t>
  </si>
  <si>
    <t>EX0032752477</t>
  </si>
  <si>
    <t>Wed Jul 23 15:20:04 IST 2025</t>
  </si>
  <si>
    <t>5118857813</t>
  </si>
  <si>
    <t>AJI14723</t>
  </si>
  <si>
    <t>Wed Jul 23 19:22:16 IST 2025</t>
  </si>
  <si>
    <t>AF25GJ181020778</t>
  </si>
  <si>
    <t>Wed Jul 23 19:22:19 IST 2025</t>
  </si>
  <si>
    <t>FN2898603781</t>
  </si>
  <si>
    <t>Wed Jul 23 15:09:57 IST 2025</t>
  </si>
  <si>
    <t>5118857821</t>
  </si>
  <si>
    <t>AJI14722</t>
  </si>
  <si>
    <t>Wed Jul 23 19:22:04 IST 2025</t>
  </si>
  <si>
    <t>AF25GJ181020725</t>
  </si>
  <si>
    <t>Wed Jul 23 19:22:10 IST 2025</t>
  </si>
  <si>
    <t>FN9285607306</t>
  </si>
  <si>
    <t>Wed Jul 23 15:27:01 IST 2025</t>
  </si>
  <si>
    <t>5118857817</t>
  </si>
  <si>
    <t>AJI14721</t>
  </si>
  <si>
    <t>Wed Jul 23 19:21:52 IST 2025</t>
  </si>
  <si>
    <t>AF25GJ181020654</t>
  </si>
  <si>
    <t>Wed Jul 23 19:21:53 IST 2025</t>
  </si>
  <si>
    <t>FN7762608927</t>
  </si>
  <si>
    <t>Wed Jul 23 16:37:20 IST 2025</t>
  </si>
  <si>
    <t>5118857819</t>
  </si>
  <si>
    <t>AJI14720</t>
  </si>
  <si>
    <t>Wed Jul 23 19:21:41 IST 2025</t>
  </si>
  <si>
    <t>AF25GJ181020627</t>
  </si>
  <si>
    <t>700211961008</t>
  </si>
  <si>
    <t>1164(AJIO)_PRL_3XL</t>
  </si>
  <si>
    <t>FN7018607551</t>
  </si>
  <si>
    <t>Wed Jul 23 10:06:27 IST 2025</t>
  </si>
  <si>
    <t>5118857824</t>
  </si>
  <si>
    <t>AJI14719</t>
  </si>
  <si>
    <t>Wed Jul 23 19:21:30 IST 2025</t>
  </si>
  <si>
    <t>AF25GJ181020610</t>
  </si>
  <si>
    <t>FN5878601210</t>
  </si>
  <si>
    <t>Wed Jul 23 10:09:33 IST 2025</t>
  </si>
  <si>
    <t>5118857823</t>
  </si>
  <si>
    <t>AJI14718</t>
  </si>
  <si>
    <t>Wed Jul 23 19:21:17 IST 2025</t>
  </si>
  <si>
    <t>AF25GJ181020588</t>
  </si>
  <si>
    <t>Wed Jul 23 19:21:23 IST 2025</t>
  </si>
  <si>
    <t>FN4498605029</t>
  </si>
  <si>
    <t>Wed Jul 23 13:25:35 IST 2025</t>
  </si>
  <si>
    <t>5118857809</t>
  </si>
  <si>
    <t>AJI14717</t>
  </si>
  <si>
    <t>Wed Jul 23 19:21:06 IST 2025</t>
  </si>
  <si>
    <t>AF25GJ181020532</t>
  </si>
  <si>
    <t>Wed Jul 23 19:21:08 IST 2025</t>
  </si>
  <si>
    <t>FN3798607420</t>
  </si>
  <si>
    <t>Wed Jul 23 09:44:10 IST 2025</t>
  </si>
  <si>
    <t>5118857822</t>
  </si>
  <si>
    <t>AJI14716</t>
  </si>
  <si>
    <t>Wed Jul 23 19:20:55 IST 2025</t>
  </si>
  <si>
    <t>AF25GJ181020491</t>
  </si>
  <si>
    <t>FN7798603060</t>
  </si>
  <si>
    <t>Wed Jul 23 12:13:47 IST 2025</t>
  </si>
  <si>
    <t>5118857812</t>
  </si>
  <si>
    <t>AJI14715</t>
  </si>
  <si>
    <t>Wed Jul 23 19:20:44 IST 2025</t>
  </si>
  <si>
    <t>AF25GJ181020471</t>
  </si>
  <si>
    <t>Wed Jul 23 19:20:48 IST 2025</t>
  </si>
  <si>
    <t>FN0698605508</t>
  </si>
  <si>
    <t>Wed Jul 23 09:54:08 IST 2025</t>
  </si>
  <si>
    <t>5118857820</t>
  </si>
  <si>
    <t>AJI14714</t>
  </si>
  <si>
    <t>Wed Jul 23 19:20:32 IST 2025</t>
  </si>
  <si>
    <t>AF25GJ181020442</t>
  </si>
  <si>
    <t>Wed Jul 23 19:20:38 IST 2025</t>
  </si>
  <si>
    <t>FN3798606303</t>
  </si>
  <si>
    <t>Wed Jul 23 09:58:39 IST 2025</t>
  </si>
  <si>
    <t>5118857810</t>
  </si>
  <si>
    <t>AJI14713</t>
  </si>
  <si>
    <t>Wed Jul 23 19:20:20 IST 2025</t>
  </si>
  <si>
    <t>AF25GJ181020346</t>
  </si>
  <si>
    <t>Wed Jul 23 19:20:23 IST 2025</t>
  </si>
  <si>
    <t>FN1608601673</t>
  </si>
  <si>
    <t>Wed Jul 23 07:41:54 IST 2025</t>
  </si>
  <si>
    <t>5118739167</t>
  </si>
  <si>
    <t>AJI14712</t>
  </si>
  <si>
    <t>Wed Jul 23 19:19:04 IST 2025</t>
  </si>
  <si>
    <t>AF25GJ181019958</t>
  </si>
  <si>
    <t>FN2018602957</t>
  </si>
  <si>
    <t>Wed Jul 23 00:17:16 IST 2025</t>
  </si>
  <si>
    <t>5118739166</t>
  </si>
  <si>
    <t>AJI14711</t>
  </si>
  <si>
    <t>Wed Jul 23 19:18:52 IST 2025</t>
  </si>
  <si>
    <t>AF25GJ181019913</t>
  </si>
  <si>
    <t>FN5578609579</t>
  </si>
  <si>
    <t>Tue Jul 22 14:52:32 IST 2025</t>
  </si>
  <si>
    <t>5118741912</t>
  </si>
  <si>
    <t>AJI14710</t>
  </si>
  <si>
    <t>Wed Jul 23 08:16:08 IST 2025</t>
  </si>
  <si>
    <t>AF25GJ180806767</t>
  </si>
  <si>
    <t>Wed Jul 23 08:16:09 IST 2025</t>
  </si>
  <si>
    <t>FN0358601878</t>
  </si>
  <si>
    <t>Tue Jul 22 20:08:29 IST 2025</t>
  </si>
  <si>
    <t>5118739172</t>
  </si>
  <si>
    <t>AJI14708</t>
  </si>
  <si>
    <t>Wed Jul 23 08:01:21 IST 2025</t>
  </si>
  <si>
    <t>AF25GJ180804787</t>
  </si>
  <si>
    <t>Wed Jul 23 08:01:26 IST 2025</t>
  </si>
  <si>
    <t>FN1758606442</t>
  </si>
  <si>
    <t>Wed Jul 23 06:21:04 IST 2025</t>
  </si>
  <si>
    <t>5118739165</t>
  </si>
  <si>
    <t>AJI14707</t>
  </si>
  <si>
    <t>Wed Jul 23 08:01:00 IST 2025</t>
  </si>
  <si>
    <t>AF25GJ180804733</t>
  </si>
  <si>
    <t>Wed Jul 23 08:01:06 IST 2025</t>
  </si>
  <si>
    <t>467117623002</t>
  </si>
  <si>
    <t>1243_MLT_M</t>
  </si>
  <si>
    <t>FN8288609199</t>
  </si>
  <si>
    <t>Wed Jul 23 07:05:49 IST 2025</t>
  </si>
  <si>
    <t>5118739182</t>
  </si>
  <si>
    <t>AJI14706</t>
  </si>
  <si>
    <t>Wed Jul 23 08:00:56 IST 2025</t>
  </si>
  <si>
    <t>AF25GJ180804719</t>
  </si>
  <si>
    <t>Wed Jul 23 08:01:02 IST 2025</t>
  </si>
  <si>
    <t>FN5346609310</t>
  </si>
  <si>
    <t>Wed Jul 23 00:32:46 IST 2025</t>
  </si>
  <si>
    <t>5118738232</t>
  </si>
  <si>
    <t>AJI14705</t>
  </si>
  <si>
    <t>Wed Jul 23 07:59:04 IST 2025</t>
  </si>
  <si>
    <t>AF25GJ180804297</t>
  </si>
  <si>
    <t>Wed Jul 23 07:59:10 IST 2025</t>
  </si>
  <si>
    <t>EX0032740705</t>
  </si>
  <si>
    <t>Tue Jul 22 22:20:06 IST 2025</t>
  </si>
  <si>
    <t>5118738227</t>
  </si>
  <si>
    <t>AJI14704</t>
  </si>
  <si>
    <t>Wed Jul 23 07:58:55 IST 2025</t>
  </si>
  <si>
    <t>AF25GJ180804238</t>
  </si>
  <si>
    <t>Wed Jul 23 07:59:00 IST 2025</t>
  </si>
  <si>
    <t>FN6598605679</t>
  </si>
  <si>
    <t>Tue Jul 22 22:28:02 IST 2025</t>
  </si>
  <si>
    <t>5118738228</t>
  </si>
  <si>
    <t>AJI14703</t>
  </si>
  <si>
    <t>Wed Jul 23 07:58:42 IST 2025</t>
  </si>
  <si>
    <t>AF25GJ180804194</t>
  </si>
  <si>
    <t>Wed Jul 23 07:58:48 IST 2025</t>
  </si>
  <si>
    <t>FN1698603742</t>
  </si>
  <si>
    <t>Tue Jul 22 22:33:57 IST 2025</t>
  </si>
  <si>
    <t>5118738221</t>
  </si>
  <si>
    <t>AJI14702</t>
  </si>
  <si>
    <t>Wed Jul 23 07:58:32 IST 2025</t>
  </si>
  <si>
    <t>AF25GJ180804161</t>
  </si>
  <si>
    <t>Wed Jul 23 07:58:37 IST 2025</t>
  </si>
  <si>
    <t>FN5698603912</t>
  </si>
  <si>
    <t>Tue Jul 22 22:37:24 IST 2025</t>
  </si>
  <si>
    <t>5118738220</t>
  </si>
  <si>
    <t>AJI14701</t>
  </si>
  <si>
    <t>Wed Jul 23 07:58:27 IST 2025</t>
  </si>
  <si>
    <t>AF25GJ180804147</t>
  </si>
  <si>
    <t>Wed Jul 23 07:58:33 IST 2025</t>
  </si>
  <si>
    <t>FN5698602573</t>
  </si>
  <si>
    <t>Tue Jul 22 22:40:21 IST 2025</t>
  </si>
  <si>
    <t>5118738229</t>
  </si>
  <si>
    <t>AJI14700</t>
  </si>
  <si>
    <t>Wed Jul 23 07:58:15 IST 2025</t>
  </si>
  <si>
    <t>AF25GJ180804111</t>
  </si>
  <si>
    <t>Wed Jul 23 07:58:21 IST 2025</t>
  </si>
  <si>
    <t>701300619029</t>
  </si>
  <si>
    <t>1653-PNK_M</t>
  </si>
  <si>
    <t>FN5698601208</t>
  </si>
  <si>
    <t>Tue Jul 22 22:49:42 IST 2025</t>
  </si>
  <si>
    <t>5118738224</t>
  </si>
  <si>
    <t>AJI14698</t>
  </si>
  <si>
    <t>Wed Jul 23 07:58:11 IST 2025</t>
  </si>
  <si>
    <t>AF25GJ180804097</t>
  </si>
  <si>
    <t>Wed Jul 23 07:58:17 IST 2025</t>
  </si>
  <si>
    <t>715.16</t>
  </si>
  <si>
    <t>681.1</t>
  </si>
  <si>
    <t>FN0466604009</t>
  </si>
  <si>
    <t>Tue Jul 22 21:39:51 IST 2025</t>
  </si>
  <si>
    <t>5118738225</t>
  </si>
  <si>
    <t>AJI14697</t>
  </si>
  <si>
    <t>Wed Jul 23 07:58:00 IST 2025</t>
  </si>
  <si>
    <t>AF25GJ180804052</t>
  </si>
  <si>
    <t>Wed Jul 23 07:58:05 IST 2025</t>
  </si>
  <si>
    <t>FN1498602163</t>
  </si>
  <si>
    <t>Tue Jul 22 23:01:54 IST 2025</t>
  </si>
  <si>
    <t>5118738223</t>
  </si>
  <si>
    <t>AJI14696</t>
  </si>
  <si>
    <t>Wed Jul 23 07:57:50 IST 2025</t>
  </si>
  <si>
    <t>AF25GJ180804007</t>
  </si>
  <si>
    <t>Wed Jul 23 07:57:56 IST 2025</t>
  </si>
  <si>
    <t>FN1447608866</t>
  </si>
  <si>
    <t>Tue Jul 22 21:43:40 IST 2025</t>
  </si>
  <si>
    <t>5118738222</t>
  </si>
  <si>
    <t>AJI14695</t>
  </si>
  <si>
    <t>Wed Jul 23 07:57:44 IST 2025</t>
  </si>
  <si>
    <t>AF25GJ180803969</t>
  </si>
  <si>
    <t>700211961052</t>
  </si>
  <si>
    <t>1427(AJIO)_NBL_XL</t>
  </si>
  <si>
    <t>FN6398607786</t>
  </si>
  <si>
    <t>Wed Jul 23 04:20:37 IST 2025</t>
  </si>
  <si>
    <t>5118738226</t>
  </si>
  <si>
    <t>AJI14694</t>
  </si>
  <si>
    <t>Wed Jul 23 07:57:32 IST 2025</t>
  </si>
  <si>
    <t>AF25GJ180803897</t>
  </si>
  <si>
    <t>Wed Jul 23 07:57:38 IST 2025</t>
  </si>
  <si>
    <t>FN8894605937</t>
  </si>
  <si>
    <t>Tue Jul 22 19:41:38 IST 2025</t>
  </si>
  <si>
    <t>5118738219</t>
  </si>
  <si>
    <t>AJI14693</t>
  </si>
  <si>
    <t>Wed Jul 23 07:57:20 IST 2025</t>
  </si>
  <si>
    <t>AF25GJ180803822</t>
  </si>
  <si>
    <t>Wed Jul 23 07:57:26 IST 2025</t>
  </si>
  <si>
    <t>FN5257606210</t>
  </si>
  <si>
    <t>Tue Jul 22 19:55:59 IST 2025</t>
  </si>
  <si>
    <t>5118738218</t>
  </si>
  <si>
    <t>AJI14692</t>
  </si>
  <si>
    <t>Wed Jul 23 07:57:09 IST 2025</t>
  </si>
  <si>
    <t>AF25GJ180803724</t>
  </si>
  <si>
    <t>Wed Jul 23 07:57:10 IST 2025</t>
  </si>
  <si>
    <t>466956028018</t>
  </si>
  <si>
    <t>1191_LVNDR_L</t>
  </si>
  <si>
    <t>FN4766603946</t>
  </si>
  <si>
    <t>Tue Jul 22 23:08:27 IST 2025</t>
  </si>
  <si>
    <t>5118738217</t>
  </si>
  <si>
    <t>AJI14691</t>
  </si>
  <si>
    <t>Wed Jul 23 07:56:57 IST 2025</t>
  </si>
  <si>
    <t>AF25GJ180803676</t>
  </si>
  <si>
    <t>Wed Jul 23 07:57:03 IST 2025</t>
  </si>
  <si>
    <t>FN4598609556</t>
  </si>
  <si>
    <t>Tue Jul 22 23:13:07 IST 2025</t>
  </si>
  <si>
    <t>5118738216</t>
  </si>
  <si>
    <t>AJI14690</t>
  </si>
  <si>
    <t>Wed Jul 23 07:56:46 IST 2025</t>
  </si>
  <si>
    <t>AF25GJ180803499</t>
  </si>
  <si>
    <t>Wed Jul 23 07:56:47 IST 2025</t>
  </si>
  <si>
    <t>FN8598601207</t>
  </si>
  <si>
    <t>Tue Jul 22 19:21:13 IST 2025</t>
  </si>
  <si>
    <t>5118693642</t>
  </si>
  <si>
    <t>Tue Jul 22 00:00:00 IST 2025</t>
  </si>
  <si>
    <t>AJI14689</t>
  </si>
  <si>
    <t>Wed Jul 23 07:56:34 IST 2025</t>
  </si>
  <si>
    <t>AF25GJ180803333</t>
  </si>
  <si>
    <t>Wed Jul 23 07:56:35 IST 2025</t>
  </si>
  <si>
    <t>EX0032752137</t>
  </si>
  <si>
    <t>Tue Jul 22 13:00:06 IST 2025</t>
  </si>
  <si>
    <t>5118678989</t>
  </si>
  <si>
    <t>AJI14683</t>
  </si>
  <si>
    <t>Tue Jul 22 18:08:24 IST 2025</t>
  </si>
  <si>
    <t>AF25GJ180731724</t>
  </si>
  <si>
    <t>Tue Jul 22 18:08:26 IST 2025</t>
  </si>
  <si>
    <t>FN3357602053</t>
  </si>
  <si>
    <t>Tue Jul 22 12:30:30 IST 2025</t>
  </si>
  <si>
    <t>5118678990</t>
  </si>
  <si>
    <t>AJI14681</t>
  </si>
  <si>
    <t>Tue Jul 22 18:08:14 IST 2025</t>
  </si>
  <si>
    <t>AF25GJ180731680</t>
  </si>
  <si>
    <t>Tue Jul 22 18:08:15 IST 2025</t>
  </si>
  <si>
    <t>FN5645602161</t>
  </si>
  <si>
    <t>Tue Jul 22 16:33:47 IST 2025</t>
  </si>
  <si>
    <t>5118678985</t>
  </si>
  <si>
    <t>AJI14688</t>
  </si>
  <si>
    <t>Tue Jul 22 18:08:04 IST 2025</t>
  </si>
  <si>
    <t>AF25GJ180731613</t>
  </si>
  <si>
    <t>700211961031</t>
  </si>
  <si>
    <t>1166(AJIO)_RM_S</t>
  </si>
  <si>
    <t>FN7568605473</t>
  </si>
  <si>
    <t>Tue Jul 22 16:55:37 IST 2025</t>
  </si>
  <si>
    <t>5118678984</t>
  </si>
  <si>
    <t>AJI14687</t>
  </si>
  <si>
    <t>Tue Jul 22 18:07:51 IST 2025</t>
  </si>
  <si>
    <t>AF25GJ180731582</t>
  </si>
  <si>
    <t>Tue Jul 22 18:07:52 IST 2025</t>
  </si>
  <si>
    <t>FN7038603333</t>
  </si>
  <si>
    <t>Tue Jul 22 17:26:10 IST 2025</t>
  </si>
  <si>
    <t>5118678981</t>
  </si>
  <si>
    <t>AJI14686</t>
  </si>
  <si>
    <t>Tue Jul 22 18:07:38 IST 2025</t>
  </si>
  <si>
    <t>AF25GJ180731549</t>
  </si>
  <si>
    <t>FN2308603359</t>
  </si>
  <si>
    <t>Tue Jul 22 17:32:14 IST 2025</t>
  </si>
  <si>
    <t>5118678983</t>
  </si>
  <si>
    <t>AJI14685</t>
  </si>
  <si>
    <t>Tue Jul 22 18:07:26 IST 2025</t>
  </si>
  <si>
    <t>AF25GJ180731500</t>
  </si>
  <si>
    <t>Tue Jul 22 18:07:27 IST 2025</t>
  </si>
  <si>
    <t>FN9506600266</t>
  </si>
  <si>
    <t>Tue Jul 22 15:35:46 IST 2025</t>
  </si>
  <si>
    <t>5118678982</t>
  </si>
  <si>
    <t>AJI14684</t>
  </si>
  <si>
    <t>Tue Jul 22 18:07:15 IST 2025</t>
  </si>
  <si>
    <t>AF25GJ180731470</t>
  </si>
  <si>
    <t>FN7210605801</t>
  </si>
  <si>
    <t>Tue Jul 22 12:39:18 IST 2025</t>
  </si>
  <si>
    <t>5118678986</t>
  </si>
  <si>
    <t>AJI14680</t>
  </si>
  <si>
    <t>Tue Jul 22 17:55:44 IST 2025</t>
  </si>
  <si>
    <t>AF25GJ180729022</t>
  </si>
  <si>
    <t>Tue Jul 22 17:55:45 IST 2025</t>
  </si>
  <si>
    <t>467041708035</t>
  </si>
  <si>
    <t>AJIO-1277-86</t>
  </si>
  <si>
    <t>1283_NBL_XL</t>
  </si>
  <si>
    <t>FN3730608185</t>
  </si>
  <si>
    <t>Tue Jul 22 16:17:01 IST 2025</t>
  </si>
  <si>
    <t>5118678988</t>
  </si>
  <si>
    <t>AJI14679</t>
  </si>
  <si>
    <t>Tue Jul 22 17:55:35 IST 2025</t>
  </si>
  <si>
    <t>AF25GJ180729000</t>
  </si>
  <si>
    <t>FN3598608466</t>
  </si>
  <si>
    <t>Tue Jul 22 16:21:01 IST 2025</t>
  </si>
  <si>
    <t>5118678987</t>
  </si>
  <si>
    <t>AJI14678</t>
  </si>
  <si>
    <t>Tue Jul 22 17:55:27 IST 2025</t>
  </si>
  <si>
    <t>AF25GJ180728972</t>
  </si>
  <si>
    <t>FN9067604394</t>
  </si>
  <si>
    <t>Tue Jul 22 11:34:35 IST 2025</t>
  </si>
  <si>
    <t>5118631826</t>
  </si>
  <si>
    <t>AJI14677</t>
  </si>
  <si>
    <t>Tue Jul 22 12:15:16 IST 2025</t>
  </si>
  <si>
    <t>AF25GJ180633704</t>
  </si>
  <si>
    <t>Tue Jul 22 12:15:17 IST 2025</t>
  </si>
  <si>
    <t>FN2532603044</t>
  </si>
  <si>
    <t>Tue Jul 22 10:02:51 IST 2025</t>
  </si>
  <si>
    <t>5118631829</t>
  </si>
  <si>
    <t>AJI14676</t>
  </si>
  <si>
    <t>Tue Jul 22 12:15:04 IST 2025</t>
  </si>
  <si>
    <t>AF25GJ180633656</t>
  </si>
  <si>
    <t>Tue Jul 22 12:15:06 IST 2025</t>
  </si>
  <si>
    <t>FN8897602042</t>
  </si>
  <si>
    <t>Tue Jul 22 10:03:59 IST 2025</t>
  </si>
  <si>
    <t>5118631822</t>
  </si>
  <si>
    <t>AJI14675</t>
  </si>
  <si>
    <t>Tue Jul 22 12:14:50 IST 2025</t>
  </si>
  <si>
    <t>AF25GJ180633596</t>
  </si>
  <si>
    <t>Tue Jul 22 12:14:52 IST 2025</t>
  </si>
  <si>
    <t>EX0032753039</t>
  </si>
  <si>
    <t>Tue Jul 22 09:20:07 IST 2025</t>
  </si>
  <si>
    <t>5118631821</t>
  </si>
  <si>
    <t>AJI14674</t>
  </si>
  <si>
    <t>Tue Jul 22 12:14:39 IST 2025</t>
  </si>
  <si>
    <t>AF25GJ180633539</t>
  </si>
  <si>
    <t>Tue Jul 22 12:14:40 IST 2025</t>
  </si>
  <si>
    <t>FN9398601080</t>
  </si>
  <si>
    <t>Tue Jul 22 09:23:44 IST 2025</t>
  </si>
  <si>
    <t>5118631835</t>
  </si>
  <si>
    <t>AJI14673</t>
  </si>
  <si>
    <t>Tue Jul 22 12:14:27 IST 2025</t>
  </si>
  <si>
    <t>AF25GJ180633495</t>
  </si>
  <si>
    <t>FN5057608756</t>
  </si>
  <si>
    <t>Tue Jul 22 10:28:29 IST 2025</t>
  </si>
  <si>
    <t>5118631838</t>
  </si>
  <si>
    <t>AJI14672</t>
  </si>
  <si>
    <t>Tue Jul 22 12:11:46 IST 2025</t>
  </si>
  <si>
    <t>AF25GJ180632567</t>
  </si>
  <si>
    <t>Tue Jul 22 12:11:47 IST 2025</t>
  </si>
  <si>
    <t>FN8398608036</t>
  </si>
  <si>
    <t>Tue Jul 22 08:23:36 IST 2025</t>
  </si>
  <si>
    <t>5118631836</t>
  </si>
  <si>
    <t>AJI14671</t>
  </si>
  <si>
    <t>Tue Jul 22 12:11:25 IST 2025</t>
  </si>
  <si>
    <t>AF25GJ180632410</t>
  </si>
  <si>
    <t>467151860038</t>
  </si>
  <si>
    <t>AJI1430_PRL_M</t>
  </si>
  <si>
    <t>FN3708605536</t>
  </si>
  <si>
    <t>Tue Jul 22 08:53:49 IST 2025</t>
  </si>
  <si>
    <t>5118631832</t>
  </si>
  <si>
    <t>AJI14670</t>
  </si>
  <si>
    <t>Tue Jul 22 12:11:14 IST 2025</t>
  </si>
  <si>
    <t>AF25GJ180632365</t>
  </si>
  <si>
    <t>Tue Jul 22 12:11:15 IST 2025</t>
  </si>
  <si>
    <t>FN6358605941</t>
  </si>
  <si>
    <t>Tue Jul 22 08:55:41 IST 2025</t>
  </si>
  <si>
    <t>5118631824</t>
  </si>
  <si>
    <t>AJI14669</t>
  </si>
  <si>
    <t>Tue Jul 22 12:11:03 IST 2025</t>
  </si>
  <si>
    <t>AF25GJ180632313</t>
  </si>
  <si>
    <t>Tue Jul 22 12:11:04 IST 2025</t>
  </si>
  <si>
    <t>FN8078605796</t>
  </si>
  <si>
    <t>Tue Jul 22 10:52:29 IST 2025</t>
  </si>
  <si>
    <t>5118631823</t>
  </si>
  <si>
    <t>AJI14668</t>
  </si>
  <si>
    <t>Tue Jul 22 12:10:53 IST 2025</t>
  </si>
  <si>
    <t>AF25GJ180632209</t>
  </si>
  <si>
    <t>FN8394606241</t>
  </si>
  <si>
    <t>Tue Jul 22 11:17:45 IST 2025</t>
  </si>
  <si>
    <t>5118631837</t>
  </si>
  <si>
    <t>AJI14667</t>
  </si>
  <si>
    <t>Tue Jul 22 12:10:42 IST 2025</t>
  </si>
  <si>
    <t>AF25GJ180632167</t>
  </si>
  <si>
    <t>FN8298607690</t>
  </si>
  <si>
    <t>Mon Jul 21 20:52:33 IST 2025</t>
  </si>
  <si>
    <t>5118579181</t>
  </si>
  <si>
    <t>AJI14666</t>
  </si>
  <si>
    <t>Tue Jul 22 08:07:08 IST 2025</t>
  </si>
  <si>
    <t>AF25GJ180539832</t>
  </si>
  <si>
    <t>Tue Jul 22 08:07:09 IST 2025</t>
  </si>
  <si>
    <t>701045948072</t>
  </si>
  <si>
    <t>1649-WT_38</t>
  </si>
  <si>
    <t>FN4198607065</t>
  </si>
  <si>
    <t>Mon Jul 21 20:46:31 IST 2025</t>
  </si>
  <si>
    <t>5118579184</t>
  </si>
  <si>
    <t>AJI14665</t>
  </si>
  <si>
    <t>Tue Jul 22 08:07:05 IST 2025</t>
  </si>
  <si>
    <t>AF25GJ180539823</t>
  </si>
  <si>
    <t>Tue Jul 22 08:07:06 IST 2025</t>
  </si>
  <si>
    <t>FN8637604890</t>
  </si>
  <si>
    <t>Mon Jul 21 21:00:39 IST 2025</t>
  </si>
  <si>
    <t>5118579190</t>
  </si>
  <si>
    <t>AJI14664</t>
  </si>
  <si>
    <t>Tue Jul 22 08:06:58 IST 2025</t>
  </si>
  <si>
    <t>AF25GJ180539771</t>
  </si>
  <si>
    <t>FN1678602734</t>
  </si>
  <si>
    <t>Mon Jul 21 21:08:32 IST 2025</t>
  </si>
  <si>
    <t>5118579182</t>
  </si>
  <si>
    <t>AJI14663</t>
  </si>
  <si>
    <t>Tue Jul 22 08:06:46 IST 2025</t>
  </si>
  <si>
    <t>AF25GJ180539688</t>
  </si>
  <si>
    <t>Tue Jul 22 08:06:47 IST 2025</t>
  </si>
  <si>
    <t>EX0032717952</t>
  </si>
  <si>
    <t>Mon Jul 21 21:35:05 IST 2025</t>
  </si>
  <si>
    <t>5118579191</t>
  </si>
  <si>
    <t>AJI14662</t>
  </si>
  <si>
    <t>Tue Jul 22 08:06:34 IST 2025</t>
  </si>
  <si>
    <t>AF25GJ180539626</t>
  </si>
  <si>
    <t>Tue Jul 22 08:06:36 IST 2025</t>
  </si>
  <si>
    <t>FN8888601721</t>
  </si>
  <si>
    <t>Tue Jul 22 02:20:06 IST 2025</t>
  </si>
  <si>
    <t>5118579187</t>
  </si>
  <si>
    <t>AJI14661</t>
  </si>
  <si>
    <t>Tue Jul 22 08:06:22 IST 2025</t>
  </si>
  <si>
    <t>AF25GJ180539601</t>
  </si>
  <si>
    <t>Tue Jul 22 08:06:28 IST 2025</t>
  </si>
  <si>
    <t>FN3857607279</t>
  </si>
  <si>
    <t>Mon Jul 21 22:07:52 IST 2025</t>
  </si>
  <si>
    <t>5118579188</t>
  </si>
  <si>
    <t>AJI14660</t>
  </si>
  <si>
    <t>Tue Jul 22 08:06:11 IST 2025</t>
  </si>
  <si>
    <t>AF25GJ180539240</t>
  </si>
  <si>
    <t>Tue Jul 22 08:06:12 IST 2025</t>
  </si>
  <si>
    <t>FN5997609329</t>
  </si>
  <si>
    <t>Mon Jul 21 22:50:30 IST 2025</t>
  </si>
  <si>
    <t>5118579189</t>
  </si>
  <si>
    <t>AJI14659</t>
  </si>
  <si>
    <t>Tue Jul 22 08:06:00 IST 2025</t>
  </si>
  <si>
    <t>AF25GJ180539193</t>
  </si>
  <si>
    <t>Tue Jul 22 08:06:02 IST 2025</t>
  </si>
  <si>
    <t>FN3318604725</t>
  </si>
  <si>
    <t>Tue Jul 22 00:41:11 IST 2025</t>
  </si>
  <si>
    <t>5118579179</t>
  </si>
  <si>
    <t>AJI14658</t>
  </si>
  <si>
    <t>Tue Jul 22 08:05:49 IST 2025</t>
  </si>
  <si>
    <t>AF25GJ180539174</t>
  </si>
  <si>
    <t>FN5398606844</t>
  </si>
  <si>
    <t>Tue Jul 22 01:03:28 IST 2025</t>
  </si>
  <si>
    <t>5118579186</t>
  </si>
  <si>
    <t>AJI14657</t>
  </si>
  <si>
    <t>Tue Jul 22 08:05:38 IST 2025</t>
  </si>
  <si>
    <t>AF25GJ180539167</t>
  </si>
  <si>
    <t>FN6818606706</t>
  </si>
  <si>
    <t>Mon Jul 21 19:18:11 IST 2025</t>
  </si>
  <si>
    <t>5118531106</t>
  </si>
  <si>
    <t>Mon Jul 21 00:00:00 IST 2025</t>
  </si>
  <si>
    <t>AJI14656</t>
  </si>
  <si>
    <t>Mon Jul 21 19:21:18 IST 2025</t>
  </si>
  <si>
    <t>AF25GJ180482572</t>
  </si>
  <si>
    <t>FN1056601682</t>
  </si>
  <si>
    <t>Mon Jul 21 19:19:00 IST 2025</t>
  </si>
  <si>
    <t>5118531102</t>
  </si>
  <si>
    <t>AJI14655</t>
  </si>
  <si>
    <t>Mon Jul 21 19:21:06 IST 2025</t>
  </si>
  <si>
    <t>AF25GJ180482348</t>
  </si>
  <si>
    <t>FN7771601223</t>
  </si>
  <si>
    <t>Mon Jul 21 17:11:48 IST 2025</t>
  </si>
  <si>
    <t>5118530581</t>
  </si>
  <si>
    <t>AJI14654</t>
  </si>
  <si>
    <t>Mon Jul 21 19:20:48 IST 2025</t>
  </si>
  <si>
    <t>AF25GJ180482486</t>
  </si>
  <si>
    <t>FN5758604850</t>
  </si>
  <si>
    <t>Mon Jul 21 13:38:38 IST 2025</t>
  </si>
  <si>
    <t>5118530567</t>
  </si>
  <si>
    <t>AJI14653</t>
  </si>
  <si>
    <t>Mon Jul 21 19:20:37 IST 2025</t>
  </si>
  <si>
    <t>AF25GJ180482469</t>
  </si>
  <si>
    <t>FN7288600186</t>
  </si>
  <si>
    <t>Mon Jul 21 13:54:28 IST 2025</t>
  </si>
  <si>
    <t>5118530570</t>
  </si>
  <si>
    <t>AJI14652</t>
  </si>
  <si>
    <t>Mon Jul 21 19:20:25 IST 2025</t>
  </si>
  <si>
    <t>AF25GJ180482448</t>
  </si>
  <si>
    <t>FN5098606367</t>
  </si>
  <si>
    <t>Mon Jul 21 09:35:09 IST 2025</t>
  </si>
  <si>
    <t>5118530592</t>
  </si>
  <si>
    <t>AJI14651</t>
  </si>
  <si>
    <t>Mon Jul 21 19:12:53 IST 2025</t>
  </si>
  <si>
    <t>AF25GJ180480967</t>
  </si>
  <si>
    <t>Mon Jul 21 19:12:54 IST 2025</t>
  </si>
  <si>
    <t>FN5148608503</t>
  </si>
  <si>
    <t>Mon Jul 21 15:34:15 IST 2025</t>
  </si>
  <si>
    <t>5118530593</t>
  </si>
  <si>
    <t>AJI14650</t>
  </si>
  <si>
    <t>Mon Jul 21 19:12:45 IST 2025</t>
  </si>
  <si>
    <t>AF25GJ180480948</t>
  </si>
  <si>
    <t>FN6856603716</t>
  </si>
  <si>
    <t>Mon Jul 21 15:37:45 IST 2025</t>
  </si>
  <si>
    <t>5118530591</t>
  </si>
  <si>
    <t>AJI14649</t>
  </si>
  <si>
    <t>Mon Jul 21 19:12:37 IST 2025</t>
  </si>
  <si>
    <t>AF25GJ180480933</t>
  </si>
  <si>
    <t>Mon Jul 21 19:12:38 IST 2025</t>
  </si>
  <si>
    <t>FN4098602942</t>
  </si>
  <si>
    <t>Mon Jul 21 08:26:52 IST 2025</t>
  </si>
  <si>
    <t>5118530600</t>
  </si>
  <si>
    <t>AJI14648</t>
  </si>
  <si>
    <t>Mon Jul 21 19:12:27 IST 2025</t>
  </si>
  <si>
    <t>AF25GJ180480918</t>
  </si>
  <si>
    <t>Mon Jul 21 19:12:28 IST 2025</t>
  </si>
  <si>
    <t>FN8098600961</t>
  </si>
  <si>
    <t>Mon Jul 21 10:59:44 IST 2025</t>
  </si>
  <si>
    <t>5118530594</t>
  </si>
  <si>
    <t>AJI14647</t>
  </si>
  <si>
    <t>Mon Jul 21 19:12:19 IST 2025</t>
  </si>
  <si>
    <t>AF25GJ180480895</t>
  </si>
  <si>
    <t>FN3867607302</t>
  </si>
  <si>
    <t>Mon Jul 21 11:00:55 IST 2025</t>
  </si>
  <si>
    <t>5118530590</t>
  </si>
  <si>
    <t>AJI14646</t>
  </si>
  <si>
    <t>Mon Jul 21 19:12:10 IST 2025</t>
  </si>
  <si>
    <t>AF25GJ180480807</t>
  </si>
  <si>
    <t>Mon Jul 21 19:12:11 IST 2025</t>
  </si>
  <si>
    <t>701009172044</t>
  </si>
  <si>
    <t>1430-DPT_M</t>
  </si>
  <si>
    <t>FN9236604432</t>
  </si>
  <si>
    <t>Mon Jul 21 12:13:49 IST 2025</t>
  </si>
  <si>
    <t>5118530588</t>
  </si>
  <si>
    <t>AJI14645</t>
  </si>
  <si>
    <t>Mon Jul 21 19:11:59 IST 2025</t>
  </si>
  <si>
    <t>AF25GJ180480755</t>
  </si>
  <si>
    <t>Mon Jul 21 19:12:00 IST 2025</t>
  </si>
  <si>
    <t>FN4083609849</t>
  </si>
  <si>
    <t>Mon Jul 21 13:19:19 IST 2025</t>
  </si>
  <si>
    <t>5118530584</t>
  </si>
  <si>
    <t>AJI14644</t>
  </si>
  <si>
    <t>Mon Jul 21 19:11:50 IST 2025</t>
  </si>
  <si>
    <t>AF25GJ180480704</t>
  </si>
  <si>
    <t>701045948030</t>
  </si>
  <si>
    <t>1649-BRN_38</t>
  </si>
  <si>
    <t>FN4298600540</t>
  </si>
  <si>
    <t>Mon Jul 21 18:50:47 IST 2025</t>
  </si>
  <si>
    <t>5118530589</t>
  </si>
  <si>
    <t>AJI14643</t>
  </si>
  <si>
    <t>Mon Jul 21 19:11:48 IST 2025</t>
  </si>
  <si>
    <t>AF25GJ180480779</t>
  </si>
  <si>
    <t>Mon Jul 21 19:11:49 IST 2025</t>
  </si>
  <si>
    <t>701170766017</t>
  </si>
  <si>
    <t>AJI-1501-RED_XL</t>
  </si>
  <si>
    <t>EX0032740049</t>
  </si>
  <si>
    <t>Mon Jul 21 09:50:04 IST 2025</t>
  </si>
  <si>
    <t>5118530587</t>
  </si>
  <si>
    <t>AJI14642</t>
  </si>
  <si>
    <t>Mon Jul 21 19:11:40 IST 2025</t>
  </si>
  <si>
    <t>AF25GJ180480622</t>
  </si>
  <si>
    <t>454.83</t>
  </si>
  <si>
    <t>10.83</t>
  </si>
  <si>
    <t>433.17</t>
  </si>
  <si>
    <t>FN2378600509</t>
  </si>
  <si>
    <t>Mon Jul 21 10:02:47 IST 2025</t>
  </si>
  <si>
    <t>5118530582</t>
  </si>
  <si>
    <t>AJI14641</t>
  </si>
  <si>
    <t>Mon Jul 21 19:11:29 IST 2025</t>
  </si>
  <si>
    <t>AF25GJ180480491</t>
  </si>
  <si>
    <t>Mon Jul 21 19:11:30 IST 2025</t>
  </si>
  <si>
    <t>FN1198609993</t>
  </si>
  <si>
    <t>Mon Jul 21 12:33:59 IST 2025</t>
  </si>
  <si>
    <t>5118530580</t>
  </si>
  <si>
    <t>AJI14640</t>
  </si>
  <si>
    <t>Mon Jul 21 19:11:20 IST 2025</t>
  </si>
  <si>
    <t>AF25GJ180480449</t>
  </si>
  <si>
    <t>FN3458601949</t>
  </si>
  <si>
    <t>Mon Jul 21 12:35:40 IST 2025</t>
  </si>
  <si>
    <t>5118530578</t>
  </si>
  <si>
    <t>AJI14639</t>
  </si>
  <si>
    <t>Mon Jul 21 19:11:13 IST 2025</t>
  </si>
  <si>
    <t>AF25GJ180480354</t>
  </si>
  <si>
    <t>FN1136602150</t>
  </si>
  <si>
    <t>Mon Jul 21 16:07:12 IST 2025</t>
  </si>
  <si>
    <t>5118530586</t>
  </si>
  <si>
    <t>AJI14638</t>
  </si>
  <si>
    <t>Mon Jul 21 19:11:02 IST 2025</t>
  </si>
  <si>
    <t>AF25GJ180480287</t>
  </si>
  <si>
    <t>Mon Jul 21 19:11:03 IST 2025</t>
  </si>
  <si>
    <t>467166235004</t>
  </si>
  <si>
    <t>AJI1244_GRY_XL</t>
  </si>
  <si>
    <t>FN8175607237</t>
  </si>
  <si>
    <t>Mon Jul 21 16:26:36 IST 2025</t>
  </si>
  <si>
    <t>5118530574</t>
  </si>
  <si>
    <t>AJI14637</t>
  </si>
  <si>
    <t>Mon Jul 21 19:11:00 IST 2025</t>
  </si>
  <si>
    <t>AF25GJ180480279</t>
  </si>
  <si>
    <t>FN6358602910</t>
  </si>
  <si>
    <t>Mon Jul 21 16:13:31 IST 2025</t>
  </si>
  <si>
    <t>5118530576</t>
  </si>
  <si>
    <t>AJI14636</t>
  </si>
  <si>
    <t>Mon Jul 21 19:10:58 IST 2025</t>
  </si>
  <si>
    <t>AF25GJ180480255</t>
  </si>
  <si>
    <t>FN4308607459</t>
  </si>
  <si>
    <t>Mon Jul 21 16:24:24 IST 2025</t>
  </si>
  <si>
    <t>5118530579</t>
  </si>
  <si>
    <t>AJI14635</t>
  </si>
  <si>
    <t>Mon Jul 21 19:10:47 IST 2025</t>
  </si>
  <si>
    <t>AF25GJ180480221</t>
  </si>
  <si>
    <t>700329824009</t>
  </si>
  <si>
    <t>1511_BK_XL</t>
  </si>
  <si>
    <t>EX0032732524</t>
  </si>
  <si>
    <t>Mon Jul 21 15:16:18 IST 2025</t>
  </si>
  <si>
    <t>5118530575</t>
  </si>
  <si>
    <t>AJI14633</t>
  </si>
  <si>
    <t>Mon Jul 21 19:10:39 IST 2025</t>
  </si>
  <si>
    <t>AF25GJ180480139</t>
  </si>
  <si>
    <t>648.1</t>
  </si>
  <si>
    <t>617.24</t>
  </si>
  <si>
    <t>FN2853600895</t>
  </si>
  <si>
    <t>Mon Jul 21 16:48:50 IST 2025</t>
  </si>
  <si>
    <t>5118530572</t>
  </si>
  <si>
    <t>AJI14632</t>
  </si>
  <si>
    <t>Mon Jul 21 19:10:27 IST 2025</t>
  </si>
  <si>
    <t>AF25GJ180480037</t>
  </si>
  <si>
    <t>FN5611602323</t>
  </si>
  <si>
    <t>Mon Jul 21 10:16:24 IST 2025</t>
  </si>
  <si>
    <t>5118530571</t>
  </si>
  <si>
    <t>AJI14631</t>
  </si>
  <si>
    <t>Mon Jul 21 19:10:16 IST 2025</t>
  </si>
  <si>
    <t>AF25GJ180480007</t>
  </si>
  <si>
    <t>Mon Jul 21 19:10:17 IST 2025</t>
  </si>
  <si>
    <t>FN3098607585</t>
  </si>
  <si>
    <t>Mon Jul 21 08:06:49 IST 2025</t>
  </si>
  <si>
    <t>5118398350</t>
  </si>
  <si>
    <t>AJI14630</t>
  </si>
  <si>
    <t>Mon Jul 21 19:08:20 IST 2025</t>
  </si>
  <si>
    <t>AF25GJ180479658</t>
  </si>
  <si>
    <t>Mon Jul 21 19:08:26 IST 2025</t>
  </si>
  <si>
    <t>FN4878601865</t>
  </si>
  <si>
    <t>Sun Jul 20 21:32:06 IST 2025</t>
  </si>
  <si>
    <t>5118398351</t>
  </si>
  <si>
    <t>AJI14629</t>
  </si>
  <si>
    <t>Mon Jul 21 08:21:25 IST 2025</t>
  </si>
  <si>
    <t>AF25GJ180227566</t>
  </si>
  <si>
    <t>Mon Jul 21 08:21:26 IST 2025</t>
  </si>
  <si>
    <t>FN8197603641</t>
  </si>
  <si>
    <t>Mon Jul 21 01:00:47 IST 2025</t>
  </si>
  <si>
    <t>5118392930</t>
  </si>
  <si>
    <t>AJI14628</t>
  </si>
  <si>
    <t>Mon Jul 21 08:20:07 IST 2025</t>
  </si>
  <si>
    <t>AF25GJ180226967</t>
  </si>
  <si>
    <t>Mon Jul 21 08:20:13 IST 2025</t>
  </si>
  <si>
    <t>FN1098605889</t>
  </si>
  <si>
    <t>Mon Jul 21 02:35:58 IST 2025</t>
  </si>
  <si>
    <t>5118392910</t>
  </si>
  <si>
    <t>AJI14627</t>
  </si>
  <si>
    <t>Mon Jul 21 08:19:50 IST 2025</t>
  </si>
  <si>
    <t>AF25GJ180226844</t>
  </si>
  <si>
    <t>Mon Jul 21 08:19:51 IST 2025</t>
  </si>
  <si>
    <t>FN1988609431</t>
  </si>
  <si>
    <t>Sun Jul 20 20:45:57 IST 2025</t>
  </si>
  <si>
    <t>5118392950</t>
  </si>
  <si>
    <t>AJI14626</t>
  </si>
  <si>
    <t>Mon Jul 21 08:05:37 IST 2025</t>
  </si>
  <si>
    <t>AF25GJ180223309</t>
  </si>
  <si>
    <t>Mon Jul 21 08:05:43 IST 2025</t>
  </si>
  <si>
    <t>FN2788605321</t>
  </si>
  <si>
    <t>Sun Jul 20 20:50:25 IST 2025</t>
  </si>
  <si>
    <t>5118392949</t>
  </si>
  <si>
    <t>AJI14625</t>
  </si>
  <si>
    <t>Mon Jul 21 08:05:26 IST 2025</t>
  </si>
  <si>
    <t>AF25GJ180223221</t>
  </si>
  <si>
    <t>Mon Jul 21 08:05:27 IST 2025</t>
  </si>
  <si>
    <t>FN9688605893</t>
  </si>
  <si>
    <t>Sun Jul 20 11:20:20 IST 2025</t>
  </si>
  <si>
    <t>5118392919</t>
  </si>
  <si>
    <t>AJI14596</t>
  </si>
  <si>
    <t>Mon Jul 21 08:05:19 IST 2025</t>
  </si>
  <si>
    <t>AF25GJ180223198</t>
  </si>
  <si>
    <t>Mon Jul 21 08:05:20 IST 2025</t>
  </si>
  <si>
    <t>466917798005</t>
  </si>
  <si>
    <t>TP1010-1012</t>
  </si>
  <si>
    <t>1010_GRY_S</t>
  </si>
  <si>
    <t>FN8241600869</t>
  </si>
  <si>
    <t>Sun Jul 20 11:41:11 IST 2025</t>
  </si>
  <si>
    <t>5118392948</t>
  </si>
  <si>
    <t>AJI14624</t>
  </si>
  <si>
    <t>Mon Jul 21 08:05:15 IST 2025</t>
  </si>
  <si>
    <t>AF25GJ180223185</t>
  </si>
  <si>
    <t>FN3835600005</t>
  </si>
  <si>
    <t>Sun Jul 20 11:44:05 IST 2025</t>
  </si>
  <si>
    <t>5118392947</t>
  </si>
  <si>
    <t>AJI14623</t>
  </si>
  <si>
    <t>Mon Jul 21 08:05:11 IST 2025</t>
  </si>
  <si>
    <t>AF25GJ180223182</t>
  </si>
  <si>
    <t>Mon Jul 21 08:05:14 IST 2025</t>
  </si>
  <si>
    <t>FN4788605283</t>
  </si>
  <si>
    <t>Sun Jul 20 13:45:47 IST 2025</t>
  </si>
  <si>
    <t>5118392943</t>
  </si>
  <si>
    <t>AJI14622</t>
  </si>
  <si>
    <t>Mon Jul 21 08:05:00 IST 2025</t>
  </si>
  <si>
    <t>AF25GJ180223161</t>
  </si>
  <si>
    <t>Mon Jul 21 08:05:01 IST 2025</t>
  </si>
  <si>
    <t>FN3588609702</t>
  </si>
  <si>
    <t>Sun Jul 20 09:58:15 IST 2025</t>
  </si>
  <si>
    <t>5118392945</t>
  </si>
  <si>
    <t>AJI14621</t>
  </si>
  <si>
    <t>Mon Jul 21 08:04:48 IST 2025</t>
  </si>
  <si>
    <t>AF25GJ180223146</t>
  </si>
  <si>
    <t>Mon Jul 21 08:04:49 IST 2025</t>
  </si>
  <si>
    <t>FN9907606741</t>
  </si>
  <si>
    <t>Mon Jul 21 07:19:24 IST 2025</t>
  </si>
  <si>
    <t>5118392933</t>
  </si>
  <si>
    <t>AJI14620</t>
  </si>
  <si>
    <t>Mon Jul 21 08:04:37 IST 2025</t>
  </si>
  <si>
    <t>AF25GJ180223132</t>
  </si>
  <si>
    <t>Mon Jul 21 08:04:38 IST 2025</t>
  </si>
  <si>
    <t>701300619015</t>
  </si>
  <si>
    <t>1653-BG_M</t>
  </si>
  <si>
    <t>FN3183603307</t>
  </si>
  <si>
    <t>Sun Jul 20 10:04:20 IST 2025</t>
  </si>
  <si>
    <t>5118392942</t>
  </si>
  <si>
    <t>AJI14619</t>
  </si>
  <si>
    <t>Mon Jul 21 08:04:36 IST 2025</t>
  </si>
  <si>
    <t>AF25GJ180223126</t>
  </si>
  <si>
    <t>FN3028605566</t>
  </si>
  <si>
    <t>Mon Jul 21 07:43:14 IST 2025</t>
  </si>
  <si>
    <t>5118392937</t>
  </si>
  <si>
    <t>AJI14618</t>
  </si>
  <si>
    <t>Mon Jul 21 08:04:26 IST 2025</t>
  </si>
  <si>
    <t>AF25GJ180223118</t>
  </si>
  <si>
    <t>Mon Jul 21 08:04:27 IST 2025</t>
  </si>
  <si>
    <t>FN2903609791</t>
  </si>
  <si>
    <t>Sun Jul 20 18:14:13 IST 2025</t>
  </si>
  <si>
    <t>5118392944</t>
  </si>
  <si>
    <t>AJI14617</t>
  </si>
  <si>
    <t>AF25GJ180223115</t>
  </si>
  <si>
    <t>701199126008</t>
  </si>
  <si>
    <t>AJI-1658-BRN_L</t>
  </si>
  <si>
    <t>FN5978601678</t>
  </si>
  <si>
    <t>Sun Jul 20 18:15:27 IST 2025</t>
  </si>
  <si>
    <t>5118392946</t>
  </si>
  <si>
    <t>AJI14616</t>
  </si>
  <si>
    <t>Mon Jul 21 08:04:22 IST 2025</t>
  </si>
  <si>
    <t>AF25GJ180223108</t>
  </si>
  <si>
    <t>Mon Jul 21 08:04:23 IST 2025</t>
  </si>
  <si>
    <t>FN3098607626</t>
  </si>
  <si>
    <t>Mon Jul 21 07:51:32 IST 2025</t>
  </si>
  <si>
    <t>5118392935</t>
  </si>
  <si>
    <t>AJI14615</t>
  </si>
  <si>
    <t>Mon Jul 21 08:04:15 IST 2025</t>
  </si>
  <si>
    <t>AF25GJ180223099</t>
  </si>
  <si>
    <t>Mon Jul 21 08:04:16 IST 2025</t>
  </si>
  <si>
    <t>FN1945606797</t>
  </si>
  <si>
    <t>Sun Jul 20 18:33:45 IST 2025</t>
  </si>
  <si>
    <t>5118392938</t>
  </si>
  <si>
    <t>AJI14614</t>
  </si>
  <si>
    <t>Mon Jul 21 08:04:12 IST 2025</t>
  </si>
  <si>
    <t>AF25GJ180223092</t>
  </si>
  <si>
    <t>Mon Jul 21 08:04:13 IST 2025</t>
  </si>
  <si>
    <t>700659603020</t>
  </si>
  <si>
    <t>1594_MRN_XL</t>
  </si>
  <si>
    <t>FN5488606043</t>
  </si>
  <si>
    <t>Mon Jul 21 00:20:45 IST 2025</t>
  </si>
  <si>
    <t>5118392940</t>
  </si>
  <si>
    <t>AJI14613</t>
  </si>
  <si>
    <t>Mon Jul 21 08:04:04 IST 2025</t>
  </si>
  <si>
    <t>AF25GJ180223083</t>
  </si>
  <si>
    <t>701045948063</t>
  </si>
  <si>
    <t>1649-TBL_34</t>
  </si>
  <si>
    <t>FN3188604612</t>
  </si>
  <si>
    <t>Sun Jul 20 13:32:26 IST 2025</t>
  </si>
  <si>
    <t>5118392941</t>
  </si>
  <si>
    <t>AJI14612</t>
  </si>
  <si>
    <t>Mon Jul 21 08:04:02 IST 2025</t>
  </si>
  <si>
    <t>AF25GJ180223079</t>
  </si>
  <si>
    <t>FN3588605086</t>
  </si>
  <si>
    <t>Sun Jul 20 21:35:15 IST 2025</t>
  </si>
  <si>
    <t>5118392932</t>
  </si>
  <si>
    <t>AJI14611</t>
  </si>
  <si>
    <t>Mon Jul 21 08:03:55 IST 2025</t>
  </si>
  <si>
    <t>AF25GJ180223067</t>
  </si>
  <si>
    <t>Mon Jul 21 08:03:56 IST 2025</t>
  </si>
  <si>
    <t>FN2588602054</t>
  </si>
  <si>
    <t>Mon Jul 21 00:21:35 IST 2025</t>
  </si>
  <si>
    <t>5118392934</t>
  </si>
  <si>
    <t>AJI14610</t>
  </si>
  <si>
    <t>Mon Jul 21 08:03:51 IST 2025</t>
  </si>
  <si>
    <t>AF25GJ180223064</t>
  </si>
  <si>
    <t>Mon Jul 21 08:03:53 IST 2025</t>
  </si>
  <si>
    <t>FN2988602461</t>
  </si>
  <si>
    <t>Sun Jul 20 21:19:20 IST 2025</t>
  </si>
  <si>
    <t>5118392939</t>
  </si>
  <si>
    <t>AJI14609</t>
  </si>
  <si>
    <t>AF25GJ180223060</t>
  </si>
  <si>
    <t>Mon Jul 21 08:03:52 IST 2025</t>
  </si>
  <si>
    <t>FN1688608826</t>
  </si>
  <si>
    <t>Sun Jul 20 21:51:15 IST 2025</t>
  </si>
  <si>
    <t>5118392936</t>
  </si>
  <si>
    <t>AJI14608</t>
  </si>
  <si>
    <t>Mon Jul 21 08:03:44 IST 2025</t>
  </si>
  <si>
    <t>AF25GJ180223048</t>
  </si>
  <si>
    <t>Mon Jul 21 08:03:45 IST 2025</t>
  </si>
  <si>
    <t>FN3808602469</t>
  </si>
  <si>
    <t>Sun Jul 20 14:43:25 IST 2025</t>
  </si>
  <si>
    <t>5118392931</t>
  </si>
  <si>
    <t>AJI14607</t>
  </si>
  <si>
    <t>Mon Jul 21 08:03:33 IST 2025</t>
  </si>
  <si>
    <t>AF25GJ180223034</t>
  </si>
  <si>
    <t>Mon Jul 21 08:03:34 IST 2025</t>
  </si>
  <si>
    <t>FN7176607199</t>
  </si>
  <si>
    <t>Sun Jul 20 17:41:58 IST 2025</t>
  </si>
  <si>
    <t>5118392927</t>
  </si>
  <si>
    <t>AJI14606</t>
  </si>
  <si>
    <t>Mon Jul 21 08:03:25 IST 2025</t>
  </si>
  <si>
    <t>AF25GJ180223020</t>
  </si>
  <si>
    <t>700210515016</t>
  </si>
  <si>
    <t>1324(AJIO)_PNK_XL</t>
  </si>
  <si>
    <t>EX0032720477</t>
  </si>
  <si>
    <t>Sun Jul 20 17:30:04 IST 2025</t>
  </si>
  <si>
    <t>5118392929</t>
  </si>
  <si>
    <t>AJI14605</t>
  </si>
  <si>
    <t>Mon Jul 21 08:03:22 IST 2025</t>
  </si>
  <si>
    <t>AF25GJ180223016</t>
  </si>
  <si>
    <t>Mon Jul 21 08:03:23 IST 2025</t>
  </si>
  <si>
    <t>FN6588609067</t>
  </si>
  <si>
    <t>Sun Jul 20 13:03:06 IST 2025</t>
  </si>
  <si>
    <t>5118392923</t>
  </si>
  <si>
    <t>AJI14602</t>
  </si>
  <si>
    <t>Mon Jul 21 08:03:15 IST 2025</t>
  </si>
  <si>
    <t>AF25GJ180223006</t>
  </si>
  <si>
    <t>Mon Jul 21 08:03:16 IST 2025</t>
  </si>
  <si>
    <t>FN4768604699</t>
  </si>
  <si>
    <t>Sun Jul 20 17:42:45 IST 2025</t>
  </si>
  <si>
    <t>5118392924</t>
  </si>
  <si>
    <t>AJI14603</t>
  </si>
  <si>
    <t>AF25GJ180223004</t>
  </si>
  <si>
    <t>FN8628601069</t>
  </si>
  <si>
    <t>Sun Jul 20 17:53:57 IST 2025</t>
  </si>
  <si>
    <t>5118392925</t>
  </si>
  <si>
    <t>AJI14601</t>
  </si>
  <si>
    <t>Mon Jul 21 08:03:00 IST 2025</t>
  </si>
  <si>
    <t>AF25GJ180222990</t>
  </si>
  <si>
    <t>701199126010</t>
  </si>
  <si>
    <t>AJI-1658-BRN_XXL</t>
  </si>
  <si>
    <t>FN3387608813</t>
  </si>
  <si>
    <t>Sun Jul 20 08:44:02 IST 2025</t>
  </si>
  <si>
    <t>5118392922</t>
  </si>
  <si>
    <t>AJI14600</t>
  </si>
  <si>
    <t>Mon Jul 21 08:02:56 IST 2025</t>
  </si>
  <si>
    <t>AF25GJ180222986</t>
  </si>
  <si>
    <t>Mon Jul 21 08:02:57 IST 2025</t>
  </si>
  <si>
    <t>FN0788609485</t>
  </si>
  <si>
    <t>Sun Jul 20 12:29:40 IST 2025</t>
  </si>
  <si>
    <t>5118392926</t>
  </si>
  <si>
    <t>AJI14599</t>
  </si>
  <si>
    <t>Mon Jul 21 08:02:45 IST 2025</t>
  </si>
  <si>
    <t>AF25GJ180222962</t>
  </si>
  <si>
    <t>FN4688608873</t>
  </si>
  <si>
    <t>Sun Jul 20 08:21:44 IST 2025</t>
  </si>
  <si>
    <t>5118392920</t>
  </si>
  <si>
    <t>AJI14598</t>
  </si>
  <si>
    <t>Mon Jul 21 08:02:41 IST 2025</t>
  </si>
  <si>
    <t>AF25GJ180222958</t>
  </si>
  <si>
    <t>Mon Jul 21 08:02:42 IST 2025</t>
  </si>
  <si>
    <t>FN6666605796</t>
  </si>
  <si>
    <t>Sun Jul 20 12:35:53 IST 2025</t>
  </si>
  <si>
    <t>5118392928</t>
  </si>
  <si>
    <t>AJI14597</t>
  </si>
  <si>
    <t>Mon Jul 21 08:02:40 IST 2025</t>
  </si>
  <si>
    <t>AF25GJ180222954</t>
  </si>
  <si>
    <t>EX0032709674</t>
  </si>
  <si>
    <t>Sun Jul 20 11:11:36 IST 2025</t>
  </si>
  <si>
    <t>5118392918</t>
  </si>
  <si>
    <t>AJI14595</t>
  </si>
  <si>
    <t>Mon Jul 21 08:02:22 IST 2025</t>
  </si>
  <si>
    <t>AF25GJ180222928</t>
  </si>
  <si>
    <t>Mon Jul 21 08:02:23 IST 2025</t>
  </si>
  <si>
    <t>700329842011</t>
  </si>
  <si>
    <t>1596_BK_XL</t>
  </si>
  <si>
    <t>FN3258609866</t>
  </si>
  <si>
    <t>Sun Jul 20 22:25:38 IST 2025</t>
  </si>
  <si>
    <t>5118392917</t>
  </si>
  <si>
    <t>AJI14593</t>
  </si>
  <si>
    <t>Mon Jul 21 08:02:18 IST 2025</t>
  </si>
  <si>
    <t>AF25GJ180222922</t>
  </si>
  <si>
    <t>FN0358602268</t>
  </si>
  <si>
    <t>Sun Jul 20 22:31:00 IST 2025</t>
  </si>
  <si>
    <t>5118392916</t>
  </si>
  <si>
    <t>AJI14592</t>
  </si>
  <si>
    <t>Mon Jul 21 08:02:17 IST 2025</t>
  </si>
  <si>
    <t>AF25GJ180222918</t>
  </si>
  <si>
    <t>FN5988609734</t>
  </si>
  <si>
    <t>Sun Jul 20 22:45:41 IST 2025</t>
  </si>
  <si>
    <t>5118392921</t>
  </si>
  <si>
    <t>AJI14591</t>
  </si>
  <si>
    <t>Mon Jul 21 08:02:03 IST 2025</t>
  </si>
  <si>
    <t>AF25GJ180222904</t>
  </si>
  <si>
    <t>Mon Jul 21 08:02:04 IST 2025</t>
  </si>
  <si>
    <t>FN1904600925</t>
  </si>
  <si>
    <t>Sun Jul 20 22:53:35 IST 2025</t>
  </si>
  <si>
    <t>5118392912</t>
  </si>
  <si>
    <t>AJI14590</t>
  </si>
  <si>
    <t>Mon Jul 21 08:01:54 IST 2025</t>
  </si>
  <si>
    <t>AF25GJ180222890</t>
  </si>
  <si>
    <t>FN3694404221</t>
  </si>
  <si>
    <t>Sun Jul 20 22:52:22 IST 2025</t>
  </si>
  <si>
    <t>5118392915</t>
  </si>
  <si>
    <t>AJI14589</t>
  </si>
  <si>
    <t>Mon Jul 21 08:01:52 IST 2025</t>
  </si>
  <si>
    <t>AF25GJ180222886</t>
  </si>
  <si>
    <t>Mon Jul 21 08:01:53 IST 2025</t>
  </si>
  <si>
    <t>FN6788608178</t>
  </si>
  <si>
    <t>Sun Jul 20 15:07:52 IST 2025</t>
  </si>
  <si>
    <t>5118392911</t>
  </si>
  <si>
    <t>AJI14588</t>
  </si>
  <si>
    <t>Mon Jul 21 08:01:44 IST 2025</t>
  </si>
  <si>
    <t>AF25GJ180222877</t>
  </si>
  <si>
    <t>Mon Jul 21 08:01:50 IST 2025</t>
  </si>
  <si>
    <t>FN7978601858</t>
  </si>
  <si>
    <t>Sun Jul 20 15:06:48 IST 2025</t>
  </si>
  <si>
    <t>5118392914</t>
  </si>
  <si>
    <t>AJI14587</t>
  </si>
  <si>
    <t>Mon Jul 21 08:01:33 IST 2025</t>
  </si>
  <si>
    <t>AF25GJ180222848</t>
  </si>
  <si>
    <t>Mon Jul 21 08:01:39 IST 2025</t>
  </si>
  <si>
    <t>FN9248606714</t>
  </si>
  <si>
    <t>Sun Jul 20 15:37:01 IST 2025</t>
  </si>
  <si>
    <t>5118392201</t>
  </si>
  <si>
    <t>AJI14586</t>
  </si>
  <si>
    <t>Mon Jul 21 08:01:24 IST 2025</t>
  </si>
  <si>
    <t>AF25GJ180222820</t>
  </si>
  <si>
    <t>Mon Jul 21 08:01:30 IST 2025</t>
  </si>
  <si>
    <t>FN6888604443</t>
  </si>
  <si>
    <t>Sun Jul 20 19:18:16 IST 2025</t>
  </si>
  <si>
    <t>5118392203</t>
  </si>
  <si>
    <t>AJI14585</t>
  </si>
  <si>
    <t>Mon Jul 21 08:01:15 IST 2025</t>
  </si>
  <si>
    <t>AF25GJ180222788</t>
  </si>
  <si>
    <t>700610735003</t>
  </si>
  <si>
    <t>AJI-1024NVRNTS</t>
  </si>
  <si>
    <t>AJI-1642_LPRL_S</t>
  </si>
  <si>
    <t>391.1</t>
  </si>
  <si>
    <t>9.31</t>
  </si>
  <si>
    <t>372.48</t>
  </si>
  <si>
    <t>FN4323601555</t>
  </si>
  <si>
    <t>Sun Jul 20 19:37:03 IST 2025</t>
  </si>
  <si>
    <t>5118392207</t>
  </si>
  <si>
    <t>AJI14584</t>
  </si>
  <si>
    <t>Mon Jul 21 08:01:04 IST 2025</t>
  </si>
  <si>
    <t>AF25GJ180222764</t>
  </si>
  <si>
    <t>Mon Jul 21 08:01:05 IST 2025</t>
  </si>
  <si>
    <t>FN8988604341</t>
  </si>
  <si>
    <t>Sun Jul 20 23:32:29 IST 2025</t>
  </si>
  <si>
    <t>5118392202</t>
  </si>
  <si>
    <t>AJI14583</t>
  </si>
  <si>
    <t>Mon Jul 21 08:01:03 IST 2025</t>
  </si>
  <si>
    <t>AF25GJ180222759</t>
  </si>
  <si>
    <t>FN4988607341</t>
  </si>
  <si>
    <t>Sun Jul 20 23:57:12 IST 2025</t>
  </si>
  <si>
    <t>5118392200</t>
  </si>
  <si>
    <t>AJI14581</t>
  </si>
  <si>
    <t>Mon Jul 21 08:00:55 IST 2025</t>
  </si>
  <si>
    <t>AF25GJ180222753</t>
  </si>
  <si>
    <t>Mon Jul 21 08:01:01 IST 2025</t>
  </si>
  <si>
    <t>FN5788600555</t>
  </si>
  <si>
    <t>Sun Jul 20 15:02:09 IST 2025</t>
  </si>
  <si>
    <t>5118392198</t>
  </si>
  <si>
    <t>AJI14580</t>
  </si>
  <si>
    <t>Mon Jul 21 08:00:44 IST 2025</t>
  </si>
  <si>
    <t>AF25GJ180222698</t>
  </si>
  <si>
    <t>Mon Jul 21 08:00:48 IST 2025</t>
  </si>
  <si>
    <t>FN3078600246</t>
  </si>
  <si>
    <t>Sun Jul 20 20:29:56 IST 2025</t>
  </si>
  <si>
    <t>5118392199</t>
  </si>
  <si>
    <t>AJI14578</t>
  </si>
  <si>
    <t>Mon Jul 21 08:00:35 IST 2025</t>
  </si>
  <si>
    <t>AF25GJ180222665</t>
  </si>
  <si>
    <t>Mon Jul 21 08:00:41 IST 2025</t>
  </si>
  <si>
    <t>FN9888609279</t>
  </si>
  <si>
    <t>Sun Jul 20 20:18:47 IST 2025</t>
  </si>
  <si>
    <t>5118392205</t>
  </si>
  <si>
    <t>AJI14579</t>
  </si>
  <si>
    <t>Mon Jul 21 08:00:33 IST 2025</t>
  </si>
  <si>
    <t>AF25GJ180222639</t>
  </si>
  <si>
    <t>FN7758601932</t>
  </si>
  <si>
    <t>Sun Jul 20 20:44:51 IST 2025</t>
  </si>
  <si>
    <t>5118392204</t>
  </si>
  <si>
    <t>AJI14577</t>
  </si>
  <si>
    <t>Mon Jul 21 08:00:18 IST 2025</t>
  </si>
  <si>
    <t>AF25GJ180222561</t>
  </si>
  <si>
    <t>Mon Jul 21 08:00:19 IST 2025</t>
  </si>
  <si>
    <t>700211961036</t>
  </si>
  <si>
    <t>1166(AJIO)_RM_XXL</t>
  </si>
  <si>
    <t>FN9588606197</t>
  </si>
  <si>
    <t>Sun Jul 20 00:31:25 IST 2025</t>
  </si>
  <si>
    <t>5118245268</t>
  </si>
  <si>
    <t>Sun Jul 20 00:00:00 IST 2025</t>
  </si>
  <si>
    <t>AJI14566</t>
  </si>
  <si>
    <t>Sun Jul 20 12:43:01 IST 2025</t>
  </si>
  <si>
    <t>AF25GJ180079452</t>
  </si>
  <si>
    <t>FN8037603216</t>
  </si>
  <si>
    <t>Sat Jul 19 20:45:41 IST 2025</t>
  </si>
  <si>
    <t>5118245537</t>
  </si>
  <si>
    <t>AJI14576</t>
  </si>
  <si>
    <t>Sun Jul 20 08:07:20 IST 2025</t>
  </si>
  <si>
    <t>AF25GJ179997877</t>
  </si>
  <si>
    <t>Sun Jul 20 08:07:21 IST 2025</t>
  </si>
  <si>
    <t>FN0894603656</t>
  </si>
  <si>
    <t>Sat Jul 19 21:09:50 IST 2025</t>
  </si>
  <si>
    <t>5118245273</t>
  </si>
  <si>
    <t>AJI14574</t>
  </si>
  <si>
    <t>Sun Jul 20 08:03:58 IST 2025</t>
  </si>
  <si>
    <t>AF25GJ179997562</t>
  </si>
  <si>
    <t>FN3978603051</t>
  </si>
  <si>
    <t>Sat Jul 19 21:16:38 IST 2025</t>
  </si>
  <si>
    <t>5118245265</t>
  </si>
  <si>
    <t>AJI14573</t>
  </si>
  <si>
    <t>Sun Jul 20 08:03:47 IST 2025</t>
  </si>
  <si>
    <t>AF25GJ179997528</t>
  </si>
  <si>
    <t>Sun Jul 20 08:03:48 IST 2025</t>
  </si>
  <si>
    <t>FN8067609615</t>
  </si>
  <si>
    <t>Sat Jul 19 21:54:42 IST 2025</t>
  </si>
  <si>
    <t>5118245270</t>
  </si>
  <si>
    <t>AJI14575</t>
  </si>
  <si>
    <t>Sun Jul 20 08:03:31 IST 2025</t>
  </si>
  <si>
    <t>AF25GJ179997489</t>
  </si>
  <si>
    <t>Sun Jul 20 08:03:32 IST 2025</t>
  </si>
  <si>
    <t>FN2368600583</t>
  </si>
  <si>
    <t>Sat Jul 19 21:28:05 IST 2025</t>
  </si>
  <si>
    <t>5118245271</t>
  </si>
  <si>
    <t>AJI14572</t>
  </si>
  <si>
    <t>Sun Jul 20 08:02:33 IST 2025</t>
  </si>
  <si>
    <t>AF25GJ179997304</t>
  </si>
  <si>
    <t>Sun Jul 20 08:02:34 IST 2025</t>
  </si>
  <si>
    <t>FN8538607396</t>
  </si>
  <si>
    <t>Sat Jul 19 22:00:57 IST 2025</t>
  </si>
  <si>
    <t>5118245269</t>
  </si>
  <si>
    <t>AJI14571</t>
  </si>
  <si>
    <t>Sun Jul 20 08:02:26 IST 2025</t>
  </si>
  <si>
    <t>AF25GJ179997280</t>
  </si>
  <si>
    <t>Sun Jul 20 08:02:27 IST 2025</t>
  </si>
  <si>
    <t>983.39</t>
  </si>
  <si>
    <t>936.56</t>
  </si>
  <si>
    <t>FN3688607047</t>
  </si>
  <si>
    <t>Sun Jul 20 07:30:29 IST 2025</t>
  </si>
  <si>
    <t>5118245272</t>
  </si>
  <si>
    <t>AJI14570</t>
  </si>
  <si>
    <t>Sun Jul 20 08:02:15 IST 2025</t>
  </si>
  <si>
    <t>AF25GJ179997252</t>
  </si>
  <si>
    <t>FN0406604726</t>
  </si>
  <si>
    <t>Sun Jul 20 07:42:00 IST 2025</t>
  </si>
  <si>
    <t>5118245267</t>
  </si>
  <si>
    <t>AJI14569</t>
  </si>
  <si>
    <t>Sun Jul 20 08:02:10 IST 2025</t>
  </si>
  <si>
    <t>AF25GJ179997240</t>
  </si>
  <si>
    <t>467072551030</t>
  </si>
  <si>
    <t>AJI-1333_MSTRD_XL</t>
  </si>
  <si>
    <t>FN6188606144</t>
  </si>
  <si>
    <t>Sat Jul 19 20:16:43 IST 2025</t>
  </si>
  <si>
    <t>5118245263</t>
  </si>
  <si>
    <t>AJI14568</t>
  </si>
  <si>
    <t>Sun Jul 20 08:01:59 IST 2025</t>
  </si>
  <si>
    <t>AF25GJ179997208</t>
  </si>
  <si>
    <t>Sun Jul 20 08:02:00 IST 2025</t>
  </si>
  <si>
    <t>558.45</t>
  </si>
  <si>
    <t>13.3</t>
  </si>
  <si>
    <t>265.93</t>
  </si>
  <si>
    <t>531.86</t>
  </si>
  <si>
    <t>FN4378608139</t>
  </si>
  <si>
    <t>Sat Jul 19 22:22:42 IST 2025</t>
  </si>
  <si>
    <t>5118245266</t>
  </si>
  <si>
    <t>AJI14565</t>
  </si>
  <si>
    <t>Sun Jul 20 08:01:10 IST 2025</t>
  </si>
  <si>
    <t>AF25GJ179997153</t>
  </si>
  <si>
    <t>Sun Jul 20 08:01:11 IST 2025</t>
  </si>
  <si>
    <t>FN7588600650</t>
  </si>
  <si>
    <t>Sat Jul 19 22:59:49 IST 2025</t>
  </si>
  <si>
    <t>5118245261</t>
  </si>
  <si>
    <t>AJI14564</t>
  </si>
  <si>
    <t>Sun Jul 20 08:01:01 IST 2025</t>
  </si>
  <si>
    <t>AF25GJ179997145</t>
  </si>
  <si>
    <t>Sun Jul 20 08:01:03 IST 2025</t>
  </si>
  <si>
    <t>FN8160606640</t>
  </si>
  <si>
    <t>Sat Jul 19 22:30:50 IST 2025</t>
  </si>
  <si>
    <t>5118245262</t>
  </si>
  <si>
    <t>AJI14563</t>
  </si>
  <si>
    <t>Sun Jul 20 08:00:59 IST 2025</t>
  </si>
  <si>
    <t>AF25GJ179997139</t>
  </si>
  <si>
    <t>FN5365601550</t>
  </si>
  <si>
    <t>Sat Jul 19 23:28:21 IST 2025</t>
  </si>
  <si>
    <t>5118245264</t>
  </si>
  <si>
    <t>AJI14562</t>
  </si>
  <si>
    <t>Sun Jul 20 08:00:50 IST 2025</t>
  </si>
  <si>
    <t>AF25GJ179997128</t>
  </si>
  <si>
    <t>Sun Jul 20 08:00:51 IST 2025</t>
  </si>
  <si>
    <t>700659603014</t>
  </si>
  <si>
    <t>1593_GRY_XXL</t>
  </si>
  <si>
    <t>FN5968608394</t>
  </si>
  <si>
    <t>Sat Jul 19 23:39:00 IST 2025</t>
  </si>
  <si>
    <t>5118245260</t>
  </si>
  <si>
    <t>AJI14561</t>
  </si>
  <si>
    <t>Sun Jul 20 08:00:39 IST 2025</t>
  </si>
  <si>
    <t>AF25GJ179997113</t>
  </si>
  <si>
    <t>Sun Jul 20 08:00:40 IST 2025</t>
  </si>
  <si>
    <t>FN4617602084</t>
  </si>
  <si>
    <t>Sat Jul 19 17:41:19 IST 2025</t>
  </si>
  <si>
    <t>5118203504</t>
  </si>
  <si>
    <t>Sat Jul 19 00:00:00 IST 2025</t>
  </si>
  <si>
    <t>AJI14560</t>
  </si>
  <si>
    <t>Sat Jul 19 19:56:10 IST 2025</t>
  </si>
  <si>
    <t>AF25GJ179952727</t>
  </si>
  <si>
    <t>Sat Jul 19 19:56:11 IST 2025</t>
  </si>
  <si>
    <t>FN8048601024</t>
  </si>
  <si>
    <t>Sat Jul 19 19:07:56 IST 2025</t>
  </si>
  <si>
    <t>5118203509</t>
  </si>
  <si>
    <t>AJI14559</t>
  </si>
  <si>
    <t>Sat Jul 19 19:55:59 IST 2025</t>
  </si>
  <si>
    <t>AF25GJ179952697</t>
  </si>
  <si>
    <t>FN8488602119</t>
  </si>
  <si>
    <t>Sat Jul 19 19:44:06 IST 2025</t>
  </si>
  <si>
    <t>5118203502</t>
  </si>
  <si>
    <t>AJI14558</t>
  </si>
  <si>
    <t>Sat Jul 19 19:55:36 IST 2025</t>
  </si>
  <si>
    <t>AF25GJ179952658</t>
  </si>
  <si>
    <t>Sat Jul 19 19:55:37 IST 2025</t>
  </si>
  <si>
    <t>FN2388609757</t>
  </si>
  <si>
    <t>Sat Jul 19 19:05:32 IST 2025</t>
  </si>
  <si>
    <t>5118203137</t>
  </si>
  <si>
    <t>AJI14557</t>
  </si>
  <si>
    <t>Sat Jul 19 19:51:03 IST 2025</t>
  </si>
  <si>
    <t>AF25GJ179951445</t>
  </si>
  <si>
    <t>700210515009</t>
  </si>
  <si>
    <t>1333(AJIO)_MSTRD_M</t>
  </si>
  <si>
    <t>FN2886607683</t>
  </si>
  <si>
    <t>Sat Jul 19 18:54:06 IST 2025</t>
  </si>
  <si>
    <t>5118203134</t>
  </si>
  <si>
    <t>AJI14556</t>
  </si>
  <si>
    <t>Sat Jul 19 19:50:51 IST 2025</t>
  </si>
  <si>
    <t>AF25GJ179951404</t>
  </si>
  <si>
    <t>FN3488608467</t>
  </si>
  <si>
    <t>Sat Jul 19 16:23:32 IST 2025</t>
  </si>
  <si>
    <t>5118178471</t>
  </si>
  <si>
    <t>AJI14555</t>
  </si>
  <si>
    <t>Sat Jul 19 17:01:04 IST 2025</t>
  </si>
  <si>
    <t>AF25GJ179910433</t>
  </si>
  <si>
    <t>Sat Jul 19 17:01:05 IST 2025</t>
  </si>
  <si>
    <t>FN1929500855</t>
  </si>
  <si>
    <t>Sat Jul 19 16:45:24 IST 2025</t>
  </si>
  <si>
    <t>5118178469</t>
  </si>
  <si>
    <t>AJI14554</t>
  </si>
  <si>
    <t>Sat Jul 19 17:00:53 IST 2025</t>
  </si>
  <si>
    <t>AF25GJ179910389</t>
  </si>
  <si>
    <t>FN8055601759</t>
  </si>
  <si>
    <t>Sat Jul 19 16:45:40 IST 2025</t>
  </si>
  <si>
    <t>5118178470</t>
  </si>
  <si>
    <t>AJI14553</t>
  </si>
  <si>
    <t>Sat Jul 19 17:00:41 IST 2025</t>
  </si>
  <si>
    <t>AF25GJ179910354</t>
  </si>
  <si>
    <t>700329846002</t>
  </si>
  <si>
    <t>1502_BL_S</t>
  </si>
  <si>
    <t>FN8188602163</t>
  </si>
  <si>
    <t>Sat Jul 19 16:03:38 IST 2025</t>
  </si>
  <si>
    <t>5118168157</t>
  </si>
  <si>
    <t>AJI14551</t>
  </si>
  <si>
    <t>Sat Jul 19 16:57:53 IST 2025</t>
  </si>
  <si>
    <t>AF25GJ179909594</t>
  </si>
  <si>
    <t>EX0032705437</t>
  </si>
  <si>
    <t>Sat Jul 19 13:10:04 IST 2025</t>
  </si>
  <si>
    <t>5118168155</t>
  </si>
  <si>
    <t>AJI14549</t>
  </si>
  <si>
    <t>Sat Jul 19 16:57:43 IST 2025</t>
  </si>
  <si>
    <t>AF25GJ179909560</t>
  </si>
  <si>
    <t>FN2468604172</t>
  </si>
  <si>
    <t>Sat Jul 19 15:44:24 IST 2025</t>
  </si>
  <si>
    <t>5118168175</t>
  </si>
  <si>
    <t>AJI14545</t>
  </si>
  <si>
    <t>Sat Jul 19 16:48:24 IST 2025</t>
  </si>
  <si>
    <t>AF25GJ179906708</t>
  </si>
  <si>
    <t>FN0488609758</t>
  </si>
  <si>
    <t>Sat Jul 19 16:06:00 IST 2025</t>
  </si>
  <si>
    <t>5118168153</t>
  </si>
  <si>
    <t>AJI14548</t>
  </si>
  <si>
    <t>Sat Jul 19 16:47:53 IST 2025</t>
  </si>
  <si>
    <t>AF25GJ179906547</t>
  </si>
  <si>
    <t>FN6388602495</t>
  </si>
  <si>
    <t>Sat Jul 19 16:11:52 IST 2025</t>
  </si>
  <si>
    <t>5118168152</t>
  </si>
  <si>
    <t>AJI14547</t>
  </si>
  <si>
    <t>Sat Jul 19 16:47:41 IST 2025</t>
  </si>
  <si>
    <t>AF25GJ179906480</t>
  </si>
  <si>
    <t>Sat Jul 19 16:47:42 IST 2025</t>
  </si>
  <si>
    <t>FN8765601238</t>
  </si>
  <si>
    <t>Sat Jul 19 13:07:38 IST 2025</t>
  </si>
  <si>
    <t>5118168151</t>
  </si>
  <si>
    <t>AJI14546</t>
  </si>
  <si>
    <t>Sat Jul 19 16:47:30 IST 2025</t>
  </si>
  <si>
    <t>AF25GJ179906405</t>
  </si>
  <si>
    <t>700659603017</t>
  </si>
  <si>
    <t>1590_AQBL_M</t>
  </si>
  <si>
    <t>FN1388601002</t>
  </si>
  <si>
    <t>Sat Jul 19 10:37:09 IST 2025</t>
  </si>
  <si>
    <t>5118168178</t>
  </si>
  <si>
    <t>AJI14544</t>
  </si>
  <si>
    <t>Sat Jul 19 16:22:13 IST 2025</t>
  </si>
  <si>
    <t>AF25GJ179896351</t>
  </si>
  <si>
    <t>Sat Jul 19 16:22:14 IST 2025</t>
  </si>
  <si>
    <t>701300619032</t>
  </si>
  <si>
    <t>1653-PCH_XL</t>
  </si>
  <si>
    <t>701300619048</t>
  </si>
  <si>
    <t>1653-NBL_XL</t>
  </si>
  <si>
    <t>701300619013</t>
  </si>
  <si>
    <t>1653-BG_XL</t>
  </si>
  <si>
    <t>FN5288601817</t>
  </si>
  <si>
    <t>Sat Jul 19 04:23:49 IST 2025</t>
  </si>
  <si>
    <t>5118168170</t>
  </si>
  <si>
    <t>AJI14543</t>
  </si>
  <si>
    <t>Sat Jul 19 16:22:05 IST 2025</t>
  </si>
  <si>
    <t>AF25GJ179896269</t>
  </si>
  <si>
    <t>701045948007</t>
  </si>
  <si>
    <t>1649-RM_36</t>
  </si>
  <si>
    <t>FN9388609537</t>
  </si>
  <si>
    <t>Sat Jul 19 15:11:49 IST 2025</t>
  </si>
  <si>
    <t>5118168172</t>
  </si>
  <si>
    <t>AJI14542</t>
  </si>
  <si>
    <t>Sat Jul 19 16:21:54 IST 2025</t>
  </si>
  <si>
    <t>AF25GJ179896175</t>
  </si>
  <si>
    <t>Sat Jul 19 16:21:55 IST 2025</t>
  </si>
  <si>
    <t>FN2066604674</t>
  </si>
  <si>
    <t>Sat Jul 19 11:23:38 IST 2025</t>
  </si>
  <si>
    <t>5118168169</t>
  </si>
  <si>
    <t>AJI14541</t>
  </si>
  <si>
    <t>Sat Jul 19 16:21:44 IST 2025</t>
  </si>
  <si>
    <t>AF25GJ179896134</t>
  </si>
  <si>
    <t>Sat Jul 19 16:21:50 IST 2025</t>
  </si>
  <si>
    <t>FN3346603029</t>
  </si>
  <si>
    <t>Sat Jul 19 11:25:12 IST 2025</t>
  </si>
  <si>
    <t>5118168160</t>
  </si>
  <si>
    <t>AJI14540</t>
  </si>
  <si>
    <t>Sat Jul 19 16:21:33 IST 2025</t>
  </si>
  <si>
    <t>AF25GJ179896038</t>
  </si>
  <si>
    <t>Sat Jul 19 16:21:38 IST 2025</t>
  </si>
  <si>
    <t>FN6288600967</t>
  </si>
  <si>
    <t>Sat Jul 19 07:19:44 IST 2025</t>
  </si>
  <si>
    <t>5118168166</t>
  </si>
  <si>
    <t>AJI14539</t>
  </si>
  <si>
    <t>Sat Jul 19 16:21:22 IST 2025</t>
  </si>
  <si>
    <t>AF25GJ179895943</t>
  </si>
  <si>
    <t>Sat Jul 19 16:21:26 IST 2025</t>
  </si>
  <si>
    <t>FN1618600952</t>
  </si>
  <si>
    <t>Sat Jul 19 06:43:48 IST 2025</t>
  </si>
  <si>
    <t>5118168158</t>
  </si>
  <si>
    <t>AJI14538</t>
  </si>
  <si>
    <t>Sat Jul 19 16:21:17 IST 2025</t>
  </si>
  <si>
    <t>AF25GJ179895904</t>
  </si>
  <si>
    <t>Sat Jul 19 16:21:21 IST 2025</t>
  </si>
  <si>
    <t>FN9543509796</t>
  </si>
  <si>
    <t>Sat Jul 19 07:28:11 IST 2025</t>
  </si>
  <si>
    <t>5118168168</t>
  </si>
  <si>
    <t>AJI14537</t>
  </si>
  <si>
    <t>Sat Jul 19 16:21:07 IST 2025</t>
  </si>
  <si>
    <t>AF25GJ179895790</t>
  </si>
  <si>
    <t>Sat Jul 19 16:21:09 IST 2025</t>
  </si>
  <si>
    <t>FN0388607191</t>
  </si>
  <si>
    <t>Sat Jul 19 15:03:36 IST 2025</t>
  </si>
  <si>
    <t>5118168167</t>
  </si>
  <si>
    <t>AJI14536</t>
  </si>
  <si>
    <t>Sat Jul 19 16:21:00 IST 2025</t>
  </si>
  <si>
    <t>AF25GJ179895735</t>
  </si>
  <si>
    <t>Sat Jul 19 16:21:03 IST 2025</t>
  </si>
  <si>
    <t>FN5388602144</t>
  </si>
  <si>
    <t>Sat Jul 19 13:00:36 IST 2025</t>
  </si>
  <si>
    <t>5118168173</t>
  </si>
  <si>
    <t>AJI14535</t>
  </si>
  <si>
    <t>Sat Jul 19 16:20:53 IST 2025</t>
  </si>
  <si>
    <t>AF25GJ179895655</t>
  </si>
  <si>
    <t>FN4388604359</t>
  </si>
  <si>
    <t>Sat Jul 19 13:27:37 IST 2025</t>
  </si>
  <si>
    <t>5118168154</t>
  </si>
  <si>
    <t>AJI14534</t>
  </si>
  <si>
    <t>Sat Jul 19 16:20:32 IST 2025</t>
  </si>
  <si>
    <t>AF25GJ179895488</t>
  </si>
  <si>
    <t>Sat Jul 19 16:20:33 IST 2025</t>
  </si>
  <si>
    <t>FN9767603670</t>
  </si>
  <si>
    <t>Sat Jul 19 12:26:42 IST 2025</t>
  </si>
  <si>
    <t>5118168161</t>
  </si>
  <si>
    <t>AJI14533</t>
  </si>
  <si>
    <t>Sat Jul 19 16:20:31 IST 2025</t>
  </si>
  <si>
    <t>AF25GJ179895483</t>
  </si>
  <si>
    <t>FN8853605191</t>
  </si>
  <si>
    <t>Sat Jul 19 13:04:00 IST 2025</t>
  </si>
  <si>
    <t>5118168159</t>
  </si>
  <si>
    <t>AJI14532</t>
  </si>
  <si>
    <t>Sat Jul 19 16:20:20 IST 2025</t>
  </si>
  <si>
    <t>AF25GJ179895395</t>
  </si>
  <si>
    <t>FN7188604012</t>
  </si>
  <si>
    <t>Fri Jul 18 21:28:04 IST 2025</t>
  </si>
  <si>
    <t>5118091908</t>
  </si>
  <si>
    <t>AJI14531</t>
  </si>
  <si>
    <t>Sat Jul 19 08:31:31 IST 2025</t>
  </si>
  <si>
    <t>AF25GJ179733343</t>
  </si>
  <si>
    <t>Sat Jul 19 08:31:33 IST 2025</t>
  </si>
  <si>
    <t>FN0088600454</t>
  </si>
  <si>
    <t>Fri Jul 18 13:46:35 IST 2025</t>
  </si>
  <si>
    <t>5118091907</t>
  </si>
  <si>
    <t>AJI14530</t>
  </si>
  <si>
    <t>Sat Jul 19 08:31:20 IST 2025</t>
  </si>
  <si>
    <t>AF25GJ179733267</t>
  </si>
  <si>
    <t>Sat Jul 19 08:31:22 IST 2025</t>
  </si>
  <si>
    <t>EX0032685904</t>
  </si>
  <si>
    <t>Fri Jul 18 20:45:14 IST 2025</t>
  </si>
  <si>
    <t>5118091913</t>
  </si>
  <si>
    <t>AJI14529</t>
  </si>
  <si>
    <t>Sat Jul 19 08:30:49 IST 2025</t>
  </si>
  <si>
    <t>AF25GJ179733085</t>
  </si>
  <si>
    <t>Sat Jul 19 08:30:52 IST 2025</t>
  </si>
  <si>
    <t>EX0032708147</t>
  </si>
  <si>
    <t>Fri Jul 18 16:20:13 IST 2025</t>
  </si>
  <si>
    <t>5118091914</t>
  </si>
  <si>
    <t>AJI14528</t>
  </si>
  <si>
    <t>Sat Jul 19 08:30:43 IST 2025</t>
  </si>
  <si>
    <t>AF25GJ179733067</t>
  </si>
  <si>
    <t>700659603015</t>
  </si>
  <si>
    <t>1594_MRN_XXL</t>
  </si>
  <si>
    <t>FN0088605854</t>
  </si>
  <si>
    <t>Fri Jul 18 15:12:55 IST 2025</t>
  </si>
  <si>
    <t>5118091911</t>
  </si>
  <si>
    <t>AJI14527</t>
  </si>
  <si>
    <t>Sat Jul 19 08:30:32 IST 2025</t>
  </si>
  <si>
    <t>AF25GJ179732962</t>
  </si>
  <si>
    <t>Sat Jul 19 08:30:33 IST 2025</t>
  </si>
  <si>
    <t>EX0032707332</t>
  </si>
  <si>
    <t>Fri Jul 18 22:55:06 IST 2025</t>
  </si>
  <si>
    <t>5118081406</t>
  </si>
  <si>
    <t>AJI14519</t>
  </si>
  <si>
    <t>Sat Jul 19 08:03:13 IST 2025</t>
  </si>
  <si>
    <t>AF25GJ179723956</t>
  </si>
  <si>
    <t>Sat Jul 19 08:03:14 IST 2025</t>
  </si>
  <si>
    <t>FN1217600323</t>
  </si>
  <si>
    <t>Fri Jul 18 21:09:46 IST 2025</t>
  </si>
  <si>
    <t>5118081414</t>
  </si>
  <si>
    <t>AJI14526</t>
  </si>
  <si>
    <t>Sat Jul 19 08:03:03 IST 2025</t>
  </si>
  <si>
    <t>AF25GJ179723940</t>
  </si>
  <si>
    <t>Sat Jul 19 08:03:05 IST 2025</t>
  </si>
  <si>
    <t>FN3085603692</t>
  </si>
  <si>
    <t>Fri Jul 18 21:27:53 IST 2025</t>
  </si>
  <si>
    <t>5118081408</t>
  </si>
  <si>
    <t>AJI14525</t>
  </si>
  <si>
    <t>Sat Jul 19 08:02:52 IST 2025</t>
  </si>
  <si>
    <t>AF25GJ179723920</t>
  </si>
  <si>
    <t>Sat Jul 19 08:02:53 IST 2025</t>
  </si>
  <si>
    <t>FN4088602769</t>
  </si>
  <si>
    <t>Fri Jul 18 19:43:14 IST 2025</t>
  </si>
  <si>
    <t>5118081415</t>
  </si>
  <si>
    <t>AJI14524</t>
  </si>
  <si>
    <t>Sat Jul 19 08:02:42 IST 2025</t>
  </si>
  <si>
    <t>AF25GJ179723899</t>
  </si>
  <si>
    <t>FN7668605168</t>
  </si>
  <si>
    <t>Fri Jul 18 20:53:28 IST 2025</t>
  </si>
  <si>
    <t>5118081410</t>
  </si>
  <si>
    <t>AJI14523</t>
  </si>
  <si>
    <t>Sat Jul 19 08:01:27 IST 2025</t>
  </si>
  <si>
    <t>AF25GJ179723775</t>
  </si>
  <si>
    <t>FN5596604869</t>
  </si>
  <si>
    <t>Fri Jul 18 22:19:19 IST 2025</t>
  </si>
  <si>
    <t>5118081407</t>
  </si>
  <si>
    <t>AJI14522</t>
  </si>
  <si>
    <t>Sat Jul 19 08:01:22 IST 2025</t>
  </si>
  <si>
    <t>AF25GJ179723767</t>
  </si>
  <si>
    <t>Sat Jul 19 08:01:23 IST 2025</t>
  </si>
  <si>
    <t>FN9846602072</t>
  </si>
  <si>
    <t>Fri Jul 18 22:29:31 IST 2025</t>
  </si>
  <si>
    <t>5118081412</t>
  </si>
  <si>
    <t>AJI14521</t>
  </si>
  <si>
    <t>Sat Jul 19 08:01:13 IST 2025</t>
  </si>
  <si>
    <t>AF25GJ179723747</t>
  </si>
  <si>
    <t>Sat Jul 19 08:01:14 IST 2025</t>
  </si>
  <si>
    <t>467072551010</t>
  </si>
  <si>
    <t>AJI-1323_BL_XXL</t>
  </si>
  <si>
    <t>FN4038605272</t>
  </si>
  <si>
    <t>Fri Jul 18 22:42:19 IST 2025</t>
  </si>
  <si>
    <t>5118081413</t>
  </si>
  <si>
    <t>AJI14520</t>
  </si>
  <si>
    <t>Sat Jul 19 08:01:02 IST 2025</t>
  </si>
  <si>
    <t>AF25GJ179723732</t>
  </si>
  <si>
    <t>Sat Jul 19 08:01:03 IST 2025</t>
  </si>
  <si>
    <t>FN0288608618</t>
  </si>
  <si>
    <t>Fri Jul 18 22:58:38 IST 2025</t>
  </si>
  <si>
    <t>5118081409</t>
  </si>
  <si>
    <t>AJI14518</t>
  </si>
  <si>
    <t>Sat Jul 19 08:00:47 IST 2025</t>
  </si>
  <si>
    <t>AF25GJ179723711</t>
  </si>
  <si>
    <t>Sat Jul 19 08:00:48 IST 2025</t>
  </si>
  <si>
    <t>FN0188601061</t>
  </si>
  <si>
    <t>Fri Jul 18 19:03:59 IST 2025</t>
  </si>
  <si>
    <t>5118081411</t>
  </si>
  <si>
    <t>AJI14517</t>
  </si>
  <si>
    <t>Sat Jul 19 08:00:36 IST 2025</t>
  </si>
  <si>
    <t>AF25GJ179723701</t>
  </si>
  <si>
    <t>FN7188603295</t>
  </si>
  <si>
    <t>Fri Jul 18 21:54:06 IST 2025</t>
  </si>
  <si>
    <t>5118080197</t>
  </si>
  <si>
    <t>AJI14516</t>
  </si>
  <si>
    <t>Sat Jul 19 07:57:51 IST 2025</t>
  </si>
  <si>
    <t>AF25GJ179723350</t>
  </si>
  <si>
    <t>Sat Jul 19 07:57:52 IST 2025</t>
  </si>
  <si>
    <t>FN4908605805</t>
  </si>
  <si>
    <t>Fri Jul 18 19:52:12 IST 2025</t>
  </si>
  <si>
    <t>5118080190</t>
  </si>
  <si>
    <t>AJI14515</t>
  </si>
  <si>
    <t>Sat Jul 19 07:57:41 IST 2025</t>
  </si>
  <si>
    <t>AF25GJ179723337</t>
  </si>
  <si>
    <t>FN9427603532</t>
  </si>
  <si>
    <t>Fri Jul 18 20:03:59 IST 2025</t>
  </si>
  <si>
    <t>5118080191</t>
  </si>
  <si>
    <t>AJI14514</t>
  </si>
  <si>
    <t>Sat Jul 19 07:57:30 IST 2025</t>
  </si>
  <si>
    <t>AF25GJ179723325</t>
  </si>
  <si>
    <t>FN0892502030</t>
  </si>
  <si>
    <t>Fri Jul 18 23:11:37 IST 2025</t>
  </si>
  <si>
    <t>5118080193</t>
  </si>
  <si>
    <t>AJI14513</t>
  </si>
  <si>
    <t>Sat Jul 19 07:57:19 IST 2025</t>
  </si>
  <si>
    <t>AF25GJ179723309</t>
  </si>
  <si>
    <t>FN0778600117</t>
  </si>
  <si>
    <t>Fri Jul 18 23:57:50 IST 2025</t>
  </si>
  <si>
    <t>5118080189</t>
  </si>
  <si>
    <t>AJI14512</t>
  </si>
  <si>
    <t>Sat Jul 19 07:57:08 IST 2025</t>
  </si>
  <si>
    <t>AF25GJ179723298</t>
  </si>
  <si>
    <t>Sat Jul 19 07:57:09 IST 2025</t>
  </si>
  <si>
    <t>FN3620603595</t>
  </si>
  <si>
    <t>Fri Jul 18 10:02:41 IST 2025</t>
  </si>
  <si>
    <t>5118033236</t>
  </si>
  <si>
    <t>Fri Jul 18 00:00:00 IST 2025</t>
  </si>
  <si>
    <t>AJI14511</t>
  </si>
  <si>
    <t>Fri Jul 18 18:48:09 IST 2025</t>
  </si>
  <si>
    <t>AF25GJ179666173</t>
  </si>
  <si>
    <t>EX0032693555</t>
  </si>
  <si>
    <t>Fri Jul 18 15:15:10 IST 2025</t>
  </si>
  <si>
    <t>5118033230</t>
  </si>
  <si>
    <t>AJI14510</t>
  </si>
  <si>
    <t>Fri Jul 18 18:47:57 IST 2025</t>
  </si>
  <si>
    <t>AF25GJ179666129</t>
  </si>
  <si>
    <t>Fri Jul 18 18:47:58 IST 2025</t>
  </si>
  <si>
    <t>FN9478608549</t>
  </si>
  <si>
    <t>Fri Jul 18 15:11:37 IST 2025</t>
  </si>
  <si>
    <t>5118033233</t>
  </si>
  <si>
    <t>AJI14509</t>
  </si>
  <si>
    <t>Fri Jul 18 18:47:46 IST 2025</t>
  </si>
  <si>
    <t>AF25GJ179666093</t>
  </si>
  <si>
    <t>701001529001</t>
  </si>
  <si>
    <t>AJIO-1044</t>
  </si>
  <si>
    <t>AJI-1044_WT_S</t>
  </si>
  <si>
    <t>167.36</t>
  </si>
  <si>
    <t>3.98</t>
  </si>
  <si>
    <t>167.35</t>
  </si>
  <si>
    <t>159.39</t>
  </si>
  <si>
    <t>FN9869500017</t>
  </si>
  <si>
    <t>Fri Jul 18 08:18:43 IST 2025</t>
  </si>
  <si>
    <t>5118033228</t>
  </si>
  <si>
    <t>AJI14508</t>
  </si>
  <si>
    <t>Fri Jul 18 18:47:35 IST 2025</t>
  </si>
  <si>
    <t>AF25GJ179666061</t>
  </si>
  <si>
    <t>FN7368607642</t>
  </si>
  <si>
    <t>Fri Jul 18 11:27:44 IST 2025</t>
  </si>
  <si>
    <t>5118033238</t>
  </si>
  <si>
    <t>AJI14507</t>
  </si>
  <si>
    <t>Fri Jul 18 18:46:00 IST 2025</t>
  </si>
  <si>
    <t>AF25GJ179665768</t>
  </si>
  <si>
    <t>Fri Jul 18 18:46:05 IST 2025</t>
  </si>
  <si>
    <t>FL0385674440</t>
  </si>
  <si>
    <t>Fri Jul 18 12:38:36 IST 2025</t>
  </si>
  <si>
    <t>5118033234</t>
  </si>
  <si>
    <t>AJI14506</t>
  </si>
  <si>
    <t>Fri Jul 18 18:45:54 IST 2025</t>
  </si>
  <si>
    <t>AF25GJ179665722</t>
  </si>
  <si>
    <t>Fri Jul 18 18:45:55 IST 2025</t>
  </si>
  <si>
    <t>700659603019</t>
  </si>
  <si>
    <t>1593_GRY_M</t>
  </si>
  <si>
    <t>EX0032703273</t>
  </si>
  <si>
    <t>Fri Jul 18 16:20:04 IST 2025</t>
  </si>
  <si>
    <t>5118033237</t>
  </si>
  <si>
    <t>AJI14505</t>
  </si>
  <si>
    <t>Fri Jul 18 18:45:45 IST 2025</t>
  </si>
  <si>
    <t>AF25GJ179665683</t>
  </si>
  <si>
    <t>FN2978602784</t>
  </si>
  <si>
    <t>Fri Jul 18 09:37:18 IST 2025</t>
  </si>
  <si>
    <t>5118033235</t>
  </si>
  <si>
    <t>AJI14504</t>
  </si>
  <si>
    <t>Fri Jul 18 18:45:36 IST 2025</t>
  </si>
  <si>
    <t>AF25GJ179665668</t>
  </si>
  <si>
    <t>Fri Jul 18 18:45:42 IST 2025</t>
  </si>
  <si>
    <t>EX0032706132</t>
  </si>
  <si>
    <t>Fri Jul 18 13:20:06 IST 2025</t>
  </si>
  <si>
    <t>5118032371</t>
  </si>
  <si>
    <t>AJI14503</t>
  </si>
  <si>
    <t>Fri Jul 18 18:42:37 IST 2025</t>
  </si>
  <si>
    <t>AF25GJ179664673</t>
  </si>
  <si>
    <t>Fri Jul 18 18:42:38 IST 2025</t>
  </si>
  <si>
    <t>FN4368609530</t>
  </si>
  <si>
    <t>Fri Jul 18 14:50:32 IST 2025</t>
  </si>
  <si>
    <t>5118032373</t>
  </si>
  <si>
    <t>AJI14502</t>
  </si>
  <si>
    <t>Fri Jul 18 18:42:26 IST 2025</t>
  </si>
  <si>
    <t>AF25GJ179664625</t>
  </si>
  <si>
    <t>Fri Jul 18 18:42:27 IST 2025</t>
  </si>
  <si>
    <t>701045948058</t>
  </si>
  <si>
    <t>1649-NBL_38</t>
  </si>
  <si>
    <t>FN2088603694</t>
  </si>
  <si>
    <t>Fri Jul 18 15:00:10 IST 2025</t>
  </si>
  <si>
    <t>5118032372</t>
  </si>
  <si>
    <t>AJI14501</t>
  </si>
  <si>
    <t>Fri Jul 18 18:42:15 IST 2025</t>
  </si>
  <si>
    <t>AF25GJ179664579</t>
  </si>
  <si>
    <t>Fri Jul 18 18:42:19 IST 2025</t>
  </si>
  <si>
    <t>FN9878605841</t>
  </si>
  <si>
    <t>Fri Jul 18 14:03:13 IST 2025</t>
  </si>
  <si>
    <t>5118032370</t>
  </si>
  <si>
    <t>AJI14500</t>
  </si>
  <si>
    <t>Fri Jul 18 18:42:03 IST 2025</t>
  </si>
  <si>
    <t>AF25GJ179664474</t>
  </si>
  <si>
    <t>Fri Jul 18 18:42:04 IST 2025</t>
  </si>
  <si>
    <t>FN3285607046</t>
  </si>
  <si>
    <t>Fri Jul 18 12:59:35 IST 2025</t>
  </si>
  <si>
    <t>5118032364</t>
  </si>
  <si>
    <t>AJI14499</t>
  </si>
  <si>
    <t>Fri Jul 18 18:41:52 IST 2025</t>
  </si>
  <si>
    <t>AF25GJ179664310</t>
  </si>
  <si>
    <t>Fri Jul 18 18:41:53 IST 2025</t>
  </si>
  <si>
    <t>FN3978600374</t>
  </si>
  <si>
    <t>Fri Jul 18 10:06:11 IST 2025</t>
  </si>
  <si>
    <t>5118032366</t>
  </si>
  <si>
    <t>AJI14498</t>
  </si>
  <si>
    <t>Fri Jul 18 18:41:41 IST 2025</t>
  </si>
  <si>
    <t>AF25GJ179664239</t>
  </si>
  <si>
    <t>FN2368604727</t>
  </si>
  <si>
    <t>Fri Jul 18 10:49:14 IST 2025</t>
  </si>
  <si>
    <t>5118032363</t>
  </si>
  <si>
    <t>AJI14497</t>
  </si>
  <si>
    <t>Fri Jul 18 18:41:30 IST 2025</t>
  </si>
  <si>
    <t>AF25GJ179664198</t>
  </si>
  <si>
    <t>FN1858605719</t>
  </si>
  <si>
    <t>Fri Jul 18 11:02:57 IST 2025</t>
  </si>
  <si>
    <t>5118032367</t>
  </si>
  <si>
    <t>AJI14496</t>
  </si>
  <si>
    <t>Fri Jul 18 18:41:18 IST 2025</t>
  </si>
  <si>
    <t>AF25GJ179664123</t>
  </si>
  <si>
    <t>Fri Jul 18 18:41:19 IST 2025</t>
  </si>
  <si>
    <t>FN4308604614</t>
  </si>
  <si>
    <t>Fri Jul 18 09:08:37 IST 2025</t>
  </si>
  <si>
    <t>5118032365</t>
  </si>
  <si>
    <t>AJI14495</t>
  </si>
  <si>
    <t>Fri Jul 18 18:41:06 IST 2025</t>
  </si>
  <si>
    <t>AF25GJ179664086</t>
  </si>
  <si>
    <t>Fri Jul 18 18:41:12 IST 2025</t>
  </si>
  <si>
    <t>FN4568604944</t>
  </si>
  <si>
    <t>Thu Jul 17 16:17:35 IST 2025</t>
  </si>
  <si>
    <t>5117921568</t>
  </si>
  <si>
    <t>AJI14494</t>
  </si>
  <si>
    <t>Fri Jul 18 08:44:04 IST 2025</t>
  </si>
  <si>
    <t>AF25GJ179464923</t>
  </si>
  <si>
    <t>Fri Jul 18 08:44:06 IST 2025</t>
  </si>
  <si>
    <t>FN4977606766</t>
  </si>
  <si>
    <t>Thu Jul 17 22:15:41 IST 2025</t>
  </si>
  <si>
    <t>5117912355</t>
  </si>
  <si>
    <t>AJI14481</t>
  </si>
  <si>
    <t>Fri Jul 18 07:59:24 IST 2025</t>
  </si>
  <si>
    <t>AF25GJ179450666</t>
  </si>
  <si>
    <t>FN6768606083</t>
  </si>
  <si>
    <t>Thu Jul 17 20:49:01 IST 2025</t>
  </si>
  <si>
    <t>5117912349</t>
  </si>
  <si>
    <t>AJI14493</t>
  </si>
  <si>
    <t>Fri Jul 18 07:59:12 IST 2025</t>
  </si>
  <si>
    <t>AF25GJ179450653</t>
  </si>
  <si>
    <t>Fri Jul 18 07:59:15 IST 2025</t>
  </si>
  <si>
    <t>467166235005</t>
  </si>
  <si>
    <t>AJI1244_GRY_M</t>
  </si>
  <si>
    <t>FN8878607841</t>
  </si>
  <si>
    <t>Fri Jul 18 03:26:14 IST 2025</t>
  </si>
  <si>
    <t>5117912365</t>
  </si>
  <si>
    <t>AJI14492</t>
  </si>
  <si>
    <t>Fri Jul 18 07:57:42 IST 2025</t>
  </si>
  <si>
    <t>AF25GJ179450511</t>
  </si>
  <si>
    <t>Fri Jul 18 07:57:48 IST 2025</t>
  </si>
  <si>
    <t>FN2786609519</t>
  </si>
  <si>
    <t>Thu Jul 17 23:12:31 IST 2025</t>
  </si>
  <si>
    <t>5117912363</t>
  </si>
  <si>
    <t>AJI14491</t>
  </si>
  <si>
    <t>Fri Jul 18 07:57:34 IST 2025</t>
  </si>
  <si>
    <t>AF25GJ179450470</t>
  </si>
  <si>
    <t>Fri Jul 18 07:57:40 IST 2025</t>
  </si>
  <si>
    <t>467072551014</t>
  </si>
  <si>
    <t>AJI-1328_BK_L</t>
  </si>
  <si>
    <t>FN0178602223</t>
  </si>
  <si>
    <t>Thu Jul 17 23:18:09 IST 2025</t>
  </si>
  <si>
    <t>5117912362</t>
  </si>
  <si>
    <t>AJI14490</t>
  </si>
  <si>
    <t>Fri Jul 18 07:57:27 IST 2025</t>
  </si>
  <si>
    <t>AF25GJ179450433</t>
  </si>
  <si>
    <t>Fri Jul 18 07:57:33 IST 2025</t>
  </si>
  <si>
    <t>FN4148607966</t>
  </si>
  <si>
    <t>Thu Jul 17 22:10:37 IST 2025</t>
  </si>
  <si>
    <t>5117912369</t>
  </si>
  <si>
    <t>AJI14489</t>
  </si>
  <si>
    <t>Fri Jul 18 07:57:17 IST 2025</t>
  </si>
  <si>
    <t>AF25GJ179450401</t>
  </si>
  <si>
    <t>FN5878608222</t>
  </si>
  <si>
    <t>Fri Jul 18 00:19:14 IST 2025</t>
  </si>
  <si>
    <t>5117912357</t>
  </si>
  <si>
    <t>AJI14488</t>
  </si>
  <si>
    <t>Fri Jul 18 07:57:13 IST 2025</t>
  </si>
  <si>
    <t>AF25GJ179450396</t>
  </si>
  <si>
    <t>EX0032682690</t>
  </si>
  <si>
    <t>Thu Jul 17 22:25:06 IST 2025</t>
  </si>
  <si>
    <t>5117912359</t>
  </si>
  <si>
    <t>AJI14487</t>
  </si>
  <si>
    <t>Fri Jul 18 07:57:01 IST 2025</t>
  </si>
  <si>
    <t>AF25GJ179450385</t>
  </si>
  <si>
    <t>Fri Jul 18 07:57:02 IST 2025</t>
  </si>
  <si>
    <t>FN7507603921</t>
  </si>
  <si>
    <t>Fri Jul 18 00:23:29 IST 2025</t>
  </si>
  <si>
    <t>5117912364</t>
  </si>
  <si>
    <t>AJI14486</t>
  </si>
  <si>
    <t>Fri Jul 18 07:56:57 IST 2025</t>
  </si>
  <si>
    <t>AF25GJ179450378</t>
  </si>
  <si>
    <t>Fri Jul 18 07:56:58 IST 2025</t>
  </si>
  <si>
    <t>FN6658601724</t>
  </si>
  <si>
    <t>Thu Jul 17 22:13:38 IST 2025</t>
  </si>
  <si>
    <t>5117912358</t>
  </si>
  <si>
    <t>AJI14485</t>
  </si>
  <si>
    <t>Fri Jul 18 07:56:47 IST 2025</t>
  </si>
  <si>
    <t>AF25GJ179450367</t>
  </si>
  <si>
    <t>467117623017</t>
  </si>
  <si>
    <t>1243_MLT_L</t>
  </si>
  <si>
    <t>FN4775605537</t>
  </si>
  <si>
    <t>Thu Jul 17 22:14:16 IST 2025</t>
  </si>
  <si>
    <t>5117912352</t>
  </si>
  <si>
    <t>AJI14484</t>
  </si>
  <si>
    <t>Fri Jul 18 07:56:42 IST 2025</t>
  </si>
  <si>
    <t>AF25GJ179450361</t>
  </si>
  <si>
    <t>FN8778607826</t>
  </si>
  <si>
    <t>Thu Jul 17 21:41:19 IST 2025</t>
  </si>
  <si>
    <t>5117912350</t>
  </si>
  <si>
    <t>AJI14480</t>
  </si>
  <si>
    <t>Fri Jul 18 07:56:25 IST 2025</t>
  </si>
  <si>
    <t>AF25GJ179450350</t>
  </si>
  <si>
    <t>FN9395600203</t>
  </si>
  <si>
    <t>Thu Jul 17 22:16:01 IST 2025</t>
  </si>
  <si>
    <t>5117912351</t>
  </si>
  <si>
    <t>AJI14479</t>
  </si>
  <si>
    <t>Fri Jul 18 07:56:21 IST 2025</t>
  </si>
  <si>
    <t>AF25GJ179450347</t>
  </si>
  <si>
    <t>FN6778601081</t>
  </si>
  <si>
    <t>Thu Jul 17 20:13:05 IST 2025</t>
  </si>
  <si>
    <t>5117912348</t>
  </si>
  <si>
    <t>AJI14478</t>
  </si>
  <si>
    <t>Fri Jul 18 07:56:10 IST 2025</t>
  </si>
  <si>
    <t>AF25GJ179450342</t>
  </si>
  <si>
    <t>Fri Jul 18 07:56:13 IST 2025</t>
  </si>
  <si>
    <t>FN2938602003</t>
  </si>
  <si>
    <t>Thu Jul 17 20:28:57 IST 2025</t>
  </si>
  <si>
    <t>5117912354</t>
  </si>
  <si>
    <t>AJI14477</t>
  </si>
  <si>
    <t>Fri Jul 18 07:56:06 IST 2025</t>
  </si>
  <si>
    <t>AF25GJ179450327</t>
  </si>
  <si>
    <t>Fri Jul 18 07:56:08 IST 2025</t>
  </si>
  <si>
    <t>FN7357403229</t>
  </si>
  <si>
    <t>Thu Jul 17 22:24:37 IST 2025</t>
  </si>
  <si>
    <t>5117912361</t>
  </si>
  <si>
    <t>AJI14476</t>
  </si>
  <si>
    <t>Fri Jul 18 07:55:56 IST 2025</t>
  </si>
  <si>
    <t>AF25GJ179450274</t>
  </si>
  <si>
    <t>FN2878601398</t>
  </si>
  <si>
    <t>Thu Jul 17 22:51:14 IST 2025</t>
  </si>
  <si>
    <t>5117912353</t>
  </si>
  <si>
    <t>AJI14475</t>
  </si>
  <si>
    <t>Fri Jul 18 07:55:46 IST 2025</t>
  </si>
  <si>
    <t>AF25GJ179450198</t>
  </si>
  <si>
    <t>FN4238600930</t>
  </si>
  <si>
    <t>Thu Jul 17 19:09:32 IST 2025</t>
  </si>
  <si>
    <t>5117866458</t>
  </si>
  <si>
    <t>Thu Jul 17 00:00:00 IST 2025</t>
  </si>
  <si>
    <t>AJI14474</t>
  </si>
  <si>
    <t>Thu Jul 17 19:46:16 IST 2025</t>
  </si>
  <si>
    <t>AF25GJ179402673</t>
  </si>
  <si>
    <t>FN9378600894</t>
  </si>
  <si>
    <t>Thu Jul 17 19:22:13 IST 2025</t>
  </si>
  <si>
    <t>5117866462</t>
  </si>
  <si>
    <t>AJI14473</t>
  </si>
  <si>
    <t>Thu Jul 17 19:46:03 IST 2025</t>
  </si>
  <si>
    <t>AF25GJ179402640</t>
  </si>
  <si>
    <t>Thu Jul 17 19:46:04 IST 2025</t>
  </si>
  <si>
    <t>701045948041</t>
  </si>
  <si>
    <t>1649-DPRL_38</t>
  </si>
  <si>
    <t>FN3578608580</t>
  </si>
  <si>
    <t>Thu Jul 17 10:47:46 IST 2025</t>
  </si>
  <si>
    <t>5117863580</t>
  </si>
  <si>
    <t>AJI14472</t>
  </si>
  <si>
    <t>Thu Jul 17 19:01:48 IST 2025</t>
  </si>
  <si>
    <t>AF25GJ179395747</t>
  </si>
  <si>
    <t>Thu Jul 17 19:01:49 IST 2025</t>
  </si>
  <si>
    <t>FN2365505780</t>
  </si>
  <si>
    <t>Thu Jul 17 11:32:04 IST 2025</t>
  </si>
  <si>
    <t>5117863581</t>
  </si>
  <si>
    <t>AJI14471</t>
  </si>
  <si>
    <t>Thu Jul 17 19:01:37 IST 2025</t>
  </si>
  <si>
    <t>AF25GJ179395698</t>
  </si>
  <si>
    <t>FN7570602308</t>
  </si>
  <si>
    <t>Thu Jul 17 11:35:51 IST 2025</t>
  </si>
  <si>
    <t>5117863574</t>
  </si>
  <si>
    <t>AJI14470</t>
  </si>
  <si>
    <t>Thu Jul 17 19:01:14 IST 2025</t>
  </si>
  <si>
    <t>AF25GJ179395654</t>
  </si>
  <si>
    <t>EX0032686458</t>
  </si>
  <si>
    <t>Thu Jul 17 17:15:06 IST 2025</t>
  </si>
  <si>
    <t>5117863571</t>
  </si>
  <si>
    <t>AJI14469</t>
  </si>
  <si>
    <t>Thu Jul 17 19:01:02 IST 2025</t>
  </si>
  <si>
    <t>AF25GJ179395614</t>
  </si>
  <si>
    <t>Thu Jul 17 19:01:03 IST 2025</t>
  </si>
  <si>
    <t>EX0032680654</t>
  </si>
  <si>
    <t>Thu Jul 17 15:10:08 IST 2025</t>
  </si>
  <si>
    <t>5117863587</t>
  </si>
  <si>
    <t>AJI14468</t>
  </si>
  <si>
    <t>Thu Jul 17 18:57:11 IST 2025</t>
  </si>
  <si>
    <t>AF25GJ179394767</t>
  </si>
  <si>
    <t>701045948056</t>
  </si>
  <si>
    <t>1649-NBL_34</t>
  </si>
  <si>
    <t>FN0678601652</t>
  </si>
  <si>
    <t>Thu Jul 17 12:56:58 IST 2025</t>
  </si>
  <si>
    <t>5117863582</t>
  </si>
  <si>
    <t>AJI14467</t>
  </si>
  <si>
    <t>Thu Jul 17 18:57:02 IST 2025</t>
  </si>
  <si>
    <t>AF25GJ179394695</t>
  </si>
  <si>
    <t>Thu Jul 17 18:57:03 IST 2025</t>
  </si>
  <si>
    <t>FN2158604221</t>
  </si>
  <si>
    <t>Thu Jul 17 15:11:18 IST 2025</t>
  </si>
  <si>
    <t>5117863585</t>
  </si>
  <si>
    <t>AJI14466</t>
  </si>
  <si>
    <t>Thu Jul 17 18:56:59 IST 2025</t>
  </si>
  <si>
    <t>AF25GJ179394681</t>
  </si>
  <si>
    <t>Thu Jul 17 18:57:00 IST 2025</t>
  </si>
  <si>
    <t>FN3848603380</t>
  </si>
  <si>
    <t>Thu Jul 17 13:44:48 IST 2025</t>
  </si>
  <si>
    <t>5117863586</t>
  </si>
  <si>
    <t>AJI14465</t>
  </si>
  <si>
    <t>Thu Jul 17 18:56:51 IST 2025</t>
  </si>
  <si>
    <t>AF25GJ179394656</t>
  </si>
  <si>
    <t>FN7378608850</t>
  </si>
  <si>
    <t>Thu Jul 17 14:51:19 IST 2025</t>
  </si>
  <si>
    <t>5117863588</t>
  </si>
  <si>
    <t>AJI14464</t>
  </si>
  <si>
    <t>Thu Jul 17 18:56:39 IST 2025</t>
  </si>
  <si>
    <t>AF25GJ179394547</t>
  </si>
  <si>
    <t>FN8238408585</t>
  </si>
  <si>
    <t>Thu Jul 17 13:35:04 IST 2025</t>
  </si>
  <si>
    <t>5117863584</t>
  </si>
  <si>
    <t>AJI14463</t>
  </si>
  <si>
    <t>Thu Jul 17 18:56:27 IST 2025</t>
  </si>
  <si>
    <t>AF25GJ179394631</t>
  </si>
  <si>
    <t>466917798007</t>
  </si>
  <si>
    <t>1010_GRY_L</t>
  </si>
  <si>
    <t>FN1945605477</t>
  </si>
  <si>
    <t>Thu Jul 17 18:15:17 IST 2025</t>
  </si>
  <si>
    <t>5117863575</t>
  </si>
  <si>
    <t>AJI14462</t>
  </si>
  <si>
    <t>Thu Jul 17 18:56:23 IST 2025</t>
  </si>
  <si>
    <t>AF25GJ179394542</t>
  </si>
  <si>
    <t>FN2778606843</t>
  </si>
  <si>
    <t>Thu Jul 17 18:16:03 IST 2025</t>
  </si>
  <si>
    <t>5117863578</t>
  </si>
  <si>
    <t>AJI14461</t>
  </si>
  <si>
    <t>Thu Jul 17 18:56:11 IST 2025</t>
  </si>
  <si>
    <t>AF25GJ179394611</t>
  </si>
  <si>
    <t>FN5685601246</t>
  </si>
  <si>
    <t>Thu Jul 17 18:37:11 IST 2025</t>
  </si>
  <si>
    <t>5117863577</t>
  </si>
  <si>
    <t>AJI14460</t>
  </si>
  <si>
    <t>Thu Jul 17 18:56:06 IST 2025</t>
  </si>
  <si>
    <t>AF25GJ179394599</t>
  </si>
  <si>
    <t>Thu Jul 17 18:56:07 IST 2025</t>
  </si>
  <si>
    <t>FN0138607093</t>
  </si>
  <si>
    <t>Thu Jul 17 18:49:03 IST 2025</t>
  </si>
  <si>
    <t>5117863579</t>
  </si>
  <si>
    <t>AJI14459</t>
  </si>
  <si>
    <t>Thu Jul 17 18:55:56 IST 2025</t>
  </si>
  <si>
    <t>AF25GJ179394582</t>
  </si>
  <si>
    <t>FN6866600255</t>
  </si>
  <si>
    <t>Thu Jul 17 14:34:06 IST 2025</t>
  </si>
  <si>
    <t>5117863573</t>
  </si>
  <si>
    <t>AJI14458</t>
  </si>
  <si>
    <t>Thu Jul 17 18:55:44 IST 2025</t>
  </si>
  <si>
    <t>AF25GJ179394559</t>
  </si>
  <si>
    <t>Thu Jul 17 18:55:45 IST 2025</t>
  </si>
  <si>
    <t>FN1666606238</t>
  </si>
  <si>
    <t>Thu Jul 17 14:45:51 IST 2025</t>
  </si>
  <si>
    <t>5117863572</t>
  </si>
  <si>
    <t>AJI14457</t>
  </si>
  <si>
    <t>Thu Jul 17 18:55:33 IST 2025</t>
  </si>
  <si>
    <t>AF25GJ179394517</t>
  </si>
  <si>
    <t>FN2777503957</t>
  </si>
  <si>
    <t>Thu Jul 17 08:10:10 IST 2025</t>
  </si>
  <si>
    <t>5117863570</t>
  </si>
  <si>
    <t>AJI14456</t>
  </si>
  <si>
    <t>Thu Jul 17 18:55:21 IST 2025</t>
  </si>
  <si>
    <t>AF25GJ179394388</t>
  </si>
  <si>
    <t>FN0778609735</t>
  </si>
  <si>
    <t>Thu Jul 17 17:16:27 IST 2025</t>
  </si>
  <si>
    <t>5117862934</t>
  </si>
  <si>
    <t>AJI14455</t>
  </si>
  <si>
    <t>Thu Jul 17 18:52:10 IST 2025</t>
  </si>
  <si>
    <t>AF25GJ179393959</t>
  </si>
  <si>
    <t>Thu Jul 17 18:52:16 IST 2025</t>
  </si>
  <si>
    <t>FN7478600720</t>
  </si>
  <si>
    <t>Thu Jul 17 17:18:01 IST 2025</t>
  </si>
  <si>
    <t>5117862936</t>
  </si>
  <si>
    <t>AJI14454</t>
  </si>
  <si>
    <t>Thu Jul 17 18:51:59 IST 2025</t>
  </si>
  <si>
    <t>AF25GJ179393853</t>
  </si>
  <si>
    <t>FN1087608984</t>
  </si>
  <si>
    <t>Thu Jul 17 04:44:53 IST 2025</t>
  </si>
  <si>
    <t>5117748575</t>
  </si>
  <si>
    <t>AJI14453</t>
  </si>
  <si>
    <t>Thu Jul 17 18:51:47 IST 2025</t>
  </si>
  <si>
    <t>AF25GJ179393811</t>
  </si>
  <si>
    <t>Thu Jul 17 18:51:48 IST 2025</t>
  </si>
  <si>
    <t>FN1228605141</t>
  </si>
  <si>
    <t>Wed Jul 16 20:12:54 IST 2025</t>
  </si>
  <si>
    <t>5117755467</t>
  </si>
  <si>
    <t>AJI14452</t>
  </si>
  <si>
    <t>Thu Jul 17 08:46:13 IST 2025</t>
  </si>
  <si>
    <t>AF25GJ179197487</t>
  </si>
  <si>
    <t>FN9378606522</t>
  </si>
  <si>
    <t>Wed Jul 16 20:49:37 IST 2025</t>
  </si>
  <si>
    <t>5117748582</t>
  </si>
  <si>
    <t>AJI14451</t>
  </si>
  <si>
    <t>Thu Jul 17 07:52:18 IST 2025</t>
  </si>
  <si>
    <t>AF25GJ179183452</t>
  </si>
  <si>
    <t>Thu Jul 17 07:52:19 IST 2025</t>
  </si>
  <si>
    <t>FN5436604927</t>
  </si>
  <si>
    <t>Wed Jul 16 21:02:01 IST 2025</t>
  </si>
  <si>
    <t>5117748581</t>
  </si>
  <si>
    <t>AJI14450</t>
  </si>
  <si>
    <t>Thu Jul 17 07:52:08 IST 2025</t>
  </si>
  <si>
    <t>AF25GJ179183410</t>
  </si>
  <si>
    <t>Thu Jul 17 07:52:09 IST 2025</t>
  </si>
  <si>
    <t>700329842010</t>
  </si>
  <si>
    <t>1596_BK_L</t>
  </si>
  <si>
    <t>FN4227603102</t>
  </si>
  <si>
    <t>Wed Jul 16 22:41:12 IST 2025</t>
  </si>
  <si>
    <t>5117748580</t>
  </si>
  <si>
    <t>AJI14449</t>
  </si>
  <si>
    <t>Thu Jul 17 07:51:56 IST 2025</t>
  </si>
  <si>
    <t>AF25GJ179183356</t>
  </si>
  <si>
    <t>Thu Jul 17 07:51:57 IST 2025</t>
  </si>
  <si>
    <t>FN1028605088</t>
  </si>
  <si>
    <t>Wed Jul 16 22:47:29 IST 2025</t>
  </si>
  <si>
    <t>5117748586</t>
  </si>
  <si>
    <t>AJI14448</t>
  </si>
  <si>
    <t>Thu Jul 17 07:51:51 IST 2025</t>
  </si>
  <si>
    <t>AF25GJ179183342</t>
  </si>
  <si>
    <t>Thu Jul 17 07:51:52 IST 2025</t>
  </si>
  <si>
    <t>FN9556607025</t>
  </si>
  <si>
    <t>Wed Jul 16 21:05:26 IST 2025</t>
  </si>
  <si>
    <t>5117748578</t>
  </si>
  <si>
    <t>AJI14447</t>
  </si>
  <si>
    <t>Thu Jul 17 07:51:40 IST 2025</t>
  </si>
  <si>
    <t>AF25GJ179183303</t>
  </si>
  <si>
    <t>EX0032654969</t>
  </si>
  <si>
    <t>Wed Jul 16 19:15:11 IST 2025</t>
  </si>
  <si>
    <t>5117748579</t>
  </si>
  <si>
    <t>AJI14446</t>
  </si>
  <si>
    <t>Thu Jul 17 07:51:30 IST 2025</t>
  </si>
  <si>
    <t>AF25GJ179183288</t>
  </si>
  <si>
    <t>Thu Jul 17 07:51:36 IST 2025</t>
  </si>
  <si>
    <t>FN4916608018</t>
  </si>
  <si>
    <t>Thu Jul 17 00:34:27 IST 2025</t>
  </si>
  <si>
    <t>5117748577</t>
  </si>
  <si>
    <t>AJI14445</t>
  </si>
  <si>
    <t>Thu Jul 17 07:51:24 IST 2025</t>
  </si>
  <si>
    <t>AF25GJ179183242</t>
  </si>
  <si>
    <t>Thu Jul 17 07:51:25 IST 2025</t>
  </si>
  <si>
    <t>EX0032685336</t>
  </si>
  <si>
    <t>Thu Jul 17 00:15:04 IST 2025</t>
  </si>
  <si>
    <t>5117748585</t>
  </si>
  <si>
    <t>AJI14444</t>
  </si>
  <si>
    <t>Thu Jul 17 07:51:18 IST 2025</t>
  </si>
  <si>
    <t>AF25GJ179183208</t>
  </si>
  <si>
    <t>Thu Jul 17 07:51:19 IST 2025</t>
  </si>
  <si>
    <t>FN5367602747</t>
  </si>
  <si>
    <t>Thu Jul 17 01:21:13 IST 2025</t>
  </si>
  <si>
    <t>5117748583</t>
  </si>
  <si>
    <t>AJI14443</t>
  </si>
  <si>
    <t>Thu Jul 17 07:51:08 IST 2025</t>
  </si>
  <si>
    <t>AF25GJ179183159</t>
  </si>
  <si>
    <t>Thu Jul 17 07:51:09 IST 2025</t>
  </si>
  <si>
    <t>FN2478605311</t>
  </si>
  <si>
    <t>Wed Jul 16 21:56:59 IST 2025</t>
  </si>
  <si>
    <t>5117748584</t>
  </si>
  <si>
    <t>AJI14442</t>
  </si>
  <si>
    <t>Thu Jul 17 07:51:07 IST 2025</t>
  </si>
  <si>
    <t>AF25GJ179183154</t>
  </si>
  <si>
    <t>701045948061</t>
  </si>
  <si>
    <t>1649-TBL_28</t>
  </si>
  <si>
    <t>FN0187609315</t>
  </si>
  <si>
    <t>Wed Jul 16 23:30:47 IST 2025</t>
  </si>
  <si>
    <t>5117748576</t>
  </si>
  <si>
    <t>AJI14441</t>
  </si>
  <si>
    <t>Thu Jul 17 07:50:56 IST 2025</t>
  </si>
  <si>
    <t>AF25GJ179183124</t>
  </si>
  <si>
    <t>FN9966605140</t>
  </si>
  <si>
    <t>Wed Jul 16 11:04:24 IST 2025</t>
  </si>
  <si>
    <t>5117704182</t>
  </si>
  <si>
    <t>Wed Jul 16 00:00:00 IST 2025</t>
  </si>
  <si>
    <t>AJI14440</t>
  </si>
  <si>
    <t>Wed Jul 16 19:10:48 IST 2025</t>
  </si>
  <si>
    <t>AF25GJ179129273</t>
  </si>
  <si>
    <t>Wed Jul 16 19:10:49 IST 2025</t>
  </si>
  <si>
    <t>FN8348602616</t>
  </si>
  <si>
    <t>Wed Jul 16 14:14:17 IST 2025</t>
  </si>
  <si>
    <t>5117704176</t>
  </si>
  <si>
    <t>AJI14439</t>
  </si>
  <si>
    <t>Wed Jul 16 19:10:32 IST 2025</t>
  </si>
  <si>
    <t>AF25GJ179129238</t>
  </si>
  <si>
    <t>467117623014</t>
  </si>
  <si>
    <t>1245_PRL_XL</t>
  </si>
  <si>
    <t>FN7927607628</t>
  </si>
  <si>
    <t>Wed Jul 16 11:36:02 IST 2025</t>
  </si>
  <si>
    <t>5117704174</t>
  </si>
  <si>
    <t>AJI14438</t>
  </si>
  <si>
    <t>Wed Jul 16 19:10:21 IST 2025</t>
  </si>
  <si>
    <t>AF25GJ179129206</t>
  </si>
  <si>
    <t>FN1848604678</t>
  </si>
  <si>
    <t>Wed Jul 16 10:41:55 IST 2025</t>
  </si>
  <si>
    <t>5117704172</t>
  </si>
  <si>
    <t>AJI14437</t>
  </si>
  <si>
    <t>Wed Jul 16 19:10:09 IST 2025</t>
  </si>
  <si>
    <t>AF25GJ179129184</t>
  </si>
  <si>
    <t>701170766016</t>
  </si>
  <si>
    <t>AJI-1501-RED_L</t>
  </si>
  <si>
    <t>FN8091603092</t>
  </si>
  <si>
    <t>Wed Jul 16 10:01:35 IST 2025</t>
  </si>
  <si>
    <t>5117704178</t>
  </si>
  <si>
    <t>AJI14436</t>
  </si>
  <si>
    <t>Wed Jul 16 19:09:57 IST 2025</t>
  </si>
  <si>
    <t>AF25GJ179129152</t>
  </si>
  <si>
    <t>FN1468606520</t>
  </si>
  <si>
    <t>Wed Jul 16 18:03:21 IST 2025</t>
  </si>
  <si>
    <t>5117704192</t>
  </si>
  <si>
    <t>AJI14435</t>
  </si>
  <si>
    <t>Wed Jul 16 19:01:58 IST 2025</t>
  </si>
  <si>
    <t>AF25GJ179127962</t>
  </si>
  <si>
    <t>Wed Jul 16 19:01:59 IST 2025</t>
  </si>
  <si>
    <t>FN5356605543</t>
  </si>
  <si>
    <t>Wed Jul 16 12:05:29 IST 2025</t>
  </si>
  <si>
    <t>5117704187</t>
  </si>
  <si>
    <t>AJI14434</t>
  </si>
  <si>
    <t>Wed Jul 16 19:01:53 IST 2025</t>
  </si>
  <si>
    <t>AF25GJ179127943</t>
  </si>
  <si>
    <t>FN1976600090</t>
  </si>
  <si>
    <t>Wed Jul 16 12:59:15 IST 2025</t>
  </si>
  <si>
    <t>5117704184</t>
  </si>
  <si>
    <t>AJI14433</t>
  </si>
  <si>
    <t>Wed Jul 16 19:01:42 IST 2025</t>
  </si>
  <si>
    <t>AF25GJ179127922</t>
  </si>
  <si>
    <t>FN3278601970</t>
  </si>
  <si>
    <t>Wed Jul 16 13:09:36 IST 2025</t>
  </si>
  <si>
    <t>5117704186</t>
  </si>
  <si>
    <t>AJI14432</t>
  </si>
  <si>
    <t>Wed Jul 16 19:01:31 IST 2025</t>
  </si>
  <si>
    <t>AF25GJ179127886</t>
  </si>
  <si>
    <t>FN4341604709</t>
  </si>
  <si>
    <t>Wed Jul 16 10:08:30 IST 2025</t>
  </si>
  <si>
    <t>5117704181</t>
  </si>
  <si>
    <t>AJI14431</t>
  </si>
  <si>
    <t>Wed Jul 16 19:01:27 IST 2025</t>
  </si>
  <si>
    <t>AF25GJ179127880</t>
  </si>
  <si>
    <t>Wed Jul 16 19:01:28 IST 2025</t>
  </si>
  <si>
    <t>FN1538605738</t>
  </si>
  <si>
    <t>Wed Jul 16 12:02:58 IST 2025</t>
  </si>
  <si>
    <t>5117704185</t>
  </si>
  <si>
    <t>AJI14430</t>
  </si>
  <si>
    <t>Wed Jul 16 19:01:22 IST 2025</t>
  </si>
  <si>
    <t>AF25GJ179127865</t>
  </si>
  <si>
    <t>FN2568608953</t>
  </si>
  <si>
    <t>Wed Jul 16 10:21:28 IST 2025</t>
  </si>
  <si>
    <t>5117704180</t>
  </si>
  <si>
    <t>AJI14429</t>
  </si>
  <si>
    <t>Wed Jul 16 19:01:12 IST 2025</t>
  </si>
  <si>
    <t>AF25GJ179127837</t>
  </si>
  <si>
    <t>FN9997603291</t>
  </si>
  <si>
    <t>Wed Jul 16 12:36:44 IST 2025</t>
  </si>
  <si>
    <t>5117704179</t>
  </si>
  <si>
    <t>AJI14428</t>
  </si>
  <si>
    <t>Wed Jul 16 19:01:04 IST 2025</t>
  </si>
  <si>
    <t>AF25GJ179127818</t>
  </si>
  <si>
    <t>Wed Jul 16 19:01:05 IST 2025</t>
  </si>
  <si>
    <t>FN8278605287</t>
  </si>
  <si>
    <t>Wed Jul 16 16:01:27 IST 2025</t>
  </si>
  <si>
    <t>5117704177</t>
  </si>
  <si>
    <t>AJI14427</t>
  </si>
  <si>
    <t>Wed Jul 16 19:00:55 IST 2025</t>
  </si>
  <si>
    <t>AF25GJ179127797</t>
  </si>
  <si>
    <t>Wed Jul 16 19:00:56 IST 2025</t>
  </si>
  <si>
    <t>FN4978300287</t>
  </si>
  <si>
    <t>Wed Jul 16 16:05:09 IST 2025</t>
  </si>
  <si>
    <t>5117704175</t>
  </si>
  <si>
    <t>AJI14426</t>
  </si>
  <si>
    <t>Wed Jul 16 19:00:51 IST 2025</t>
  </si>
  <si>
    <t>AF25GJ179127782</t>
  </si>
  <si>
    <t>FN7671604050</t>
  </si>
  <si>
    <t>Wed Jul 16 16:23:34 IST 2025</t>
  </si>
  <si>
    <t>5117704183</t>
  </si>
  <si>
    <t>AJI14425</t>
  </si>
  <si>
    <t>Wed Jul 16 19:00:40 IST 2025</t>
  </si>
  <si>
    <t>AF25GJ179127751</t>
  </si>
  <si>
    <t>FN6278606355</t>
  </si>
  <si>
    <t>Wed Jul 16 14:52:02 IST 2025</t>
  </si>
  <si>
    <t>5117704173</t>
  </si>
  <si>
    <t>AJI14424</t>
  </si>
  <si>
    <t>Wed Jul 16 19:00:33 IST 2025</t>
  </si>
  <si>
    <t>AF25GJ179127725</t>
  </si>
  <si>
    <t>FN4178602361</t>
  </si>
  <si>
    <t>Wed Jul 16 08:04:30 IST 2025</t>
  </si>
  <si>
    <t>5117627548</t>
  </si>
  <si>
    <t>AJI14422</t>
  </si>
  <si>
    <t>Wed Jul 16 18:57:41 IST 2025</t>
  </si>
  <si>
    <t>AF25GJ179127323</t>
  </si>
  <si>
    <t>FN2178605595</t>
  </si>
  <si>
    <t>Wed Jul 16 02:51:53 IST 2025</t>
  </si>
  <si>
    <t>5117627556</t>
  </si>
  <si>
    <t>AJI14421</t>
  </si>
  <si>
    <t>Wed Jul 16 18:57:29 IST 2025</t>
  </si>
  <si>
    <t>AF25GJ179127307</t>
  </si>
  <si>
    <t>Wed Jul 16 18:57:30 IST 2025</t>
  </si>
  <si>
    <t>700610735019</t>
  </si>
  <si>
    <t>AJI-1024_GRN_XL</t>
  </si>
  <si>
    <t>700610735018</t>
  </si>
  <si>
    <t>AJI-1024_GRN_L</t>
  </si>
  <si>
    <t>FN5927400662</t>
  </si>
  <si>
    <t>Wed Jul 16 02:51:46 IST 2025</t>
  </si>
  <si>
    <t>5117627555</t>
  </si>
  <si>
    <t>AJI14420</t>
  </si>
  <si>
    <t>Wed Jul 16 18:57:17 IST 2025</t>
  </si>
  <si>
    <t>AF25GJ179127285</t>
  </si>
  <si>
    <t>701300619001</t>
  </si>
  <si>
    <t>1653-BK_L</t>
  </si>
  <si>
    <t>FN5732608991</t>
  </si>
  <si>
    <t>Wed Jul 16 01:21:47 IST 2025</t>
  </si>
  <si>
    <t>5117625728</t>
  </si>
  <si>
    <t>AJI14419</t>
  </si>
  <si>
    <t>Wed Jul 16 09:41:32 IST 2025</t>
  </si>
  <si>
    <t>AF25GJ178964772</t>
  </si>
  <si>
    <t>Wed Jul 16 09:41:37 IST 2025</t>
  </si>
  <si>
    <t>FN3628602634</t>
  </si>
  <si>
    <t>Wed Jul 16 07:13:52 IST 2025</t>
  </si>
  <si>
    <t>5117625726</t>
  </si>
  <si>
    <t>AJI14418</t>
  </si>
  <si>
    <t>Wed Jul 16 09:41:14 IST 2025</t>
  </si>
  <si>
    <t>AF25GJ178964567</t>
  </si>
  <si>
    <t>Wed Jul 16 09:41:20 IST 2025</t>
  </si>
  <si>
    <t>FN2178606665</t>
  </si>
  <si>
    <t>Wed Jul 16 03:24:47 IST 2025</t>
  </si>
  <si>
    <t>5117625727</t>
  </si>
  <si>
    <t>AJI14417</t>
  </si>
  <si>
    <t>Wed Jul 16 09:41:01 IST 2025</t>
  </si>
  <si>
    <t>AF25GJ178964430</t>
  </si>
  <si>
    <t>Wed Jul 16 09:41:08 IST 2025</t>
  </si>
  <si>
    <t>FN2958602430</t>
  </si>
  <si>
    <t>Tue Jul 15 17:16:25 IST 2025</t>
  </si>
  <si>
    <t>5117604050</t>
  </si>
  <si>
    <t>AJI14416</t>
  </si>
  <si>
    <t>Wed Jul 16 08:41:12 IST 2025</t>
  </si>
  <si>
    <t>AF25GJ178938558</t>
  </si>
  <si>
    <t>Wed Jul 16 08:41:13 IST 2025</t>
  </si>
  <si>
    <t>EX0032645913</t>
  </si>
  <si>
    <t>Tue Jul 15 19:10:08 IST 2025</t>
  </si>
  <si>
    <t>5117604051</t>
  </si>
  <si>
    <t>AJI14415</t>
  </si>
  <si>
    <t>Wed Jul 16 08:41:01 IST 2025</t>
  </si>
  <si>
    <t>AF25GJ178938476</t>
  </si>
  <si>
    <t>Wed Jul 16 08:41:02 IST 2025</t>
  </si>
  <si>
    <t>EX0032647945</t>
  </si>
  <si>
    <t>Tue Jul 15 21:56:43 IST 2025</t>
  </si>
  <si>
    <t>5117604052</t>
  </si>
  <si>
    <t>AJI14414</t>
  </si>
  <si>
    <t>Wed Jul 16 08:40:50 IST 2025</t>
  </si>
  <si>
    <t>AF25GJ178938410</t>
  </si>
  <si>
    <t>Wed Jul 16 08:40:52 IST 2025</t>
  </si>
  <si>
    <t>FN9078601794</t>
  </si>
  <si>
    <t>Tue Jul 15 23:31:06 IST 2025</t>
  </si>
  <si>
    <t>5117598270</t>
  </si>
  <si>
    <t>AJI14412</t>
  </si>
  <si>
    <t>Wed Jul 16 08:06:55 IST 2025</t>
  </si>
  <si>
    <t>AF25GJ178929696</t>
  </si>
  <si>
    <t>Wed Jul 16 08:06:56 IST 2025</t>
  </si>
  <si>
    <t>FN0028606524</t>
  </si>
  <si>
    <t>Tue Jul 15 20:14:15 IST 2025</t>
  </si>
  <si>
    <t>5117598277</t>
  </si>
  <si>
    <t>AJI14411</t>
  </si>
  <si>
    <t>Wed Jul 16 08:06:43 IST 2025</t>
  </si>
  <si>
    <t>AF25GJ178929676</t>
  </si>
  <si>
    <t>Wed Jul 16 08:06:49 IST 2025</t>
  </si>
  <si>
    <t>FN6515601230</t>
  </si>
  <si>
    <t>Tue Jul 15 20:29:10 IST 2025</t>
  </si>
  <si>
    <t>5117598276</t>
  </si>
  <si>
    <t>AJI14410</t>
  </si>
  <si>
    <t>Wed Jul 16 08:06:34 IST 2025</t>
  </si>
  <si>
    <t>AF25GJ178929622</t>
  </si>
  <si>
    <t>Wed Jul 16 08:06:35 IST 2025</t>
  </si>
  <si>
    <t>700210515035</t>
  </si>
  <si>
    <t>1323(AJIO)_BL_L</t>
  </si>
  <si>
    <t>FN0543606776</t>
  </si>
  <si>
    <t>Tue Jul 15 20:37:31 IST 2025</t>
  </si>
  <si>
    <t>5117598273</t>
  </si>
  <si>
    <t>AJI14409</t>
  </si>
  <si>
    <t>Wed Jul 16 08:06:25 IST 2025</t>
  </si>
  <si>
    <t>AF25GJ178929599</t>
  </si>
  <si>
    <t>Wed Jul 16 08:06:31 IST 2025</t>
  </si>
  <si>
    <t>FN5078606693</t>
  </si>
  <si>
    <t>Tue Jul 15 22:17:05 IST 2025</t>
  </si>
  <si>
    <t>5117598274</t>
  </si>
  <si>
    <t>AJI14408</t>
  </si>
  <si>
    <t>Wed Jul 16 08:06:13 IST 2025</t>
  </si>
  <si>
    <t>AF25GJ178929537</t>
  </si>
  <si>
    <t>Wed Jul 16 08:06:19 IST 2025</t>
  </si>
  <si>
    <t>FN6722509751</t>
  </si>
  <si>
    <t>Tue Jul 15 22:35:04 IST 2025</t>
  </si>
  <si>
    <t>5117598269</t>
  </si>
  <si>
    <t>AJI14407</t>
  </si>
  <si>
    <t>Wed Jul 16 08:05:56 IST 2025</t>
  </si>
  <si>
    <t>AF25GJ178929424</t>
  </si>
  <si>
    <t>Wed Jul 16 08:05:57 IST 2025</t>
  </si>
  <si>
    <t>FN3582605599</t>
  </si>
  <si>
    <t>Tue Jul 15 22:49:00 IST 2025</t>
  </si>
  <si>
    <t>5117598272</t>
  </si>
  <si>
    <t>AJI14406</t>
  </si>
  <si>
    <t>Wed Jul 16 08:05:44 IST 2025</t>
  </si>
  <si>
    <t>AF25GJ178929403</t>
  </si>
  <si>
    <t>Wed Jul 16 08:05:50 IST 2025</t>
  </si>
  <si>
    <t>700223385031</t>
  </si>
  <si>
    <t>AJI-1534-41</t>
  </si>
  <si>
    <t>1541_PISTA_S</t>
  </si>
  <si>
    <t>FN0797601397</t>
  </si>
  <si>
    <t>Tue Jul 15 21:22:15 IST 2025</t>
  </si>
  <si>
    <t>5117598268</t>
  </si>
  <si>
    <t>AJI14405</t>
  </si>
  <si>
    <t>Wed Jul 16 08:05:32 IST 2025</t>
  </si>
  <si>
    <t>AF25GJ178929338</t>
  </si>
  <si>
    <t>FN3318602550</t>
  </si>
  <si>
    <t>Tue Jul 15 19:37:58 IST 2025</t>
  </si>
  <si>
    <t>5117558322</t>
  </si>
  <si>
    <t>Tue Jul 15 00:00:00 IST 2025</t>
  </si>
  <si>
    <t>AJI14404</t>
  </si>
  <si>
    <t>Wed Jul 16 08:04:49 IST 2025</t>
  </si>
  <si>
    <t>AF25GJ178929287</t>
  </si>
  <si>
    <t>Wed Jul 16 08:04:50 IST 2025</t>
  </si>
  <si>
    <t>FN1868607579</t>
  </si>
  <si>
    <t>Tue Jul 15 08:40:07 IST 2025</t>
  </si>
  <si>
    <t>5117540582</t>
  </si>
  <si>
    <t>AJI14403</t>
  </si>
  <si>
    <t>Tue Jul 15 18:08:55 IST 2025</t>
  </si>
  <si>
    <t>AF25GJ178861017</t>
  </si>
  <si>
    <t>Tue Jul 15 18:08:56 IST 2025</t>
  </si>
  <si>
    <t>310.04</t>
  </si>
  <si>
    <t>7.38</t>
  </si>
  <si>
    <t>295.28</t>
  </si>
  <si>
    <t>FN5058609899</t>
  </si>
  <si>
    <t>Tue Jul 15 14:11:16 IST 2025</t>
  </si>
  <si>
    <t>5117540579</t>
  </si>
  <si>
    <t>AJI14402</t>
  </si>
  <si>
    <t>Tue Jul 15 18:08:43 IST 2025</t>
  </si>
  <si>
    <t>AF25GJ178860997</t>
  </si>
  <si>
    <t>Tue Jul 15 18:08:44 IST 2025</t>
  </si>
  <si>
    <t>FN8466602040</t>
  </si>
  <si>
    <t>Tue Jul 15 14:34:09 IST 2025</t>
  </si>
  <si>
    <t>5117540578</t>
  </si>
  <si>
    <t>AJI14401</t>
  </si>
  <si>
    <t>Tue Jul 15 18:08:32 IST 2025</t>
  </si>
  <si>
    <t>AF25GJ178860945</t>
  </si>
  <si>
    <t>Tue Jul 15 18:08:33 IST 2025</t>
  </si>
  <si>
    <t>700211961007</t>
  </si>
  <si>
    <t>1164(AJIO)_PRL_S</t>
  </si>
  <si>
    <t>FN0758604319</t>
  </si>
  <si>
    <t>Tue Jul 15 11:11:08 IST 2025</t>
  </si>
  <si>
    <t>5117540577</t>
  </si>
  <si>
    <t>AJI14400</t>
  </si>
  <si>
    <t>Tue Jul 15 18:08:21 IST 2025</t>
  </si>
  <si>
    <t>AF25GJ178860981</t>
  </si>
  <si>
    <t>Tue Jul 15 18:08:22 IST 2025</t>
  </si>
  <si>
    <t>FN2467604950</t>
  </si>
  <si>
    <t>Tue Jul 15 11:30:30 IST 2025</t>
  </si>
  <si>
    <t>5117540584</t>
  </si>
  <si>
    <t>AJI14399</t>
  </si>
  <si>
    <t>Tue Jul 15 18:08:10 IST 2025</t>
  </si>
  <si>
    <t>AF25GJ178860887</t>
  </si>
  <si>
    <t>FN2538600780</t>
  </si>
  <si>
    <t>Tue Jul 15 11:12:38 IST 2025</t>
  </si>
  <si>
    <t>5117540587</t>
  </si>
  <si>
    <t>AJI14398</t>
  </si>
  <si>
    <t>Tue Jul 15 18:07:58 IST 2025</t>
  </si>
  <si>
    <t>AF25GJ178860837</t>
  </si>
  <si>
    <t>Tue Jul 15 18:07:59 IST 2025</t>
  </si>
  <si>
    <t>FN2477603039</t>
  </si>
  <si>
    <t>Tue Jul 15 09:27:32 IST 2025</t>
  </si>
  <si>
    <t>5117540576</t>
  </si>
  <si>
    <t>AJI14397</t>
  </si>
  <si>
    <t>Tue Jul 15 18:07:24 IST 2025</t>
  </si>
  <si>
    <t>AF25GJ178860738</t>
  </si>
  <si>
    <t>Tue Jul 15 18:07:25 IST 2025</t>
  </si>
  <si>
    <t>328.16</t>
  </si>
  <si>
    <t>7.81</t>
  </si>
  <si>
    <t>328.15</t>
  </si>
  <si>
    <t>312.53</t>
  </si>
  <si>
    <t>FN3968606388</t>
  </si>
  <si>
    <t>Tue Jul 15 15:54:43 IST 2025</t>
  </si>
  <si>
    <t>5117540583</t>
  </si>
  <si>
    <t>AJI14396</t>
  </si>
  <si>
    <t>Tue Jul 15 18:07:13 IST 2025</t>
  </si>
  <si>
    <t>AF25GJ178860712</t>
  </si>
  <si>
    <t>Tue Jul 15 18:07:14 IST 2025</t>
  </si>
  <si>
    <t>FN5368606462</t>
  </si>
  <si>
    <t>Tue Jul 15 16:02:07 IST 2025</t>
  </si>
  <si>
    <t>5117540580</t>
  </si>
  <si>
    <t>AJI14395</t>
  </si>
  <si>
    <t>Tue Jul 15 18:07:01 IST 2025</t>
  </si>
  <si>
    <t>AF25GJ178860650</t>
  </si>
  <si>
    <t>FN3968609933</t>
  </si>
  <si>
    <t>Tue Jul 15 15:34:33 IST 2025</t>
  </si>
  <si>
    <t>5117540573</t>
  </si>
  <si>
    <t>AJI14394</t>
  </si>
  <si>
    <t>Tue Jul 15 18:06:49 IST 2025</t>
  </si>
  <si>
    <t>AF25GJ178860619</t>
  </si>
  <si>
    <t>Tue Jul 15 18:06:50 IST 2025</t>
  </si>
  <si>
    <t>FN4968607280</t>
  </si>
  <si>
    <t>Tue Jul 15 16:08:00 IST 2025</t>
  </si>
  <si>
    <t>5117540581</t>
  </si>
  <si>
    <t>AJI14393</t>
  </si>
  <si>
    <t>Tue Jul 15 18:06:38 IST 2025</t>
  </si>
  <si>
    <t>AF25GJ178860563</t>
  </si>
  <si>
    <t>FN0562503001</t>
  </si>
  <si>
    <t>Tue Jul 15 16:12:55 IST 2025</t>
  </si>
  <si>
    <t>5117540575</t>
  </si>
  <si>
    <t>AJI14392</t>
  </si>
  <si>
    <t>Tue Jul 15 18:06:26 IST 2025</t>
  </si>
  <si>
    <t>AF25GJ178860530</t>
  </si>
  <si>
    <t>FN1257605453</t>
  </si>
  <si>
    <t>Tue Jul 15 16:20:39 IST 2025</t>
  </si>
  <si>
    <t>5117540572</t>
  </si>
  <si>
    <t>AJI14391</t>
  </si>
  <si>
    <t>Tue Jul 15 18:06:14 IST 2025</t>
  </si>
  <si>
    <t>AF25GJ178860504</t>
  </si>
  <si>
    <t>FN5968605997</t>
  </si>
  <si>
    <t>Tue Jul 15 16:57:02 IST 2025</t>
  </si>
  <si>
    <t>5117540574</t>
  </si>
  <si>
    <t>AJI14390</t>
  </si>
  <si>
    <t>Tue Jul 15 18:06:02 IST 2025</t>
  </si>
  <si>
    <t>AF25GJ178860453</t>
  </si>
  <si>
    <t>Tue Jul 15 18:06:03 IST 2025</t>
  </si>
  <si>
    <t>FN0180401938</t>
  </si>
  <si>
    <t>Tue Jul 15 12:33:51 IST 2025</t>
  </si>
  <si>
    <t>5117540571</t>
  </si>
  <si>
    <t>AJI14389</t>
  </si>
  <si>
    <t>Tue Jul 15 18:05:51 IST 2025</t>
  </si>
  <si>
    <t>AF25GJ178860424</t>
  </si>
  <si>
    <t>FN1397600008</t>
  </si>
  <si>
    <t>Tue Jul 15 10:47:44 IST 2025</t>
  </si>
  <si>
    <t>5117540570</t>
  </si>
  <si>
    <t>AJI14388</t>
  </si>
  <si>
    <t>Tue Jul 15 18:05:39 IST 2025</t>
  </si>
  <si>
    <t>AF25GJ178860382</t>
  </si>
  <si>
    <t>FN0848600731</t>
  </si>
  <si>
    <t>Mon Jul 14 13:24:44 IST 2025</t>
  </si>
  <si>
    <t>5117450376</t>
  </si>
  <si>
    <t>AJI14387</t>
  </si>
  <si>
    <t>Tue Jul 15 08:18:53 IST 2025</t>
  </si>
  <si>
    <t>AF25GJ178671197</t>
  </si>
  <si>
    <t>Tue Jul 15 08:18:58 IST 2025</t>
  </si>
  <si>
    <t>FN5860606081</t>
  </si>
  <si>
    <t>Mon Jul 14 21:00:34 IST 2025</t>
  </si>
  <si>
    <t>5117450378</t>
  </si>
  <si>
    <t>AJI14386</t>
  </si>
  <si>
    <t>Tue Jul 15 08:16:27 IST 2025</t>
  </si>
  <si>
    <t>AF25GJ178670348</t>
  </si>
  <si>
    <t>Tue Jul 15 08:16:28 IST 2025</t>
  </si>
  <si>
    <t>FN4705602925</t>
  </si>
  <si>
    <t>Mon Jul 14 23:54:35 IST 2025</t>
  </si>
  <si>
    <t>5117450377</t>
  </si>
  <si>
    <t>AJI14385</t>
  </si>
  <si>
    <t>Tue Jul 15 08:16:15 IST 2025</t>
  </si>
  <si>
    <t>AF25GJ178670316</t>
  </si>
  <si>
    <t>Tue Jul 15 08:16:16 IST 2025</t>
  </si>
  <si>
    <t>EX0032649256</t>
  </si>
  <si>
    <t>Mon Jul 14 11:10:03 IST 2025</t>
  </si>
  <si>
    <t>5117450379</t>
  </si>
  <si>
    <t>AJI14384</t>
  </si>
  <si>
    <t>Tue Jul 15 08:16:03 IST 2025</t>
  </si>
  <si>
    <t>AF25GJ178670272</t>
  </si>
  <si>
    <t>Tue Jul 15 08:16:04 IST 2025</t>
  </si>
  <si>
    <t>FN0994601371</t>
  </si>
  <si>
    <t>Mon Jul 14 18:23:43 IST 2025</t>
  </si>
  <si>
    <t>5117450375</t>
  </si>
  <si>
    <t>AJI14383</t>
  </si>
  <si>
    <t>Tue Jul 15 08:15:52 IST 2025</t>
  </si>
  <si>
    <t>AF25GJ178670242</t>
  </si>
  <si>
    <t>Tue Jul 15 08:15:54 IST 2025</t>
  </si>
  <si>
    <t>FN4038603049</t>
  </si>
  <si>
    <t>Mon Jul 14 22:44:35 IST 2025</t>
  </si>
  <si>
    <t>5117450373</t>
  </si>
  <si>
    <t>AJI14382</t>
  </si>
  <si>
    <t>Tue Jul 15 08:15:41 IST 2025</t>
  </si>
  <si>
    <t>AF25GJ178670203</t>
  </si>
  <si>
    <t>458.15</t>
  </si>
  <si>
    <t>10.91</t>
  </si>
  <si>
    <t>436.33</t>
  </si>
  <si>
    <t>FN7715600543</t>
  </si>
  <si>
    <t>Mon Jul 14 22:59:26 IST 2025</t>
  </si>
  <si>
    <t>5117447854</t>
  </si>
  <si>
    <t>AJI14381</t>
  </si>
  <si>
    <t>Tue Jul 15 08:14:55 IST 2025</t>
  </si>
  <si>
    <t>AF25GJ178670100</t>
  </si>
  <si>
    <t>FN9038600680</t>
  </si>
  <si>
    <t>Mon Jul 14 21:18:56 IST 2025</t>
  </si>
  <si>
    <t>5117447857</t>
  </si>
  <si>
    <t>AJI14380</t>
  </si>
  <si>
    <t>Tue Jul 15 08:02:05 IST 2025</t>
  </si>
  <si>
    <t>AF25GJ178668233</t>
  </si>
  <si>
    <t>Tue Jul 15 08:02:06 IST 2025</t>
  </si>
  <si>
    <t>FN3768604013</t>
  </si>
  <si>
    <t>Mon Jul 14 21:53:52 IST 2025</t>
  </si>
  <si>
    <t>5117447851</t>
  </si>
  <si>
    <t>AJI14378</t>
  </si>
  <si>
    <t>Tue Jul 15 08:01:48 IST 2025</t>
  </si>
  <si>
    <t>AF25GJ178668192</t>
  </si>
  <si>
    <t>Tue Jul 15 08:01:54 IST 2025</t>
  </si>
  <si>
    <t>FN8768609559</t>
  </si>
  <si>
    <t>Tue Jul 15 01:09:00 IST 2025</t>
  </si>
  <si>
    <t>5117447856</t>
  </si>
  <si>
    <t>AJI14379</t>
  </si>
  <si>
    <t>Tue Jul 15 08:01:53 IST 2025</t>
  </si>
  <si>
    <t>AF25GJ178668193</t>
  </si>
  <si>
    <t>FN1954605472</t>
  </si>
  <si>
    <t>Tue Jul 15 01:20:03 IST 2025</t>
  </si>
  <si>
    <t>5117447855</t>
  </si>
  <si>
    <t>AJI14377</t>
  </si>
  <si>
    <t>Tue Jul 15 08:01:39 IST 2025</t>
  </si>
  <si>
    <t>AF25GJ178668139</t>
  </si>
  <si>
    <t>FN6468608296</t>
  </si>
  <si>
    <t>Tue Jul 15 07:41:45 IST 2025</t>
  </si>
  <si>
    <t>5117447858</t>
  </si>
  <si>
    <t>AJI14376</t>
  </si>
  <si>
    <t>Tue Jul 15 08:01:29 IST 2025</t>
  </si>
  <si>
    <t>AF25GJ178668127</t>
  </si>
  <si>
    <t>Tue Jul 15 08:01:35 IST 2025</t>
  </si>
  <si>
    <t>FN3238609506</t>
  </si>
  <si>
    <t>Mon Jul 14 20:56:24 IST 2025</t>
  </si>
  <si>
    <t>5117447868</t>
  </si>
  <si>
    <t>AJI14375</t>
  </si>
  <si>
    <t>Tue Jul 15 08:01:17 IST 2025</t>
  </si>
  <si>
    <t>AF25GJ178668086</t>
  </si>
  <si>
    <t>Tue Jul 15 08:01:22 IST 2025</t>
  </si>
  <si>
    <t>656.29</t>
  </si>
  <si>
    <t>15.63</t>
  </si>
  <si>
    <t>656.3</t>
  </si>
  <si>
    <t>312.52</t>
  </si>
  <si>
    <t>625.04</t>
  </si>
  <si>
    <t>FN4976605474</t>
  </si>
  <si>
    <t>Tue Jul 15 00:25:20 IST 2025</t>
  </si>
  <si>
    <t>5117447850</t>
  </si>
  <si>
    <t>AJI14374</t>
  </si>
  <si>
    <t>Tue Jul 15 08:00:54 IST 2025</t>
  </si>
  <si>
    <t>AF25GJ178667998</t>
  </si>
  <si>
    <t>FN6957607397</t>
  </si>
  <si>
    <t>Tue Jul 15 00:55:06 IST 2025</t>
  </si>
  <si>
    <t>5117447867</t>
  </si>
  <si>
    <t>AJI14373</t>
  </si>
  <si>
    <t>Tue Jul 15 08:00:49 IST 2025</t>
  </si>
  <si>
    <t>AF25GJ178667994</t>
  </si>
  <si>
    <t>Tue Jul 15 08:00:50 IST 2025</t>
  </si>
  <si>
    <t>FN8768605310</t>
  </si>
  <si>
    <t>Tue Jul 15 00:38:29 IST 2025</t>
  </si>
  <si>
    <t>5117447853</t>
  </si>
  <si>
    <t>AJI14372</t>
  </si>
  <si>
    <t>Tue Jul 15 08:00:42 IST 2025</t>
  </si>
  <si>
    <t>AF25GJ178667987</t>
  </si>
  <si>
    <t>Tue Jul 15 08:00:43 IST 2025</t>
  </si>
  <si>
    <t>FN9528602170</t>
  </si>
  <si>
    <t>Tue Jul 15 00:48:29 IST 2025</t>
  </si>
  <si>
    <t>5117447852</t>
  </si>
  <si>
    <t>AJI14371</t>
  </si>
  <si>
    <t>Tue Jul 15 08:00:31 IST 2025</t>
  </si>
  <si>
    <t>AF25GJ178667980</t>
  </si>
  <si>
    <t>Tue Jul 15 08:00:32 IST 2025</t>
  </si>
  <si>
    <t>FN3338603682</t>
  </si>
  <si>
    <t>Mon Jul 14 23:52:08 IST 2025</t>
  </si>
  <si>
    <t>5117447849</t>
  </si>
  <si>
    <t>AJI14370</t>
  </si>
  <si>
    <t>Tue Jul 15 08:00:26 IST 2025</t>
  </si>
  <si>
    <t>AF25GJ178667973</t>
  </si>
  <si>
    <t>Tue Jul 15 08:00:27 IST 2025</t>
  </si>
  <si>
    <t>FN4438608101</t>
  </si>
  <si>
    <t>Mon Jul 14 19:10:46 IST 2025</t>
  </si>
  <si>
    <t>5117403533</t>
  </si>
  <si>
    <t>Mon Jul 14 00:00:00 IST 2025</t>
  </si>
  <si>
    <t>AJI14369</t>
  </si>
  <si>
    <t>Mon Jul 14 19:31:17 IST 2025</t>
  </si>
  <si>
    <t>AF25GJ178612852</t>
  </si>
  <si>
    <t>Mon Jul 14 19:31:18 IST 2025</t>
  </si>
  <si>
    <t>FN2568606320</t>
  </si>
  <si>
    <t>Mon Jul 14 10:13:48 IST 2025</t>
  </si>
  <si>
    <t>5117402092</t>
  </si>
  <si>
    <t>AJI14368</t>
  </si>
  <si>
    <t>Mon Jul 14 19:21:37 IST 2025</t>
  </si>
  <si>
    <t>AF25GJ178610609</t>
  </si>
  <si>
    <t>EX0032653225</t>
  </si>
  <si>
    <t>Mon Jul 14 14:25:27 IST 2025</t>
  </si>
  <si>
    <t>5117388315</t>
  </si>
  <si>
    <t>AJI14367</t>
  </si>
  <si>
    <t>Mon Jul 14 17:56:57 IST 2025</t>
  </si>
  <si>
    <t>AF25GJ178588655</t>
  </si>
  <si>
    <t>Mon Jul 14 17:56:58 IST 2025</t>
  </si>
  <si>
    <t>FN2148607862</t>
  </si>
  <si>
    <t>Mon Jul 14 17:14:57 IST 2025</t>
  </si>
  <si>
    <t>5117388000</t>
  </si>
  <si>
    <t>AJI14363</t>
  </si>
  <si>
    <t>Mon Jul 14 17:53:26 IST 2025</t>
  </si>
  <si>
    <t>AF25GJ178587588</t>
  </si>
  <si>
    <t>Mon Jul 14 17:53:27 IST 2025</t>
  </si>
  <si>
    <t>FN1038606865</t>
  </si>
  <si>
    <t>Mon Jul 14 16:27:36 IST 2025</t>
  </si>
  <si>
    <t>5117388004</t>
  </si>
  <si>
    <t>AJI14366</t>
  </si>
  <si>
    <t>Mon Jul 14 17:52:25 IST 2025</t>
  </si>
  <si>
    <t>AF25GJ178587373</t>
  </si>
  <si>
    <t>Mon Jul 14 17:52:26 IST 2025</t>
  </si>
  <si>
    <t>FN0548605892</t>
  </si>
  <si>
    <t>Mon Jul 14 14:16:31 IST 2025</t>
  </si>
  <si>
    <t>5117388014</t>
  </si>
  <si>
    <t>AJI14365</t>
  </si>
  <si>
    <t>Mon Jul 14 17:52:17 IST 2025</t>
  </si>
  <si>
    <t>AF25GJ178587336</t>
  </si>
  <si>
    <t>FN3315601894</t>
  </si>
  <si>
    <t>Mon Jul 14 14:27:04 IST 2025</t>
  </si>
  <si>
    <t>5117388009</t>
  </si>
  <si>
    <t>AJI14364</t>
  </si>
  <si>
    <t>Mon Jul 14 17:52:07 IST 2025</t>
  </si>
  <si>
    <t>AF25GJ178587289</t>
  </si>
  <si>
    <t>701009172047</t>
  </si>
  <si>
    <t>1430-DPT_3XL</t>
  </si>
  <si>
    <t>FN4668600961</t>
  </si>
  <si>
    <t>Mon Jul 14 16:44:28 IST 2025</t>
  </si>
  <si>
    <t>5117388005</t>
  </si>
  <si>
    <t>AJI14362</t>
  </si>
  <si>
    <t>Mon Jul 14 17:51:49 IST 2025</t>
  </si>
  <si>
    <t>AF25GJ178587204</t>
  </si>
  <si>
    <t>FN5228605178</t>
  </si>
  <si>
    <t>Mon Jul 14 11:21:07 IST 2025</t>
  </si>
  <si>
    <t>5117388001</t>
  </si>
  <si>
    <t>AJI14361</t>
  </si>
  <si>
    <t>Mon Jul 14 17:51:44 IST 2025</t>
  </si>
  <si>
    <t>AF25GJ178587189</t>
  </si>
  <si>
    <t>Mon Jul 14 17:51:45 IST 2025</t>
  </si>
  <si>
    <t>586.48</t>
  </si>
  <si>
    <t>13.96</t>
  </si>
  <si>
    <t>586.47</t>
  </si>
  <si>
    <t>558.55</t>
  </si>
  <si>
    <t>FN9624604208</t>
  </si>
  <si>
    <t>Mon Jul 14 09:34:31 IST 2025</t>
  </si>
  <si>
    <t>5117388008</t>
  </si>
  <si>
    <t>AJI14360</t>
  </si>
  <si>
    <t>Mon Jul 14 17:51:34 IST 2025</t>
  </si>
  <si>
    <t>AF25GJ178587136</t>
  </si>
  <si>
    <t>FN3551604295</t>
  </si>
  <si>
    <t>Mon Jul 14 11:43:05 IST 2025</t>
  </si>
  <si>
    <t>5117387996</t>
  </si>
  <si>
    <t>AJI14359</t>
  </si>
  <si>
    <t>Mon Jul 14 17:51:23 IST 2025</t>
  </si>
  <si>
    <t>AF25GJ178587083</t>
  </si>
  <si>
    <t>Mon Jul 14 17:51:24 IST 2025</t>
  </si>
  <si>
    <t>FN3356605357</t>
  </si>
  <si>
    <t>Mon Jul 14 10:51:37 IST 2025</t>
  </si>
  <si>
    <t>5117387997</t>
  </si>
  <si>
    <t>AJI14358</t>
  </si>
  <si>
    <t>Mon Jul 14 17:51:13 IST 2025</t>
  </si>
  <si>
    <t>AF25GJ178587046</t>
  </si>
  <si>
    <t>FN4224608845</t>
  </si>
  <si>
    <t>Mon Jul 14 12:05:28 IST 2025</t>
  </si>
  <si>
    <t>5117387995</t>
  </si>
  <si>
    <t>AJI14357</t>
  </si>
  <si>
    <t>Mon Jul 14 17:51:07 IST 2025</t>
  </si>
  <si>
    <t>AF25GJ178587014</t>
  </si>
  <si>
    <t>FN4817601240</t>
  </si>
  <si>
    <t>Mon Jul 14 10:23:46 IST 2025</t>
  </si>
  <si>
    <t>5117387994</t>
  </si>
  <si>
    <t>AJI14356</t>
  </si>
  <si>
    <t>Mon Jul 14 17:51:02 IST 2025</t>
  </si>
  <si>
    <t>AF25GJ178586992</t>
  </si>
  <si>
    <t>FN8416604997</t>
  </si>
  <si>
    <t>Mon Jul 14 10:25:10 IST 2025</t>
  </si>
  <si>
    <t>5117388003</t>
  </si>
  <si>
    <t>AJI14355</t>
  </si>
  <si>
    <t>Mon Jul 14 17:50:56 IST 2025</t>
  </si>
  <si>
    <t>AF25GJ178586972</t>
  </si>
  <si>
    <t>Mon Jul 14 17:50:57 IST 2025</t>
  </si>
  <si>
    <t>362.08</t>
  </si>
  <si>
    <t>8.62</t>
  </si>
  <si>
    <t>344.84</t>
  </si>
  <si>
    <t>FN7568601305</t>
  </si>
  <si>
    <t>Mon Jul 14 13:36:11 IST 2025</t>
  </si>
  <si>
    <t>5117388007</t>
  </si>
  <si>
    <t>AJI14354</t>
  </si>
  <si>
    <t>Mon Jul 14 17:50:51 IST 2025</t>
  </si>
  <si>
    <t>AF25GJ178586953</t>
  </si>
  <si>
    <t>EX0032636624</t>
  </si>
  <si>
    <t>Mon Jul 14 13:10:11 IST 2025</t>
  </si>
  <si>
    <t>5117388002</t>
  </si>
  <si>
    <t>AJI14353</t>
  </si>
  <si>
    <t>Mon Jul 14 17:50:45 IST 2025</t>
  </si>
  <si>
    <t>AF25GJ178586939</t>
  </si>
  <si>
    <t>Mon Jul 14 17:50:46 IST 2025</t>
  </si>
  <si>
    <t>FN6568600106</t>
  </si>
  <si>
    <t>Mon Jul 14 13:32:01 IST 2025</t>
  </si>
  <si>
    <t>5117387999</t>
  </si>
  <si>
    <t>AJI14352</t>
  </si>
  <si>
    <t>Mon Jul 14 17:50:40 IST 2025</t>
  </si>
  <si>
    <t>AF25GJ178586922</t>
  </si>
  <si>
    <t>FN7568609960</t>
  </si>
  <si>
    <t>Mon Jul 14 13:14:40 IST 2025</t>
  </si>
  <si>
    <t>5117387998</t>
  </si>
  <si>
    <t>AJI14351</t>
  </si>
  <si>
    <t>Mon Jul 14 17:50:35 IST 2025</t>
  </si>
  <si>
    <t>AF25GJ178586905</t>
  </si>
  <si>
    <t>FN6937605919</t>
  </si>
  <si>
    <t>Sun Jul 13 23:01:12 IST 2025</t>
  </si>
  <si>
    <t>5117276080</t>
  </si>
  <si>
    <t>AJI14350</t>
  </si>
  <si>
    <t>Mon Jul 14 08:18:01 IST 2025</t>
  </si>
  <si>
    <t>AF25GJ178390463</t>
  </si>
  <si>
    <t>Mon Jul 14 09:48:04 IST 2025</t>
  </si>
  <si>
    <t>700329842009</t>
  </si>
  <si>
    <t>1596_BK_M</t>
  </si>
  <si>
    <t>FN6858601987</t>
  </si>
  <si>
    <t>Sun Jul 13 21:05:39 IST 2025</t>
  </si>
  <si>
    <t>5117273185</t>
  </si>
  <si>
    <t>AJI14347</t>
  </si>
  <si>
    <t>Mon Jul 14 08:15:48 IST 2025</t>
  </si>
  <si>
    <t>AF25GJ178390424</t>
  </si>
  <si>
    <t>Mon Jul 14 09:48:01 IST 2025</t>
  </si>
  <si>
    <t>FN8948606394</t>
  </si>
  <si>
    <t>Sun Jul 13 18:23:44 IST 2025</t>
  </si>
  <si>
    <t>5117273183</t>
  </si>
  <si>
    <t>AJI14348</t>
  </si>
  <si>
    <t>Mon Jul 14 08:16:01 IST 2025</t>
  </si>
  <si>
    <t>AF25GJ178390393</t>
  </si>
  <si>
    <t>Mon Jul 14 09:47:59 IST 2025</t>
  </si>
  <si>
    <t>FN4648606744</t>
  </si>
  <si>
    <t>Sun Jul 13 18:25:57 IST 2025</t>
  </si>
  <si>
    <t>5117273180</t>
  </si>
  <si>
    <t>AJI14346</t>
  </si>
  <si>
    <t>Mon Jul 14 08:15:38 IST 2025</t>
  </si>
  <si>
    <t>AF25GJ178390359</t>
  </si>
  <si>
    <t>Mon Jul 14 09:47:57 IST 2025</t>
  </si>
  <si>
    <t>FN2268606721</t>
  </si>
  <si>
    <t>Sun Jul 13 14:11:19 IST 2025</t>
  </si>
  <si>
    <t>5117273176</t>
  </si>
  <si>
    <t>AJI14344</t>
  </si>
  <si>
    <t>Mon Jul 14 08:15:21 IST 2025</t>
  </si>
  <si>
    <t>AF25GJ178390320</t>
  </si>
  <si>
    <t>Mon Jul 14 09:47:55 IST 2025</t>
  </si>
  <si>
    <t>FN6238603547</t>
  </si>
  <si>
    <t>Sun Jul 13 14:28:16 IST 2025</t>
  </si>
  <si>
    <t>5117273177</t>
  </si>
  <si>
    <t>AJI14343</t>
  </si>
  <si>
    <t>Mon Jul 14 08:15:10 IST 2025</t>
  </si>
  <si>
    <t>AF25GJ178390281</t>
  </si>
  <si>
    <t>Mon Jul 14 09:47:53 IST 2025</t>
  </si>
  <si>
    <t>FN2268609076</t>
  </si>
  <si>
    <t>Sun Jul 13 14:31:45 IST 2025</t>
  </si>
  <si>
    <t>5117273172</t>
  </si>
  <si>
    <t>AJI14340</t>
  </si>
  <si>
    <t>Mon Jul 14 08:15:02 IST 2025</t>
  </si>
  <si>
    <t>AF25GJ178390239</t>
  </si>
  <si>
    <t>Mon Jul 14 09:47:50 IST 2025</t>
  </si>
  <si>
    <t>FN1255603189</t>
  </si>
  <si>
    <t>Sun Jul 13 21:27:08 IST 2025</t>
  </si>
  <si>
    <t>5117273181</t>
  </si>
  <si>
    <t>AJI14339</t>
  </si>
  <si>
    <t>Mon Jul 14 08:14:47 IST 2025</t>
  </si>
  <si>
    <t>AF25GJ178390206</t>
  </si>
  <si>
    <t>Mon Jul 14 09:47:48 IST 2025</t>
  </si>
  <si>
    <t>FN4268601608</t>
  </si>
  <si>
    <t>Sun Jul 13 15:25:19 IST 2025</t>
  </si>
  <si>
    <t>5117273171</t>
  </si>
  <si>
    <t>AJI14337</t>
  </si>
  <si>
    <t>Mon Jul 14 08:16:56 IST 2025</t>
  </si>
  <si>
    <t>AF25GJ178390171</t>
  </si>
  <si>
    <t>Mon Jul 14 09:47:46 IST 2025</t>
  </si>
  <si>
    <t>FN8548605077</t>
  </si>
  <si>
    <t>Sun Jul 13 15:31:29 IST 2025</t>
  </si>
  <si>
    <t>5117273179</t>
  </si>
  <si>
    <t>AJI14335</t>
  </si>
  <si>
    <t>Mon Jul 14 08:14:40 IST 2025</t>
  </si>
  <si>
    <t>AF25GJ178390028</t>
  </si>
  <si>
    <t>Mon Jul 14 09:47:38 IST 2025</t>
  </si>
  <si>
    <t>FN6727604716</t>
  </si>
  <si>
    <t>Sun Jul 13 19:26:34 IST 2025</t>
  </si>
  <si>
    <t>5117273178</t>
  </si>
  <si>
    <t>AJI14331</t>
  </si>
  <si>
    <t>Mon Jul 14 08:14:00 IST 2025</t>
  </si>
  <si>
    <t>AF25GJ178389990</t>
  </si>
  <si>
    <t>Mon Jul 14 09:47:36 IST 2025</t>
  </si>
  <si>
    <t>FN9001608219</t>
  </si>
  <si>
    <t>Sun Jul 13 19:28:33 IST 2025</t>
  </si>
  <si>
    <t>5117273165</t>
  </si>
  <si>
    <t>AJI14330</t>
  </si>
  <si>
    <t>Mon Jul 14 08:13:51 IST 2025</t>
  </si>
  <si>
    <t>AF25GJ178389946</t>
  </si>
  <si>
    <t>Mon Jul 14 09:47:33 IST 2025</t>
  </si>
  <si>
    <t>FN3508600480</t>
  </si>
  <si>
    <t>Sun Jul 13 19:29:17 IST 2025</t>
  </si>
  <si>
    <t>5117273168</t>
  </si>
  <si>
    <t>AJI14329</t>
  </si>
  <si>
    <t>Mon Jul 14 08:13:44 IST 2025</t>
  </si>
  <si>
    <t>AF25GJ178389907</t>
  </si>
  <si>
    <t>Mon Jul 14 09:47:31 IST 2025</t>
  </si>
  <si>
    <t>FN3368602069</t>
  </si>
  <si>
    <t>Sun Jul 13 19:29:36 IST 2025</t>
  </si>
  <si>
    <t>5117273161</t>
  </si>
  <si>
    <t>AJI14328</t>
  </si>
  <si>
    <t>Mon Jul 14 08:13:39 IST 2025</t>
  </si>
  <si>
    <t>AF25GJ178389852</t>
  </si>
  <si>
    <t>Mon Jul 14 09:47:27 IST 2025</t>
  </si>
  <si>
    <t>FN6275606369</t>
  </si>
  <si>
    <t>Sun Jul 13 19:38:16 IST 2025</t>
  </si>
  <si>
    <t>5117273169</t>
  </si>
  <si>
    <t>AJI14327</t>
  </si>
  <si>
    <t>Mon Jul 14 08:13:30 IST 2025</t>
  </si>
  <si>
    <t>AF25GJ178389811</t>
  </si>
  <si>
    <t>Mon Jul 14 09:47:25 IST 2025</t>
  </si>
  <si>
    <t>700211961010</t>
  </si>
  <si>
    <t>1524(AJIO)_CRM_XXL</t>
  </si>
  <si>
    <t>FN0268609461</t>
  </si>
  <si>
    <t>Sun Jul 13 14:54:09 IST 2025</t>
  </si>
  <si>
    <t>5117273162</t>
  </si>
  <si>
    <t>AJI14325</t>
  </si>
  <si>
    <t>Mon Jul 14 08:13:13 IST 2025</t>
  </si>
  <si>
    <t>AF25GJ178389765</t>
  </si>
  <si>
    <t>Mon Jul 14 09:47:22 IST 2025</t>
  </si>
  <si>
    <t>FN0230608349</t>
  </si>
  <si>
    <t>Sun Jul 13 19:54:55 IST 2025</t>
  </si>
  <si>
    <t>5117273163</t>
  </si>
  <si>
    <t>AJI14326</t>
  </si>
  <si>
    <t>AF25GJ178389617</t>
  </si>
  <si>
    <t>Mon Jul 14 09:47:12 IST 2025</t>
  </si>
  <si>
    <t>FN4566607998</t>
  </si>
  <si>
    <t>Sun Jul 13 20:01:17 IST 2025</t>
  </si>
  <si>
    <t>5117273158</t>
  </si>
  <si>
    <t>AJI14324</t>
  </si>
  <si>
    <t>Mon Jul 14 08:12:57 IST 2025</t>
  </si>
  <si>
    <t>AF25GJ178389577</t>
  </si>
  <si>
    <t>Mon Jul 14 09:47:10 IST 2025</t>
  </si>
  <si>
    <t>FN0417603841</t>
  </si>
  <si>
    <t>Sun Jul 13 22:12:21 IST 2025</t>
  </si>
  <si>
    <t>5117273170</t>
  </si>
  <si>
    <t>AJI14321</t>
  </si>
  <si>
    <t>Mon Jul 14 08:12:36 IST 2025</t>
  </si>
  <si>
    <t>AF25GJ178389526</t>
  </si>
  <si>
    <t>Mon Jul 14 09:47:07 IST 2025</t>
  </si>
  <si>
    <t>FN0468600974</t>
  </si>
  <si>
    <t>Sun Jul 13 22:13:41 IST 2025</t>
  </si>
  <si>
    <t>5117273156</t>
  </si>
  <si>
    <t>AJI14320</t>
  </si>
  <si>
    <t>Mon Jul 14 08:12:19 IST 2025</t>
  </si>
  <si>
    <t>AF25GJ178389474</t>
  </si>
  <si>
    <t>Mon Jul 14 09:47:04 IST 2025</t>
  </si>
  <si>
    <t>FN2992609177</t>
  </si>
  <si>
    <t>Sun Jul 13 22:55:10 IST 2025</t>
  </si>
  <si>
    <t>5117273160</t>
  </si>
  <si>
    <t>AJI14319</t>
  </si>
  <si>
    <t>Mon Jul 14 08:12:08 IST 2025</t>
  </si>
  <si>
    <t>AF25GJ178389430</t>
  </si>
  <si>
    <t>Mon Jul 14 09:47:01 IST 2025</t>
  </si>
  <si>
    <t>FN7138601088</t>
  </si>
  <si>
    <t>Sun Jul 13 23:57:31 IST 2025</t>
  </si>
  <si>
    <t>5117273157</t>
  </si>
  <si>
    <t>AJI14317</t>
  </si>
  <si>
    <t>Mon Jul 14 08:15:30 IST 2025</t>
  </si>
  <si>
    <t>AF25GJ178389390</t>
  </si>
  <si>
    <t>Mon Jul 14 09:46:59 IST 2025</t>
  </si>
  <si>
    <t>FN5468603960</t>
  </si>
  <si>
    <t>Sun Jul 13 23:58:44 IST 2025</t>
  </si>
  <si>
    <t>5117273152</t>
  </si>
  <si>
    <t>AJI14316</t>
  </si>
  <si>
    <t>Mon Jul 14 08:11:26 IST 2025</t>
  </si>
  <si>
    <t>AF25GJ178389361</t>
  </si>
  <si>
    <t>Mon Jul 14 09:46:57 IST 2025</t>
  </si>
  <si>
    <t>FN7412601820</t>
  </si>
  <si>
    <t>Sun Jul 13 20:16:53 IST 2025</t>
  </si>
  <si>
    <t>5117273150</t>
  </si>
  <si>
    <t>AJI14315</t>
  </si>
  <si>
    <t>Mon Jul 14 08:11:15 IST 2025</t>
  </si>
  <si>
    <t>AF25GJ178389331</t>
  </si>
  <si>
    <t>Mon Jul 14 09:46:55 IST 2025</t>
  </si>
  <si>
    <t>FN6368601687</t>
  </si>
  <si>
    <t>Sun Jul 13 20:42:08 IST 2025</t>
  </si>
  <si>
    <t>5117273149</t>
  </si>
  <si>
    <t>AJI14314</t>
  </si>
  <si>
    <t>Mon Jul 14 08:11:04 IST 2025</t>
  </si>
  <si>
    <t>AF25GJ178389293</t>
  </si>
  <si>
    <t>Mon Jul 14 09:46:53 IST 2025</t>
  </si>
  <si>
    <t>FN5158609600</t>
  </si>
  <si>
    <t>Sun Jul 13 20:50:59 IST 2025</t>
  </si>
  <si>
    <t>5117273148</t>
  </si>
  <si>
    <t>AJI14313</t>
  </si>
  <si>
    <t>Mon Jul 14 08:10:51 IST 2025</t>
  </si>
  <si>
    <t>AF25GJ178389250</t>
  </si>
  <si>
    <t>Mon Jul 14 09:46:50 IST 2025</t>
  </si>
  <si>
    <t>FN9168601762</t>
  </si>
  <si>
    <t>Sun Jul 13 12:42:59 IST 2025</t>
  </si>
  <si>
    <t>5117270404</t>
  </si>
  <si>
    <t>AJI14309</t>
  </si>
  <si>
    <t>Mon Jul 14 08:06:40 IST 2025</t>
  </si>
  <si>
    <t>AF25GJ178389041</t>
  </si>
  <si>
    <t>Mon Jul 14 09:46:39 IST 2025</t>
  </si>
  <si>
    <t>FN8168603726</t>
  </si>
  <si>
    <t>Sun Jul 13 12:53:26 IST 2025</t>
  </si>
  <si>
    <t>5117270403</t>
  </si>
  <si>
    <t>AJI14308</t>
  </si>
  <si>
    <t>Mon Jul 14 08:06:27 IST 2025</t>
  </si>
  <si>
    <t>AF25GJ178388987</t>
  </si>
  <si>
    <t>Mon Jul 14 09:46:35 IST 2025</t>
  </si>
  <si>
    <t>FN2158609968</t>
  </si>
  <si>
    <t>Mon Jul 14 07:24:50 IST 2025</t>
  </si>
  <si>
    <t>5117273184</t>
  </si>
  <si>
    <t>AJI14349</t>
  </si>
  <si>
    <t>Mon Jul 14 08:16:14 IST 2025</t>
  </si>
  <si>
    <t>AF25GJ178388953</t>
  </si>
  <si>
    <t>Mon Jul 14 09:46:33 IST 2025</t>
  </si>
  <si>
    <t>FN6958600770</t>
  </si>
  <si>
    <t>Sun Jul 13 18:58:37 IST 2025</t>
  </si>
  <si>
    <t>5117273182</t>
  </si>
  <si>
    <t>AJI14345</t>
  </si>
  <si>
    <t>AF25GJ178388912</t>
  </si>
  <si>
    <t>Mon Jul 14 09:46:30 IST 2025</t>
  </si>
  <si>
    <t>FN2268609149</t>
  </si>
  <si>
    <t>Sun Jul 13 14:31:15 IST 2025</t>
  </si>
  <si>
    <t>5117273174</t>
  </si>
  <si>
    <t>AJI14341</t>
  </si>
  <si>
    <t>Mon Jul 14 08:15:05 IST 2025</t>
  </si>
  <si>
    <t>AF25GJ178388876</t>
  </si>
  <si>
    <t>Mon Jul 14 09:46:28 IST 2025</t>
  </si>
  <si>
    <t>FN8368609651</t>
  </si>
  <si>
    <t>Sun Jul 13 21:49:28 IST 2025</t>
  </si>
  <si>
    <t>5117273175</t>
  </si>
  <si>
    <t>AJI14338</t>
  </si>
  <si>
    <t>Mon Jul 14 08:14:43 IST 2025</t>
  </si>
  <si>
    <t>AF25GJ178388841</t>
  </si>
  <si>
    <t>Mon Jul 14 09:46:26 IST 2025</t>
  </si>
  <si>
    <t>FN6150502877</t>
  </si>
  <si>
    <t>Mon Jul 14 00:11:03 IST 2025</t>
  </si>
  <si>
    <t>5117273173</t>
  </si>
  <si>
    <t>AJI14334</t>
  </si>
  <si>
    <t>Mon Jul 14 08:14:27 IST 2025</t>
  </si>
  <si>
    <t>AF25GJ178388794</t>
  </si>
  <si>
    <t>Mon Jul 14 09:46:23 IST 2025</t>
  </si>
  <si>
    <t>700659603032</t>
  </si>
  <si>
    <t>1595_GRN_XXL</t>
  </si>
  <si>
    <t>FN3676603006</t>
  </si>
  <si>
    <t>Sun Jul 13 16:18:11 IST 2025</t>
  </si>
  <si>
    <t>5117273167</t>
  </si>
  <si>
    <t>AJI14333</t>
  </si>
  <si>
    <t>Mon Jul 14 08:14:18 IST 2025</t>
  </si>
  <si>
    <t>AF25GJ178388749</t>
  </si>
  <si>
    <t>Mon Jul 14 09:46:21 IST 2025</t>
  </si>
  <si>
    <t>EX0032624766</t>
  </si>
  <si>
    <t>Sun Jul 13 17:00:03 IST 2025</t>
  </si>
  <si>
    <t>5117273166</t>
  </si>
  <si>
    <t>AJI14332</t>
  </si>
  <si>
    <t>Mon Jul 14 08:14:05 IST 2025</t>
  </si>
  <si>
    <t>AF25GJ178388709</t>
  </si>
  <si>
    <t>Mon Jul 14 09:46:18 IST 2025</t>
  </si>
  <si>
    <t>FN7767607031</t>
  </si>
  <si>
    <t>Sun Jul 13 19:43:19 IST 2025</t>
  </si>
  <si>
    <t>5117273164</t>
  </si>
  <si>
    <t>AJI14323</t>
  </si>
  <si>
    <t>AF25GJ178388656</t>
  </si>
  <si>
    <t>Mon Jul 14 09:46:16 IST 2025</t>
  </si>
  <si>
    <t>FN8168602793</t>
  </si>
  <si>
    <t>Sun Jul 13 13:03:39 IST 2025</t>
  </si>
  <si>
    <t>5117273159</t>
  </si>
  <si>
    <t>AJI14322</t>
  </si>
  <si>
    <t>Mon Jul 14 08:12:45 IST 2025</t>
  </si>
  <si>
    <t>AF25GJ178388511</t>
  </si>
  <si>
    <t>Mon Jul 14 09:46:06 IST 2025</t>
  </si>
  <si>
    <t>FN3468609091</t>
  </si>
  <si>
    <t>Sun Jul 13 23:19:44 IST 2025</t>
  </si>
  <si>
    <t>5117273155</t>
  </si>
  <si>
    <t>AJI14318</t>
  </si>
  <si>
    <t>Mon Jul 14 08:11:54 IST 2025</t>
  </si>
  <si>
    <t>AF25GJ178388475</t>
  </si>
  <si>
    <t>Mon Jul 14 09:46:04 IST 2025</t>
  </si>
  <si>
    <t>FN5757608222</t>
  </si>
  <si>
    <t>Sun Jul 13 12:30:41 IST 2025</t>
  </si>
  <si>
    <t>5117273151</t>
  </si>
  <si>
    <t>AJI14312</t>
  </si>
  <si>
    <t>Mon Jul 14 08:10:43 IST 2025</t>
  </si>
  <si>
    <t>AF25GJ178388432</t>
  </si>
  <si>
    <t>Mon Jul 14 09:46:02 IST 2025</t>
  </si>
  <si>
    <t>FN0104600425</t>
  </si>
  <si>
    <t>Sun Jul 13 12:39:29 IST 2025</t>
  </si>
  <si>
    <t>5117270408</t>
  </si>
  <si>
    <t>AJI14311</t>
  </si>
  <si>
    <t>Mon Jul 14 08:07:07 IST 2025</t>
  </si>
  <si>
    <t>AF25GJ178388386</t>
  </si>
  <si>
    <t>Mon Jul 14 09:45:59 IST 2025</t>
  </si>
  <si>
    <t>701045948022</t>
  </si>
  <si>
    <t>1649-BK_32</t>
  </si>
  <si>
    <t>FN3758605132</t>
  </si>
  <si>
    <t>Sun Jul 13 12:40:48 IST 2025</t>
  </si>
  <si>
    <t>5117270406</t>
  </si>
  <si>
    <t>AJI14310</t>
  </si>
  <si>
    <t>Mon Jul 14 08:06:53 IST 2025</t>
  </si>
  <si>
    <t>AF25GJ178388325</t>
  </si>
  <si>
    <t>Mon Jul 14 09:45:55 IST 2025</t>
  </si>
  <si>
    <t>FN1485601664</t>
  </si>
  <si>
    <t>Sun Jul 13 11:29:06 IST 2025</t>
  </si>
  <si>
    <t>5117167827</t>
  </si>
  <si>
    <t>Sun Jul 13 00:00:00 IST 2025</t>
  </si>
  <si>
    <t>AJI14307</t>
  </si>
  <si>
    <t>Sun Jul 13 12:12:51 IST 2025</t>
  </si>
  <si>
    <t>AF25GJ178204160</t>
  </si>
  <si>
    <t>FN2927600355</t>
  </si>
  <si>
    <t>Sun Jul 13 10:10:55 IST 2025</t>
  </si>
  <si>
    <t>5117167828</t>
  </si>
  <si>
    <t>AJI14306</t>
  </si>
  <si>
    <t>Sun Jul 13 12:12:40 IST 2025</t>
  </si>
  <si>
    <t>AF25GJ178204126</t>
  </si>
  <si>
    <t>FN5258601548</t>
  </si>
  <si>
    <t>Sun Jul 13 10:53:51 IST 2025</t>
  </si>
  <si>
    <t>5117167831</t>
  </si>
  <si>
    <t>AJI14305</t>
  </si>
  <si>
    <t>Sun Jul 13 12:12:30 IST 2025</t>
  </si>
  <si>
    <t>AF25GJ178204091</t>
  </si>
  <si>
    <t>FN8675604230</t>
  </si>
  <si>
    <t>Sun Jul 13 11:01:05 IST 2025</t>
  </si>
  <si>
    <t>5117167835</t>
  </si>
  <si>
    <t>AJI14304</t>
  </si>
  <si>
    <t>Sun Jul 13 12:12:19 IST 2025</t>
  </si>
  <si>
    <t>AF25GJ178204061</t>
  </si>
  <si>
    <t>Sun Jul 13 12:12:20 IST 2025</t>
  </si>
  <si>
    <t>FN1168602218</t>
  </si>
  <si>
    <t>Sun Jul 13 08:18:34 IST 2025</t>
  </si>
  <si>
    <t>5117167826</t>
  </si>
  <si>
    <t>AJI14303</t>
  </si>
  <si>
    <t>Sun Jul 13 12:12:08 IST 2025</t>
  </si>
  <si>
    <t>AF25GJ178204011</t>
  </si>
  <si>
    <t>FN1038605522</t>
  </si>
  <si>
    <t>Sun Jul 13 08:31:12 IST 2025</t>
  </si>
  <si>
    <t>5117167824</t>
  </si>
  <si>
    <t>AJI14302</t>
  </si>
  <si>
    <t>Sun Jul 13 12:11:57 IST 2025</t>
  </si>
  <si>
    <t>AF25GJ178203971</t>
  </si>
  <si>
    <t>Sun Jul 13 12:11:58 IST 2025</t>
  </si>
  <si>
    <t>FN9895406614</t>
  </si>
  <si>
    <t>Sun Jul 13 08:53:49 IST 2025</t>
  </si>
  <si>
    <t>5117167819</t>
  </si>
  <si>
    <t>AJI14301</t>
  </si>
  <si>
    <t>Sun Jul 13 12:11:46 IST 2025</t>
  </si>
  <si>
    <t>AF25GJ178203938</t>
  </si>
  <si>
    <t>Sun Jul 13 12:11:47 IST 2025</t>
  </si>
  <si>
    <t>FN3567507611</t>
  </si>
  <si>
    <t>Sun Jul 13 09:53:32 IST 2025</t>
  </si>
  <si>
    <t>5117167823</t>
  </si>
  <si>
    <t>AJI14300</t>
  </si>
  <si>
    <t>Sun Jul 13 12:11:36 IST 2025</t>
  </si>
  <si>
    <t>AF25GJ178203898</t>
  </si>
  <si>
    <t>700659603004</t>
  </si>
  <si>
    <t>1593_GRY_S</t>
  </si>
  <si>
    <t>EX0032612929</t>
  </si>
  <si>
    <t>Sun Jul 13 11:51:16 IST 2025</t>
  </si>
  <si>
    <t>5117167825</t>
  </si>
  <si>
    <t>AJI14299</t>
  </si>
  <si>
    <t>Sun Jul 13 12:11:25 IST 2025</t>
  </si>
  <si>
    <t>AF25GJ178203865</t>
  </si>
  <si>
    <t>Sun Jul 13 12:11:26 IST 2025</t>
  </si>
  <si>
    <t>FN1366608837</t>
  </si>
  <si>
    <t>Sun Jul 13 10:47:27 IST 2025</t>
  </si>
  <si>
    <t>5117167822</t>
  </si>
  <si>
    <t>AJI14298</t>
  </si>
  <si>
    <t>Sun Jul 13 12:11:14 IST 2025</t>
  </si>
  <si>
    <t>AF25GJ178203826</t>
  </si>
  <si>
    <t>Sun Jul 13 12:11:15 IST 2025</t>
  </si>
  <si>
    <t>FN6068606143</t>
  </si>
  <si>
    <t>Sun Jul 13 00:14:11 IST 2025</t>
  </si>
  <si>
    <t>5117167820</t>
  </si>
  <si>
    <t>AJI14297</t>
  </si>
  <si>
    <t>Sun Jul 13 12:11:03 IST 2025</t>
  </si>
  <si>
    <t>AF25GJ178203780</t>
  </si>
  <si>
    <t>Sun Jul 13 12:11:09 IST 2025</t>
  </si>
  <si>
    <t>FN3495602941</t>
  </si>
  <si>
    <t>Sun Jul 13 00:20:15 IST 2025</t>
  </si>
  <si>
    <t>5117167821</t>
  </si>
  <si>
    <t>AJI14296</t>
  </si>
  <si>
    <t>Sun Jul 13 12:10:52 IST 2025</t>
  </si>
  <si>
    <t>AF25GJ178203698</t>
  </si>
  <si>
    <t>Sun Jul 13 12:10:53 IST 2025</t>
  </si>
  <si>
    <t>FN1515606405</t>
  </si>
  <si>
    <t>Sun Jul 13 12:02:04 IST 2025</t>
  </si>
  <si>
    <t>5117167829</t>
  </si>
  <si>
    <t>AJI14295</t>
  </si>
  <si>
    <t>Sun Jul 13 12:10:41 IST 2025</t>
  </si>
  <si>
    <t>AF25GJ178203625</t>
  </si>
  <si>
    <t>Sun Jul 13 12:10:42 IST 2025</t>
  </si>
  <si>
    <t>700659603008</t>
  </si>
  <si>
    <t>1592_CRM_XXL</t>
  </si>
  <si>
    <t>FN5667606990</t>
  </si>
  <si>
    <t>Sat Jul 12 15:48:45 IST 2025</t>
  </si>
  <si>
    <t>5117129642</t>
  </si>
  <si>
    <t>AJI14294</t>
  </si>
  <si>
    <t>Sun Jul 13 08:34:31 IST 2025</t>
  </si>
  <si>
    <t>AF25GJ178135903</t>
  </si>
  <si>
    <t>Sun Jul 13 08:34:32 IST 2025</t>
  </si>
  <si>
    <t>FN9958603640</t>
  </si>
  <si>
    <t>Sat Jul 12 22:03:45 IST 2025</t>
  </si>
  <si>
    <t>5117129641</t>
  </si>
  <si>
    <t>AJI14293</t>
  </si>
  <si>
    <t>Sun Jul 13 08:34:19 IST 2025</t>
  </si>
  <si>
    <t>AF25GJ178135847</t>
  </si>
  <si>
    <t>Sun Jul 13 08:34:20 IST 2025</t>
  </si>
  <si>
    <t>FN1188500279</t>
  </si>
  <si>
    <t>Sun Jul 13 03:12:57 IST 2025</t>
  </si>
  <si>
    <t>5117124810</t>
  </si>
  <si>
    <t>AJI14292</t>
  </si>
  <si>
    <t>Sun Jul 13 07:51:53 IST 2025</t>
  </si>
  <si>
    <t>AF25GJ178128804</t>
  </si>
  <si>
    <t>FN2558609177</t>
  </si>
  <si>
    <t>Sun Jul 13 05:33:13 IST 2025</t>
  </si>
  <si>
    <t>5117124823</t>
  </si>
  <si>
    <t>AJI14291</t>
  </si>
  <si>
    <t>Sun Jul 13 07:51:49 IST 2025</t>
  </si>
  <si>
    <t>AF25GJ178128801</t>
  </si>
  <si>
    <t>Sun Jul 13 07:51:50 IST 2025</t>
  </si>
  <si>
    <t>FN2858603933</t>
  </si>
  <si>
    <t>Sun Jul 13 01:15:37 IST 2025</t>
  </si>
  <si>
    <t>5117124796</t>
  </si>
  <si>
    <t>AJI14290</t>
  </si>
  <si>
    <t>Sun Jul 13 07:51:45 IST 2025</t>
  </si>
  <si>
    <t>AF25GJ178128794</t>
  </si>
  <si>
    <t>Sun Jul 13 07:51:46 IST 2025</t>
  </si>
  <si>
    <t>FN2796609747</t>
  </si>
  <si>
    <t>Sun Jul 13 01:50:49 IST 2025</t>
  </si>
  <si>
    <t>5117124811</t>
  </si>
  <si>
    <t>AJI14289</t>
  </si>
  <si>
    <t>Sun Jul 13 07:51:36 IST 2025</t>
  </si>
  <si>
    <t>AF25GJ178128790</t>
  </si>
  <si>
    <t>Sun Jul 13 07:51:37 IST 2025</t>
  </si>
  <si>
    <t>EX0032640092</t>
  </si>
  <si>
    <t>Sat Jul 12 23:15:07 IST 2025</t>
  </si>
  <si>
    <t>5117124799</t>
  </si>
  <si>
    <t>AJI14288</t>
  </si>
  <si>
    <t>Sun Jul 13 07:51:29 IST 2025</t>
  </si>
  <si>
    <t>AF25GJ178128782</t>
  </si>
  <si>
    <t>Sun Jul 13 07:51:30 IST 2025</t>
  </si>
  <si>
    <t>FN6068605855</t>
  </si>
  <si>
    <t>Sun Jul 13 00:12:11 IST 2025</t>
  </si>
  <si>
    <t>5117124798</t>
  </si>
  <si>
    <t>AJI14287</t>
  </si>
  <si>
    <t>Sun Jul 13 07:51:19 IST 2025</t>
  </si>
  <si>
    <t>AF25GJ178128770</t>
  </si>
  <si>
    <t>FN8858607279</t>
  </si>
  <si>
    <t>Sat Jul 12 23:19:52 IST 2025</t>
  </si>
  <si>
    <t>5117124797</t>
  </si>
  <si>
    <t>AJI14286</t>
  </si>
  <si>
    <t>Sun Jul 13 07:51:15 IST 2025</t>
  </si>
  <si>
    <t>AF25GJ178128765</t>
  </si>
  <si>
    <t>FN7497602172</t>
  </si>
  <si>
    <t>Sat Jul 12 20:19:12 IST 2025</t>
  </si>
  <si>
    <t>5117124794</t>
  </si>
  <si>
    <t>AJI14285</t>
  </si>
  <si>
    <t>Sun Jul 13 07:51:11 IST 2025</t>
  </si>
  <si>
    <t>AF25GJ178128759</t>
  </si>
  <si>
    <t>Sun Jul 13 07:51:12 IST 2025</t>
  </si>
  <si>
    <t>FN7068600888</t>
  </si>
  <si>
    <t>Sun Jul 13 00:34:02 IST 2025</t>
  </si>
  <si>
    <t>5117124807</t>
  </si>
  <si>
    <t>AJI14284</t>
  </si>
  <si>
    <t>Sun Jul 13 07:51:05 IST 2025</t>
  </si>
  <si>
    <t>AF25GJ178128753</t>
  </si>
  <si>
    <t>FN1857608414</t>
  </si>
  <si>
    <t>Sun Jul 13 06:33:11 IST 2025</t>
  </si>
  <si>
    <t>5117124795</t>
  </si>
  <si>
    <t>AJI14283</t>
  </si>
  <si>
    <t>Sun Jul 13 07:51:02 IST 2025</t>
  </si>
  <si>
    <t>AF25GJ178128751</t>
  </si>
  <si>
    <t>Sun Jul 13 07:51:03 IST 2025</t>
  </si>
  <si>
    <t>FN8858606785</t>
  </si>
  <si>
    <t>Sat Jul 12 20:24:42 IST 2025</t>
  </si>
  <si>
    <t>5117124792</t>
  </si>
  <si>
    <t>AJI14282</t>
  </si>
  <si>
    <t>Sun Jul 13 07:50:59 IST 2025</t>
  </si>
  <si>
    <t>AF25GJ178128747</t>
  </si>
  <si>
    <t>FN2708603124</t>
  </si>
  <si>
    <t>Sun Jul 13 07:17:01 IST 2025</t>
  </si>
  <si>
    <t>5117124817</t>
  </si>
  <si>
    <t>AJI14281</t>
  </si>
  <si>
    <t>Sun Jul 13 07:50:51 IST 2025</t>
  </si>
  <si>
    <t>AF25GJ178128744</t>
  </si>
  <si>
    <t>FN9958605306</t>
  </si>
  <si>
    <t>Sat Jul 12 20:31:29 IST 2025</t>
  </si>
  <si>
    <t>5117124818</t>
  </si>
  <si>
    <t>AJI14280</t>
  </si>
  <si>
    <t>Sun Jul 13 07:50:43 IST 2025</t>
  </si>
  <si>
    <t>AF25GJ178128738</t>
  </si>
  <si>
    <t>FN8907603415</t>
  </si>
  <si>
    <t>Sat Jul 12 20:44:59 IST 2025</t>
  </si>
  <si>
    <t>5117124803</t>
  </si>
  <si>
    <t>AJI14279</t>
  </si>
  <si>
    <t>Sun Jul 13 07:50:37 IST 2025</t>
  </si>
  <si>
    <t>AF25GJ178128733</t>
  </si>
  <si>
    <t>Sun Jul 13 07:50:38 IST 2025</t>
  </si>
  <si>
    <t>FN5766600127</t>
  </si>
  <si>
    <t>Sat Jul 12 20:58:09 IST 2025</t>
  </si>
  <si>
    <t>5117124815</t>
  </si>
  <si>
    <t>AJI14278</t>
  </si>
  <si>
    <t>Sun Jul 13 07:50:30 IST 2025</t>
  </si>
  <si>
    <t>AF25GJ178128727</t>
  </si>
  <si>
    <t>FN3817600088</t>
  </si>
  <si>
    <t>Sat Jul 12 22:54:16 IST 2025</t>
  </si>
  <si>
    <t>5117124801</t>
  </si>
  <si>
    <t>AJI14277</t>
  </si>
  <si>
    <t>Sun Jul 13 07:50:22 IST 2025</t>
  </si>
  <si>
    <t>AF25GJ178128721</t>
  </si>
  <si>
    <t>Sun Jul 13 07:50:23 IST 2025</t>
  </si>
  <si>
    <t>FN2227602889</t>
  </si>
  <si>
    <t>Sun Jul 13 04:44:46 IST 2025</t>
  </si>
  <si>
    <t>5117124793</t>
  </si>
  <si>
    <t>AJI14276</t>
  </si>
  <si>
    <t>Sun Jul 13 07:50:16 IST 2025</t>
  </si>
  <si>
    <t>AF25GJ178128714</t>
  </si>
  <si>
    <t>700210515013</t>
  </si>
  <si>
    <t>1324(AJIO)_PNK_M</t>
  </si>
  <si>
    <t>FN3438607022</t>
  </si>
  <si>
    <t>Sat Jul 12 19:58:09 IST 2025</t>
  </si>
  <si>
    <t>5117124814</t>
  </si>
  <si>
    <t>AJI14275</t>
  </si>
  <si>
    <t>Sun Jul 13 07:50:11 IST 2025</t>
  </si>
  <si>
    <t>AF25GJ178128710</t>
  </si>
  <si>
    <t>FN2068601758</t>
  </si>
  <si>
    <t>Sat Jul 12 21:57:18 IST 2025</t>
  </si>
  <si>
    <t>5117124813</t>
  </si>
  <si>
    <t>AJI14274</t>
  </si>
  <si>
    <t>Sun Jul 13 07:50:09 IST 2025</t>
  </si>
  <si>
    <t>AF25GJ178128708</t>
  </si>
  <si>
    <t>Sun Jul 13 07:50:10 IST 2025</t>
  </si>
  <si>
    <t>FN9426606518</t>
  </si>
  <si>
    <t>Sat Jul 12 19:49:46 IST 2025</t>
  </si>
  <si>
    <t>5117085020</t>
  </si>
  <si>
    <t>Sat Jul 12 00:00:00 IST 2025</t>
  </si>
  <si>
    <t>AJI14273</t>
  </si>
  <si>
    <t>Sun Jul 13 07:48:15 IST 2025</t>
  </si>
  <si>
    <t>AF25GJ178128625</t>
  </si>
  <si>
    <t>Sun Jul 13 07:48:16 IST 2025</t>
  </si>
  <si>
    <t>FN4808609192</t>
  </si>
  <si>
    <t>Sat Jul 12 18:21:10 IST 2025</t>
  </si>
  <si>
    <t>5117082319</t>
  </si>
  <si>
    <t>AJI14272</t>
  </si>
  <si>
    <t>Sat Jul 12 19:10:44 IST 2025</t>
  </si>
  <si>
    <t>AF25GJ178079565</t>
  </si>
  <si>
    <t>Sat Jul 12 19:10:45 IST 2025</t>
  </si>
  <si>
    <t>FN5958600241</t>
  </si>
  <si>
    <t>Sat Jul 12 18:28:38 IST 2025</t>
  </si>
  <si>
    <t>5117082317</t>
  </si>
  <si>
    <t>AJI14271</t>
  </si>
  <si>
    <t>Sat Jul 12 19:10:32 IST 2025</t>
  </si>
  <si>
    <t>AF25GJ178079541</t>
  </si>
  <si>
    <t>Sat Jul 12 19:10:38 IST 2025</t>
  </si>
  <si>
    <t>FN3958601775</t>
  </si>
  <si>
    <t>Sat Jul 12 17:26:49 IST 2025</t>
  </si>
  <si>
    <t>5117067410</t>
  </si>
  <si>
    <t>AJI14270</t>
  </si>
  <si>
    <t>Sat Jul 12 17:47:52 IST 2025</t>
  </si>
  <si>
    <t>AF25GJ178058719</t>
  </si>
  <si>
    <t>FN6737607544</t>
  </si>
  <si>
    <t>Sat Jul 12 17:35:33 IST 2025</t>
  </si>
  <si>
    <t>5117067405</t>
  </si>
  <si>
    <t>AJI14269</t>
  </si>
  <si>
    <t>Sat Jul 12 17:47:30 IST 2025</t>
  </si>
  <si>
    <t>AF25GJ178058659</t>
  </si>
  <si>
    <t>FN4877209326</t>
  </si>
  <si>
    <t>Sat Jul 12 11:19:59 IST 2025</t>
  </si>
  <si>
    <t>5117066666</t>
  </si>
  <si>
    <t>AJI14268</t>
  </si>
  <si>
    <t>Sat Jul 12 17:41:19 IST 2025</t>
  </si>
  <si>
    <t>AF25GJ178057226</t>
  </si>
  <si>
    <t>FN1858608103</t>
  </si>
  <si>
    <t>Sat Jul 12 11:20:15 IST 2025</t>
  </si>
  <si>
    <t>5117066667</t>
  </si>
  <si>
    <t>AJI14267</t>
  </si>
  <si>
    <t>Sat Jul 12 17:41:07 IST 2025</t>
  </si>
  <si>
    <t>AF25GJ178057157</t>
  </si>
  <si>
    <t>Sat Jul 12 17:41:08 IST 2025</t>
  </si>
  <si>
    <t>FN7858601588</t>
  </si>
  <si>
    <t>Sat Jul 12 15:38:20 IST 2025</t>
  </si>
  <si>
    <t>5117066674</t>
  </si>
  <si>
    <t>AJI14266</t>
  </si>
  <si>
    <t>Sat Jul 12 17:36:03 IST 2025</t>
  </si>
  <si>
    <t>AF25GJ178055808</t>
  </si>
  <si>
    <t>FN6440601377</t>
  </si>
  <si>
    <t>Sat Jul 12 13:57:28 IST 2025</t>
  </si>
  <si>
    <t>5117066673</t>
  </si>
  <si>
    <t>AJI14265</t>
  </si>
  <si>
    <t>Sat Jul 12 17:35:51 IST 2025</t>
  </si>
  <si>
    <t>AF25GJ178055758</t>
  </si>
  <si>
    <t>Sat Jul 12 17:35:52 IST 2025</t>
  </si>
  <si>
    <t>EX0032628380</t>
  </si>
  <si>
    <t>Sat Jul 12 16:35:05 IST 2025</t>
  </si>
  <si>
    <t>5117066669</t>
  </si>
  <si>
    <t>AJI14264</t>
  </si>
  <si>
    <t>Sat Jul 12 17:35:50 IST 2025</t>
  </si>
  <si>
    <t>AF25GJ178055752</t>
  </si>
  <si>
    <t>FN1758608863</t>
  </si>
  <si>
    <t>Sat Jul 12 15:40:02 IST 2025</t>
  </si>
  <si>
    <t>5117066670</t>
  </si>
  <si>
    <t>AJI14263</t>
  </si>
  <si>
    <t>Sat Jul 12 17:35:40 IST 2025</t>
  </si>
  <si>
    <t>AF25GJ178055709</t>
  </si>
  <si>
    <t>FN4708607658</t>
  </si>
  <si>
    <t>Sat Jul 12 15:41:59 IST 2025</t>
  </si>
  <si>
    <t>5117066671</t>
  </si>
  <si>
    <t>AJI14262</t>
  </si>
  <si>
    <t>Sat Jul 12 17:35:39 IST 2025</t>
  </si>
  <si>
    <t>AF25GJ178055702</t>
  </si>
  <si>
    <t>FN6858609214</t>
  </si>
  <si>
    <t>Sat Jul 12 14:10:50 IST 2025</t>
  </si>
  <si>
    <t>5117066672</t>
  </si>
  <si>
    <t>AJI14261</t>
  </si>
  <si>
    <t>Sat Jul 12 17:35:29 IST 2025</t>
  </si>
  <si>
    <t>AF25GJ178055676</t>
  </si>
  <si>
    <t>Sat Jul 12 17:35:30 IST 2025</t>
  </si>
  <si>
    <t>FN1858603683</t>
  </si>
  <si>
    <t>Sat Jul 12 11:21:11 IST 2025</t>
  </si>
  <si>
    <t>5117066205</t>
  </si>
  <si>
    <t>AJI14260</t>
  </si>
  <si>
    <t>Sat Jul 12 17:33:01 IST 2025</t>
  </si>
  <si>
    <t>AF25GJ178055020</t>
  </si>
  <si>
    <t>FN4585605770</t>
  </si>
  <si>
    <t>Sat Jul 12 15:29:13 IST 2025</t>
  </si>
  <si>
    <t>5117066209</t>
  </si>
  <si>
    <t>AJI14259</t>
  </si>
  <si>
    <t>Sat Jul 12 17:32:49 IST 2025</t>
  </si>
  <si>
    <t>AF25GJ178054971</t>
  </si>
  <si>
    <t>Sat Jul 12 17:32:50 IST 2025</t>
  </si>
  <si>
    <t>FN3287607717</t>
  </si>
  <si>
    <t>Sat Jul 12 13:04:09 IST 2025</t>
  </si>
  <si>
    <t>5117066207</t>
  </si>
  <si>
    <t>AJI14258</t>
  </si>
  <si>
    <t>Sat Jul 12 17:32:38 IST 2025</t>
  </si>
  <si>
    <t>AF25GJ178054935</t>
  </si>
  <si>
    <t>FN1597606758</t>
  </si>
  <si>
    <t>Sat Jul 12 16:02:31 IST 2025</t>
  </si>
  <si>
    <t>5117066203</t>
  </si>
  <si>
    <t>AJI14257</t>
  </si>
  <si>
    <t>Sat Jul 12 17:32:27 IST 2025</t>
  </si>
  <si>
    <t>AF25GJ178054895</t>
  </si>
  <si>
    <t>FN3838605587</t>
  </si>
  <si>
    <t>Sat Jul 12 12:21:58 IST 2025</t>
  </si>
  <si>
    <t>5117066206</t>
  </si>
  <si>
    <t>AJI14256</t>
  </si>
  <si>
    <t>Sat Jul 12 17:32:16 IST 2025</t>
  </si>
  <si>
    <t>AF25GJ178054842</t>
  </si>
  <si>
    <t>FN4348608820</t>
  </si>
  <si>
    <t>Sat Jul 12 14:50:57 IST 2025</t>
  </si>
  <si>
    <t>5117066202</t>
  </si>
  <si>
    <t>AJI14255</t>
  </si>
  <si>
    <t>Sat Jul 12 17:32:04 IST 2025</t>
  </si>
  <si>
    <t>AF25GJ178054765</t>
  </si>
  <si>
    <t>FN6458604763</t>
  </si>
  <si>
    <t>Sat Jul 12 11:03:39 IST 2025</t>
  </si>
  <si>
    <t>5117066208</t>
  </si>
  <si>
    <t>AJI14254</t>
  </si>
  <si>
    <t>Sat Jul 12 17:31:53 IST 2025</t>
  </si>
  <si>
    <t>AF25GJ178054708</t>
  </si>
  <si>
    <t>FN9758606490</t>
  </si>
  <si>
    <t>Sat Jul 12 10:05:08 IST 2025</t>
  </si>
  <si>
    <t>5117008414</t>
  </si>
  <si>
    <t>AJI14253</t>
  </si>
  <si>
    <t>Sat Jul 12 10:11:42 IST 2025</t>
  </si>
  <si>
    <t>AF25GJ177922874</t>
  </si>
  <si>
    <t>Sat Jul 12 10:11:43 IST 2025</t>
  </si>
  <si>
    <t>FN1456605513</t>
  </si>
  <si>
    <t>Sat Jul 12 09:15:56 IST 2025</t>
  </si>
  <si>
    <t>5117004118</t>
  </si>
  <si>
    <t>AJI14252</t>
  </si>
  <si>
    <t>Sat Jul 12 09:54:02 IST 2025</t>
  </si>
  <si>
    <t>AF25GJ177914313</t>
  </si>
  <si>
    <t>Sat Jul 12 09:54:07 IST 2025</t>
  </si>
  <si>
    <t>FN6758603551</t>
  </si>
  <si>
    <t>Sat Jul 12 08:24:18 IST 2025</t>
  </si>
  <si>
    <t>5116983162</t>
  </si>
  <si>
    <t>AJI14251</t>
  </si>
  <si>
    <t>Sat Jul 12 09:49:39 IST 2025</t>
  </si>
  <si>
    <t>AF25GJ177912073</t>
  </si>
  <si>
    <t>Sat Jul 12 09:49:40 IST 2025</t>
  </si>
  <si>
    <t>FN9787604548</t>
  </si>
  <si>
    <t>Sat Jul 12 08:28:34 IST 2025</t>
  </si>
  <si>
    <t>5116983161</t>
  </si>
  <si>
    <t>AJI14250</t>
  </si>
  <si>
    <t>Sat Jul 12 09:49:28 IST 2025</t>
  </si>
  <si>
    <t>AF25GJ177911869</t>
  </si>
  <si>
    <t>Sat Jul 12 09:49:33 IST 2025</t>
  </si>
  <si>
    <t>EX0032587960</t>
  </si>
  <si>
    <t>Fri Jul 11 11:40:05 IST 2025</t>
  </si>
  <si>
    <t>5116974656</t>
  </si>
  <si>
    <t>AJI14249</t>
  </si>
  <si>
    <t>Sat Jul 12 08:40:56 IST 2025</t>
  </si>
  <si>
    <t>AF25GJ177878292</t>
  </si>
  <si>
    <t>Sat Jul 12 08:40:58 IST 2025</t>
  </si>
  <si>
    <t>FN2027603475</t>
  </si>
  <si>
    <t>Fri Jul 11 23:23:07 IST 2025</t>
  </si>
  <si>
    <t>5116974675</t>
  </si>
  <si>
    <t>AJI14248</t>
  </si>
  <si>
    <t>Sat Jul 12 08:40:44 IST 2025</t>
  </si>
  <si>
    <t>AF25GJ177878260</t>
  </si>
  <si>
    <t>Sat Jul 12 08:40:45 IST 2025</t>
  </si>
  <si>
    <t>FN1758603566</t>
  </si>
  <si>
    <t>Fri Jul 11 23:46:05 IST 2025</t>
  </si>
  <si>
    <t>5116970372</t>
  </si>
  <si>
    <t>AJI14232</t>
  </si>
  <si>
    <t>Sat Jul 12 07:48:35 IST 2025</t>
  </si>
  <si>
    <t>AF25GJ177867670</t>
  </si>
  <si>
    <t>FN3511609335</t>
  </si>
  <si>
    <t>Fri Jul 11 20:36:28 IST 2025</t>
  </si>
  <si>
    <t>5116970352</t>
  </si>
  <si>
    <t>AJI14247</t>
  </si>
  <si>
    <t>Sat Jul 12 07:48:26 IST 2025</t>
  </si>
  <si>
    <t>AF25GJ177867635</t>
  </si>
  <si>
    <t>FN4538603016</t>
  </si>
  <si>
    <t>Fri Jul 11 22:28:09 IST 2025</t>
  </si>
  <si>
    <t>5116970368</t>
  </si>
  <si>
    <t>AJI14246</t>
  </si>
  <si>
    <t>Sat Jul 12 07:47:57 IST 2025</t>
  </si>
  <si>
    <t>AF25GJ177867529</t>
  </si>
  <si>
    <t>FN7464601502</t>
  </si>
  <si>
    <t>Fri Jul 11 22:54:42 IST 2025</t>
  </si>
  <si>
    <t>5116970364</t>
  </si>
  <si>
    <t>AJI14245</t>
  </si>
  <si>
    <t>Sat Jul 12 07:47:46 IST 2025</t>
  </si>
  <si>
    <t>AF25GJ177867485</t>
  </si>
  <si>
    <t>FN2984606594</t>
  </si>
  <si>
    <t>Fri Jul 11 23:00:23 IST 2025</t>
  </si>
  <si>
    <t>5116970365</t>
  </si>
  <si>
    <t>AJI14244</t>
  </si>
  <si>
    <t>Sat Jul 12 07:47:37 IST 2025</t>
  </si>
  <si>
    <t>AF25GJ177867439</t>
  </si>
  <si>
    <t>FN9658605259</t>
  </si>
  <si>
    <t>Fri Jul 11 23:02:24 IST 2025</t>
  </si>
  <si>
    <t>5116970367</t>
  </si>
  <si>
    <t>AJI14243</t>
  </si>
  <si>
    <t>Sat Jul 12 07:47:26 IST 2025</t>
  </si>
  <si>
    <t>AF25GJ177867384</t>
  </si>
  <si>
    <t>Sat Jul 12 07:47:27 IST 2025</t>
  </si>
  <si>
    <t>FN4096601942</t>
  </si>
  <si>
    <t>Fri Jul 11 18:59:21 IST 2025</t>
  </si>
  <si>
    <t>5116970363</t>
  </si>
  <si>
    <t>AJI14242</t>
  </si>
  <si>
    <t>Sat Jul 12 07:47:24 IST 2025</t>
  </si>
  <si>
    <t>AF25GJ177867373</t>
  </si>
  <si>
    <t>FN4281505465</t>
  </si>
  <si>
    <t>Fri Jul 11 19:03:42 IST 2025</t>
  </si>
  <si>
    <t>5116970362</t>
  </si>
  <si>
    <t>AJI14241</t>
  </si>
  <si>
    <t>Sat Jul 12 07:47:21 IST 2025</t>
  </si>
  <si>
    <t>AF25GJ177867362</t>
  </si>
  <si>
    <t>FN2758609249</t>
  </si>
  <si>
    <t>Sat Jul 12 01:13:01 IST 2025</t>
  </si>
  <si>
    <t>5116970359</t>
  </si>
  <si>
    <t>AJI14240</t>
  </si>
  <si>
    <t>Sat Jul 12 07:47:09 IST 2025</t>
  </si>
  <si>
    <t>AF25GJ177867321</t>
  </si>
  <si>
    <t>Sat Jul 12 07:47:11 IST 2025</t>
  </si>
  <si>
    <t>FN5658605875</t>
  </si>
  <si>
    <t>Fri Jul 11 21:12:22 IST 2025</t>
  </si>
  <si>
    <t>5116970371</t>
  </si>
  <si>
    <t>AJI14239</t>
  </si>
  <si>
    <t>Sat Jul 12 07:47:05 IST 2025</t>
  </si>
  <si>
    <t>AF25GJ177867314</t>
  </si>
  <si>
    <t>FN0283602217</t>
  </si>
  <si>
    <t>Sat Jul 12 00:10:24 IST 2025</t>
  </si>
  <si>
    <t>5116970370</t>
  </si>
  <si>
    <t>AJI14238</t>
  </si>
  <si>
    <t>Sat Jul 12 07:46:54 IST 2025</t>
  </si>
  <si>
    <t>AF25GJ177867265</t>
  </si>
  <si>
    <t>Sat Jul 12 07:47:00 IST 2025</t>
  </si>
  <si>
    <t>701045948028</t>
  </si>
  <si>
    <t>1649-BRN_36</t>
  </si>
  <si>
    <t>701045948035</t>
  </si>
  <si>
    <t>1649-DBRN_34</t>
  </si>
  <si>
    <t>FN3535601507</t>
  </si>
  <si>
    <t>Fri Jul 11 21:47:51 IST 2025</t>
  </si>
  <si>
    <t>5116970358</t>
  </si>
  <si>
    <t>AJI14237</t>
  </si>
  <si>
    <t>Sat Jul 12 07:46:46 IST 2025</t>
  </si>
  <si>
    <t>AF25GJ177867229</t>
  </si>
  <si>
    <t>Sat Jul 12 07:46:51 IST 2025</t>
  </si>
  <si>
    <t>FN3786609694</t>
  </si>
  <si>
    <t>Sat Jul 12 00:38:08 IST 2025</t>
  </si>
  <si>
    <t>5116970356</t>
  </si>
  <si>
    <t>AJI14236</t>
  </si>
  <si>
    <t>Sat Jul 12 07:46:10 IST 2025</t>
  </si>
  <si>
    <t>AF25GJ177867079</t>
  </si>
  <si>
    <t>Sat Jul 12 07:46:16 IST 2025</t>
  </si>
  <si>
    <t>701045948013</t>
  </si>
  <si>
    <t>1649-PCH_32</t>
  </si>
  <si>
    <t>FN0856202058</t>
  </si>
  <si>
    <t>Fri Jul 11 23:23:06 IST 2025</t>
  </si>
  <si>
    <t>5116970349</t>
  </si>
  <si>
    <t>AJI14235</t>
  </si>
  <si>
    <t>Sat Jul 12 07:46:04 IST 2025</t>
  </si>
  <si>
    <t>AF25GJ177867037</t>
  </si>
  <si>
    <t>FN5758609430</t>
  </si>
  <si>
    <t>Sat Jul 12 04:11:04 IST 2025</t>
  </si>
  <si>
    <t>5116970357</t>
  </si>
  <si>
    <t>AJI14234</t>
  </si>
  <si>
    <t>Sat Jul 12 07:46:03 IST 2025</t>
  </si>
  <si>
    <t>AF25GJ177867036</t>
  </si>
  <si>
    <t>FN0758608730</t>
  </si>
  <si>
    <t>Sat Jul 12 00:47:49 IST 2025</t>
  </si>
  <si>
    <t>5116970353</t>
  </si>
  <si>
    <t>AJI14233</t>
  </si>
  <si>
    <t>Sat Jul 12 07:45:59 IST 2025</t>
  </si>
  <si>
    <t>AF25GJ177867028</t>
  </si>
  <si>
    <t>Sat Jul 12 07:46:00 IST 2025</t>
  </si>
  <si>
    <t>FN6296605418</t>
  </si>
  <si>
    <t>Fri Jul 11 20:22:10 IST 2025</t>
  </si>
  <si>
    <t>5116970350</t>
  </si>
  <si>
    <t>AJI14231</t>
  </si>
  <si>
    <t>Sat Jul 12 07:45:22 IST 2025</t>
  </si>
  <si>
    <t>AF25GJ177866985</t>
  </si>
  <si>
    <t>Sat Jul 12 07:45:23 IST 2025</t>
  </si>
  <si>
    <t>FN0117606157</t>
  </si>
  <si>
    <t>Fri Jul 11 17:51:27 IST 2025</t>
  </si>
  <si>
    <t>5116921106</t>
  </si>
  <si>
    <t>Fri Jul 11 00:00:00 IST 2025</t>
  </si>
  <si>
    <t>AJI14230</t>
  </si>
  <si>
    <t>Fri Jul 11 18:47:17 IST 2025</t>
  </si>
  <si>
    <t>AF25GJ177812151</t>
  </si>
  <si>
    <t>Fri Jul 11 18:47:18 IST 2025</t>
  </si>
  <si>
    <t>FN6458608600</t>
  </si>
  <si>
    <t>Fri Jul 11 18:23:13 IST 2025</t>
  </si>
  <si>
    <t>5116921105</t>
  </si>
  <si>
    <t>AJI14229</t>
  </si>
  <si>
    <t>Fri Jul 11 18:47:06 IST 2025</t>
  </si>
  <si>
    <t>AF25GJ177812118</t>
  </si>
  <si>
    <t>FN0158601329</t>
  </si>
  <si>
    <t>Fri Jul 11 16:18:02 IST 2025</t>
  </si>
  <si>
    <t>5116909370</t>
  </si>
  <si>
    <t>AJI14228</t>
  </si>
  <si>
    <t>Fri Jul 11 17:00:23 IST 2025</t>
  </si>
  <si>
    <t>AF25GJ177785153</t>
  </si>
  <si>
    <t>700211961053</t>
  </si>
  <si>
    <t>1427(AJIO)_NBL_L</t>
  </si>
  <si>
    <t>FN0400400101</t>
  </si>
  <si>
    <t>Fri Jul 11 16:37:18 IST 2025</t>
  </si>
  <si>
    <t>5116909369</t>
  </si>
  <si>
    <t>AJI14227</t>
  </si>
  <si>
    <t>Fri Jul 11 17:00:11 IST 2025</t>
  </si>
  <si>
    <t>AF25GJ177785114</t>
  </si>
  <si>
    <t>Fri Jul 11 17:00:12 IST 2025</t>
  </si>
  <si>
    <t>FN4224606212</t>
  </si>
  <si>
    <t>Fri Jul 11 13:16:21 IST 2025</t>
  </si>
  <si>
    <t>5116909368</t>
  </si>
  <si>
    <t>AJI14226</t>
  </si>
  <si>
    <t>Fri Jul 11 16:59:59 IST 2025</t>
  </si>
  <si>
    <t>AF25GJ177785055</t>
  </si>
  <si>
    <t>FN1558602083</t>
  </si>
  <si>
    <t>Fri Jul 11 13:51:19 IST 2025</t>
  </si>
  <si>
    <t>5116909383</t>
  </si>
  <si>
    <t>AJI14225</t>
  </si>
  <si>
    <t>Fri Jul 11 16:46:48 IST 2025</t>
  </si>
  <si>
    <t>AF25GJ177781191</t>
  </si>
  <si>
    <t>FN2458601296</t>
  </si>
  <si>
    <t>Fri Jul 11 08:48:06 IST 2025</t>
  </si>
  <si>
    <t>5116909381</t>
  </si>
  <si>
    <t>AJI14223</t>
  </si>
  <si>
    <t>Fri Jul 11 16:46:43 IST 2025</t>
  </si>
  <si>
    <t>AF25GJ177781178</t>
  </si>
  <si>
    <t>Fri Jul 11 16:46:44 IST 2025</t>
  </si>
  <si>
    <t>FN1358609446</t>
  </si>
  <si>
    <t>Fri Jul 11 09:14:45 IST 2025</t>
  </si>
  <si>
    <t>5116909379</t>
  </si>
  <si>
    <t>AJI14222</t>
  </si>
  <si>
    <t>Fri Jul 11 16:46:32 IST 2025</t>
  </si>
  <si>
    <t>AF25GJ177781151</t>
  </si>
  <si>
    <t>Fri Jul 11 16:46:33 IST 2025</t>
  </si>
  <si>
    <t>FN4346603102</t>
  </si>
  <si>
    <t>Fri Jul 11 09:23:40 IST 2025</t>
  </si>
  <si>
    <t>5116909380</t>
  </si>
  <si>
    <t>AJI14221</t>
  </si>
  <si>
    <t>Fri Jul 11 16:46:21 IST 2025</t>
  </si>
  <si>
    <t>AF25GJ177781107</t>
  </si>
  <si>
    <t>FN1898304516</t>
  </si>
  <si>
    <t>Fri Jul 11 15:32:00 IST 2025</t>
  </si>
  <si>
    <t>5116909378</t>
  </si>
  <si>
    <t>AJI14219</t>
  </si>
  <si>
    <t>Fri Jul 11 16:46:19 IST 2025</t>
  </si>
  <si>
    <t>AF25GJ177781100</t>
  </si>
  <si>
    <t>FN2595400933</t>
  </si>
  <si>
    <t>Fri Jul 11 14:08:24 IST 2025</t>
  </si>
  <si>
    <t>5116909382</t>
  </si>
  <si>
    <t>AJI14220</t>
  </si>
  <si>
    <t>Fri Jul 11 16:46:18 IST 2025</t>
  </si>
  <si>
    <t>AF25GJ177781096</t>
  </si>
  <si>
    <t>FN7458607724</t>
  </si>
  <si>
    <t>Fri Jul 11 11:48:13 IST 2025</t>
  </si>
  <si>
    <t>5116909377</t>
  </si>
  <si>
    <t>AJI14218</t>
  </si>
  <si>
    <t>Fri Jul 11 16:46:08 IST 2025</t>
  </si>
  <si>
    <t>AF25GJ177781043</t>
  </si>
  <si>
    <t>Fri Jul 11 16:46:09 IST 2025</t>
  </si>
  <si>
    <t>FN4458604930</t>
  </si>
  <si>
    <t>Fri Jul 11 09:44:44 IST 2025</t>
  </si>
  <si>
    <t>5116909374</t>
  </si>
  <si>
    <t>AJI14217</t>
  </si>
  <si>
    <t>Fri Jul 11 16:45:58 IST 2025</t>
  </si>
  <si>
    <t>AF25GJ177781013</t>
  </si>
  <si>
    <t>Fri Jul 11 16:45:59 IST 2025</t>
  </si>
  <si>
    <t>FN4634603618</t>
  </si>
  <si>
    <t>Fri Jul 11 11:49:20 IST 2025</t>
  </si>
  <si>
    <t>5116909376</t>
  </si>
  <si>
    <t>AJI14216</t>
  </si>
  <si>
    <t>Fri Jul 11 16:45:57 IST 2025</t>
  </si>
  <si>
    <t>AF25GJ177781001</t>
  </si>
  <si>
    <t>FN8038607363</t>
  </si>
  <si>
    <t>Fri Jul 11 13:34:57 IST 2025</t>
  </si>
  <si>
    <t>5116909373</t>
  </si>
  <si>
    <t>AJI14215</t>
  </si>
  <si>
    <t>Fri Jul 11 16:45:49 IST 2025</t>
  </si>
  <si>
    <t>AF25GJ177780970</t>
  </si>
  <si>
    <t>FN5866605071</t>
  </si>
  <si>
    <t>Fri Jul 11 13:35:23 IST 2025</t>
  </si>
  <si>
    <t>5116909367</t>
  </si>
  <si>
    <t>AJI14214</t>
  </si>
  <si>
    <t>Fri Jul 11 16:45:38 IST 2025</t>
  </si>
  <si>
    <t>AF25GJ177780936</t>
  </si>
  <si>
    <t>FN3994604930</t>
  </si>
  <si>
    <t>Fri Jul 11 13:40:02 IST 2025</t>
  </si>
  <si>
    <t>5116909372</t>
  </si>
  <si>
    <t>AJI14213</t>
  </si>
  <si>
    <t>Fri Jul 11 16:45:33 IST 2025</t>
  </si>
  <si>
    <t>AF25GJ177780916</t>
  </si>
  <si>
    <t>FN4558609369</t>
  </si>
  <si>
    <t>Fri Jul 11 16:17:07 IST 2025</t>
  </si>
  <si>
    <t>5116909371</t>
  </si>
  <si>
    <t>AJI14212</t>
  </si>
  <si>
    <t>Fri Jul 11 16:45:30 IST 2025</t>
  </si>
  <si>
    <t>AF25GJ177780908</t>
  </si>
  <si>
    <t>FN1908608813</t>
  </si>
  <si>
    <t>Fri Jul 11 03:53:54 IST 2025</t>
  </si>
  <si>
    <t>5116827793</t>
  </si>
  <si>
    <t>AJI14211</t>
  </si>
  <si>
    <t>Fri Jul 11 08:49:15 IST 2025</t>
  </si>
  <si>
    <t>AF25GJ177624621</t>
  </si>
  <si>
    <t>Fri Jul 11 08:49:21 IST 2025</t>
  </si>
  <si>
    <t>FN9696600611</t>
  </si>
  <si>
    <t>Fri Jul 11 00:29:14 IST 2025</t>
  </si>
  <si>
    <t>5116822194</t>
  </si>
  <si>
    <t>AJI14210</t>
  </si>
  <si>
    <t>Fri Jul 11 08:17:24 IST 2025</t>
  </si>
  <si>
    <t>AF25GJ177615316</t>
  </si>
  <si>
    <t>FN6597600956</t>
  </si>
  <si>
    <t>Thu Jul 10 23:40:31 IST 2025</t>
  </si>
  <si>
    <t>5116825191</t>
  </si>
  <si>
    <t>AJI14209</t>
  </si>
  <si>
    <t>Fri Jul 11 08:15:55 IST 2025</t>
  </si>
  <si>
    <t>AF25GJ177614879</t>
  </si>
  <si>
    <t>FN8147600075</t>
  </si>
  <si>
    <t>Thu Jul 10 21:36:22 IST 2025</t>
  </si>
  <si>
    <t>5116825190</t>
  </si>
  <si>
    <t>AJI14208</t>
  </si>
  <si>
    <t>Fri Jul 11 08:15:44 IST 2025</t>
  </si>
  <si>
    <t>AF25GJ177614820</t>
  </si>
  <si>
    <t>Fri Jul 11 08:15:45 IST 2025</t>
  </si>
  <si>
    <t>FN4438609106</t>
  </si>
  <si>
    <t>Thu Jul 10 22:56:40 IST 2025</t>
  </si>
  <si>
    <t>5116825193</t>
  </si>
  <si>
    <t>AJI14207</t>
  </si>
  <si>
    <t>Fri Jul 11 08:15:33 IST 2025</t>
  </si>
  <si>
    <t>AF25GJ177614582</t>
  </si>
  <si>
    <t>Fri Jul 11 08:15:35 IST 2025</t>
  </si>
  <si>
    <t>FN2566604899</t>
  </si>
  <si>
    <t>Thu Jul 10 10:34:26 IST 2025</t>
  </si>
  <si>
    <t>5116823776</t>
  </si>
  <si>
    <t>AJI14206</t>
  </si>
  <si>
    <t>Fri Jul 11 08:12:40 IST 2025</t>
  </si>
  <si>
    <t>AF25GJ177614053</t>
  </si>
  <si>
    <t>Fri Jul 11 08:12:41 IST 2025</t>
  </si>
  <si>
    <t>FN8718607847</t>
  </si>
  <si>
    <t>Thu Jul 10 10:24:43 IST 2025</t>
  </si>
  <si>
    <t>5116823783</t>
  </si>
  <si>
    <t>AJI14205</t>
  </si>
  <si>
    <t>Fri Jul 11 08:12:29 IST 2025</t>
  </si>
  <si>
    <t>AF25GJ177614035</t>
  </si>
  <si>
    <t>FN0058600743</t>
  </si>
  <si>
    <t>Thu Jul 10 23:15:51 IST 2025</t>
  </si>
  <si>
    <t>5116822208</t>
  </si>
  <si>
    <t>AJI14204</t>
  </si>
  <si>
    <t>Fri Jul 11 08:03:08 IST 2025</t>
  </si>
  <si>
    <t>AF25GJ177612011</t>
  </si>
  <si>
    <t>701199126012</t>
  </si>
  <si>
    <t>AJI-1658-BRN_M</t>
  </si>
  <si>
    <t>FN7397607129</t>
  </si>
  <si>
    <t>Thu Jul 10 20:19:19 IST 2025</t>
  </si>
  <si>
    <t>5116822206</t>
  </si>
  <si>
    <t>AJI14203</t>
  </si>
  <si>
    <t>Fri Jul 11 08:03:02 IST 2025</t>
  </si>
  <si>
    <t>AF25GJ177612004</t>
  </si>
  <si>
    <t>Fri Jul 11 08:03:03 IST 2025</t>
  </si>
  <si>
    <t>EX0032605227</t>
  </si>
  <si>
    <t>Thu Jul 10 20:30:13 IST 2025</t>
  </si>
  <si>
    <t>5116822207</t>
  </si>
  <si>
    <t>AJI14202</t>
  </si>
  <si>
    <t>Fri Jul 11 08:02:57 IST 2025</t>
  </si>
  <si>
    <t>AF25GJ177611996</t>
  </si>
  <si>
    <t>FN9358602409</t>
  </si>
  <si>
    <t>Fri Jul 11 02:17:24 IST 2025</t>
  </si>
  <si>
    <t>5116822205</t>
  </si>
  <si>
    <t>AJI14201</t>
  </si>
  <si>
    <t>Fri Jul 11 08:02:51 IST 2025</t>
  </si>
  <si>
    <t>AF25GJ177611993</t>
  </si>
  <si>
    <t>EX0032611071</t>
  </si>
  <si>
    <t>Thu Jul 10 21:20:15 IST 2025</t>
  </si>
  <si>
    <t>5116822203</t>
  </si>
  <si>
    <t>AJI14200</t>
  </si>
  <si>
    <t>Fri Jul 11 08:02:46 IST 2025</t>
  </si>
  <si>
    <t>AF25GJ177611990</t>
  </si>
  <si>
    <t>Fri Jul 11 08:02:48 IST 2025</t>
  </si>
  <si>
    <t>FN3917604666</t>
  </si>
  <si>
    <t>Thu Jul 10 21:28:31 IST 2025</t>
  </si>
  <si>
    <t>5116822202</t>
  </si>
  <si>
    <t>AJI14199</t>
  </si>
  <si>
    <t>Fri Jul 11 08:02:36 IST 2025</t>
  </si>
  <si>
    <t>AF25GJ177611961</t>
  </si>
  <si>
    <t>FN7358603803</t>
  </si>
  <si>
    <t>Fri Jul 11 01:20:32 IST 2025</t>
  </si>
  <si>
    <t>5116822201</t>
  </si>
  <si>
    <t>AJI14198</t>
  </si>
  <si>
    <t>Fri Jul 11 08:02:26 IST 2025</t>
  </si>
  <si>
    <t>AF25GJ177611944</t>
  </si>
  <si>
    <t>700659603012</t>
  </si>
  <si>
    <t>1590_AQBL_L</t>
  </si>
  <si>
    <t>FN7158600402</t>
  </si>
  <si>
    <t>Fri Jul 11 01:21:11 IST 2025</t>
  </si>
  <si>
    <t>5116822199</t>
  </si>
  <si>
    <t>AJI14197</t>
  </si>
  <si>
    <t>Fri Jul 11 08:02:14 IST 2025</t>
  </si>
  <si>
    <t>AF25GJ177611921</t>
  </si>
  <si>
    <t>Fri Jul 11 08:02:15 IST 2025</t>
  </si>
  <si>
    <t>FN4148609857</t>
  </si>
  <si>
    <t>Fri Jul 11 03:47:15 IST 2025</t>
  </si>
  <si>
    <t>5116822204</t>
  </si>
  <si>
    <t>AJI14196</t>
  </si>
  <si>
    <t>Fri Jul 11 08:02:10 IST 2025</t>
  </si>
  <si>
    <t>AF25GJ177611915</t>
  </si>
  <si>
    <t>Fri Jul 11 08:02:11 IST 2025</t>
  </si>
  <si>
    <t>FN0955606292</t>
  </si>
  <si>
    <t>Thu Jul 10 22:15:08 IST 2025</t>
  </si>
  <si>
    <t>5116822200</t>
  </si>
  <si>
    <t>AJI14195</t>
  </si>
  <si>
    <t>Fri Jul 11 08:01:59 IST 2025</t>
  </si>
  <si>
    <t>AF25GJ177611900</t>
  </si>
  <si>
    <t>Fri Jul 11 08:02:00 IST 2025</t>
  </si>
  <si>
    <t>FN3197608569</t>
  </si>
  <si>
    <t>Thu Jul 10 22:20:12 IST 2025</t>
  </si>
  <si>
    <t>5116822198</t>
  </si>
  <si>
    <t>AJI14194</t>
  </si>
  <si>
    <t>Fri Jul 11 08:01:54 IST 2025</t>
  </si>
  <si>
    <t>AF25GJ177611891</t>
  </si>
  <si>
    <t>Fri Jul 11 08:01:55 IST 2025</t>
  </si>
  <si>
    <t>EX0032597455</t>
  </si>
  <si>
    <t>Thu Jul 10 22:40:04 IST 2025</t>
  </si>
  <si>
    <t>5116822197</t>
  </si>
  <si>
    <t>AJI14193</t>
  </si>
  <si>
    <t>Fri Jul 11 08:01:43 IST 2025</t>
  </si>
  <si>
    <t>AF25GJ177611883</t>
  </si>
  <si>
    <t>Fri Jul 11 08:01:44 IST 2025</t>
  </si>
  <si>
    <t>FN4358600013</t>
  </si>
  <si>
    <t>Thu Jul 10 22:41:21 IST 2025</t>
  </si>
  <si>
    <t>5116822196</t>
  </si>
  <si>
    <t>AJI14192</t>
  </si>
  <si>
    <t>Fri Jul 11 08:01:32 IST 2025</t>
  </si>
  <si>
    <t>AF25GJ177611870</t>
  </si>
  <si>
    <t>FN7358607409</t>
  </si>
  <si>
    <t>Fri Jul 11 00:18:39 IST 2025</t>
  </si>
  <si>
    <t>5116822195</t>
  </si>
  <si>
    <t>AJI14191</t>
  </si>
  <si>
    <t>Fri Jul 11 08:01:20 IST 2025</t>
  </si>
  <si>
    <t>AF25GJ177611858</t>
  </si>
  <si>
    <t>FN8258602000</t>
  </si>
  <si>
    <t>Thu Jul 10 19:22:31 IST 2025</t>
  </si>
  <si>
    <t>5116779639</t>
  </si>
  <si>
    <t>Thu Jul 10 00:00:00 IST 2025</t>
  </si>
  <si>
    <t>AJI14190</t>
  </si>
  <si>
    <t>Thu Jul 10 20:03:09 IST 2025</t>
  </si>
  <si>
    <t>AF25GJ177567172</t>
  </si>
  <si>
    <t>FN6801601154</t>
  </si>
  <si>
    <t>Thu Jul 10 19:27:39 IST 2025</t>
  </si>
  <si>
    <t>5116779638</t>
  </si>
  <si>
    <t>AJI14189</t>
  </si>
  <si>
    <t>Thu Jul 10 20:02:57 IST 2025</t>
  </si>
  <si>
    <t>AF25GJ177567150</t>
  </si>
  <si>
    <t>Thu Jul 10 20:02:58 IST 2025</t>
  </si>
  <si>
    <t>FN9144606689</t>
  </si>
  <si>
    <t>Thu Jul 10 18:28:11 IST 2025</t>
  </si>
  <si>
    <t>5116779637</t>
  </si>
  <si>
    <t>AJI14188</t>
  </si>
  <si>
    <t>Thu Jul 10 20:02:46 IST 2025</t>
  </si>
  <si>
    <t>AF25GJ177567074</t>
  </si>
  <si>
    <t>FN6258606287</t>
  </si>
  <si>
    <t>Thu Jul 10 18:36:25 IST 2025</t>
  </si>
  <si>
    <t>5116779642</t>
  </si>
  <si>
    <t>AJI14187</t>
  </si>
  <si>
    <t>Thu Jul 10 19:46:17 IST 2025</t>
  </si>
  <si>
    <t>AF25GJ177564845</t>
  </si>
  <si>
    <t>FN6258606695</t>
  </si>
  <si>
    <t>Thu Jul 10 18:41:14 IST 2025</t>
  </si>
  <si>
    <t>5116779641</t>
  </si>
  <si>
    <t>AJI14186</t>
  </si>
  <si>
    <t>Thu Jul 10 19:46:07 IST 2025</t>
  </si>
  <si>
    <t>AF25GJ177564819</t>
  </si>
  <si>
    <t>FN2828605343</t>
  </si>
  <si>
    <t>Thu Jul 10 18:06:41 IST 2025</t>
  </si>
  <si>
    <t>5116779644</t>
  </si>
  <si>
    <t>AJI14185</t>
  </si>
  <si>
    <t>Thu Jul 10 19:46:03 IST 2025</t>
  </si>
  <si>
    <t>AF25GJ177564804</t>
  </si>
  <si>
    <t>FN0628601232</t>
  </si>
  <si>
    <t>Thu Jul 10 18:23:59 IST 2025</t>
  </si>
  <si>
    <t>5116779640</t>
  </si>
  <si>
    <t>AJI14184</t>
  </si>
  <si>
    <t>Thu Jul 10 19:45:51 IST 2025</t>
  </si>
  <si>
    <t>AF25GJ177564769</t>
  </si>
  <si>
    <t>Thu Jul 10 19:45:52 IST 2025</t>
  </si>
  <si>
    <t>FN5948605599</t>
  </si>
  <si>
    <t>Thu Jul 10 19:16:05 IST 2025</t>
  </si>
  <si>
    <t>5116779636</t>
  </si>
  <si>
    <t>AJI14183</t>
  </si>
  <si>
    <t>Thu Jul 10 19:45:39 IST 2025</t>
  </si>
  <si>
    <t>AF25GJ177564718</t>
  </si>
  <si>
    <t>FN3186604925</t>
  </si>
  <si>
    <t>Thu Jul 10 15:31:15 IST 2025</t>
  </si>
  <si>
    <t>5116763694</t>
  </si>
  <si>
    <t>AJI14178</t>
  </si>
  <si>
    <t>Thu Jul 10 17:33:55 IST 2025</t>
  </si>
  <si>
    <t>AF25GJ177537437</t>
  </si>
  <si>
    <t>Thu Jul 10 17:33:56 IST 2025</t>
  </si>
  <si>
    <t>FN3187608422</t>
  </si>
  <si>
    <t>Thu Jul 10 15:14:16 IST 2025</t>
  </si>
  <si>
    <t>5116763670</t>
  </si>
  <si>
    <t>AJI14182</t>
  </si>
  <si>
    <t>Thu Jul 10 17:33:44 IST 2025</t>
  </si>
  <si>
    <t>AF25GJ177537391</t>
  </si>
  <si>
    <t>Thu Jul 10 17:33:45 IST 2025</t>
  </si>
  <si>
    <t>FN2113302135</t>
  </si>
  <si>
    <t>Thu Jul 10 11:09:34 IST 2025</t>
  </si>
  <si>
    <t>5116763667</t>
  </si>
  <si>
    <t>AJI14181</t>
  </si>
  <si>
    <t>Thu Jul 10 17:33:33 IST 2025</t>
  </si>
  <si>
    <t>AF25GJ177537345</t>
  </si>
  <si>
    <t>Thu Jul 10 17:33:34 IST 2025</t>
  </si>
  <si>
    <t>FN1097605199</t>
  </si>
  <si>
    <t>Thu Jul 10 11:28:59 IST 2025</t>
  </si>
  <si>
    <t>5116763685</t>
  </si>
  <si>
    <t>AJI14180</t>
  </si>
  <si>
    <t>Thu Jul 10 17:32:56 IST 2025</t>
  </si>
  <si>
    <t>AF25GJ177537156</t>
  </si>
  <si>
    <t>Thu Jul 10 17:32:57 IST 2025</t>
  </si>
  <si>
    <t>FN7632508955</t>
  </si>
  <si>
    <t>Thu Jul 10 11:22:00 IST 2025</t>
  </si>
  <si>
    <t>5116763676</t>
  </si>
  <si>
    <t>AJI14179</t>
  </si>
  <si>
    <t>Thu Jul 10 17:32:51 IST 2025</t>
  </si>
  <si>
    <t>AF25GJ177537135</t>
  </si>
  <si>
    <t>700659603027</t>
  </si>
  <si>
    <t>1591_RD_L</t>
  </si>
  <si>
    <t>FN2616600053</t>
  </si>
  <si>
    <t>Thu Jul 10 12:19:18 IST 2025</t>
  </si>
  <si>
    <t>5116763684</t>
  </si>
  <si>
    <t>AJI14177</t>
  </si>
  <si>
    <t>Thu Jul 10 17:32:31 IST 2025</t>
  </si>
  <si>
    <t>AF25GJ177537029</t>
  </si>
  <si>
    <t>Thu Jul 10 17:32:32 IST 2025</t>
  </si>
  <si>
    <t>700210515015</t>
  </si>
  <si>
    <t>1324(AJIO)_PNK_L</t>
  </si>
  <si>
    <t>FN5427608001</t>
  </si>
  <si>
    <t>Thu Jul 10 16:48:49 IST 2025</t>
  </si>
  <si>
    <t>5116763671</t>
  </si>
  <si>
    <t>AJI14175</t>
  </si>
  <si>
    <t>Thu Jul 10 17:32:26 IST 2025</t>
  </si>
  <si>
    <t>AF25GJ177536998</t>
  </si>
  <si>
    <t>Thu Jul 10 17:32:27 IST 2025</t>
  </si>
  <si>
    <t>FN8008602176</t>
  </si>
  <si>
    <t>Thu Jul 10 15:39:32 IST 2025</t>
  </si>
  <si>
    <t>5116763683</t>
  </si>
  <si>
    <t>AJI14174</t>
  </si>
  <si>
    <t>Thu Jul 10 17:32:15 IST 2025</t>
  </si>
  <si>
    <t>AF25GJ177536943</t>
  </si>
  <si>
    <t>Thu Jul 10 17:32:16 IST 2025</t>
  </si>
  <si>
    <t>467166235003</t>
  </si>
  <si>
    <t>AJI1244_GRY_S</t>
  </si>
  <si>
    <t>FN6657602813</t>
  </si>
  <si>
    <t>Thu Jul 10 15:44:31 IST 2025</t>
  </si>
  <si>
    <t>5116763679</t>
  </si>
  <si>
    <t>AJI14173</t>
  </si>
  <si>
    <t>Thu Jul 10 17:32:11 IST 2025</t>
  </si>
  <si>
    <t>AF25GJ177536927</t>
  </si>
  <si>
    <t>FN5828604890</t>
  </si>
  <si>
    <t>Thu Jul 10 08:51:35 IST 2025</t>
  </si>
  <si>
    <t>5116763669</t>
  </si>
  <si>
    <t>AJI14172</t>
  </si>
  <si>
    <t>Thu Jul 10 17:32:00 IST 2025</t>
  </si>
  <si>
    <t>AF25GJ177536875</t>
  </si>
  <si>
    <t>Thu Jul 10 17:32:01 IST 2025</t>
  </si>
  <si>
    <t>FN6187600881</t>
  </si>
  <si>
    <t>Thu Jul 10 16:13:29 IST 2025</t>
  </si>
  <si>
    <t>5116763674</t>
  </si>
  <si>
    <t>AJI14171</t>
  </si>
  <si>
    <t>Thu Jul 10 17:31:50 IST 2025</t>
  </si>
  <si>
    <t>AF25GJ177536826</t>
  </si>
  <si>
    <t>FN2258609161</t>
  </si>
  <si>
    <t>Thu Jul 10 16:15:05 IST 2025</t>
  </si>
  <si>
    <t>5116763678</t>
  </si>
  <si>
    <t>AJI14170</t>
  </si>
  <si>
    <t>Thu Jul 10 17:31:39 IST 2025</t>
  </si>
  <si>
    <t>AF25GJ177536795</t>
  </si>
  <si>
    <t>FN0848603830</t>
  </si>
  <si>
    <t>Thu Jul 10 16:29:34 IST 2025</t>
  </si>
  <si>
    <t>5116763675</t>
  </si>
  <si>
    <t>AJI14169</t>
  </si>
  <si>
    <t>Thu Jul 10 17:31:28 IST 2025</t>
  </si>
  <si>
    <t>AF25GJ177536760</t>
  </si>
  <si>
    <t>Thu Jul 10 17:31:30 IST 2025</t>
  </si>
  <si>
    <t>FN9058604087</t>
  </si>
  <si>
    <t>Thu Jul 10 09:36:07 IST 2025</t>
  </si>
  <si>
    <t>5116763673</t>
  </si>
  <si>
    <t>AJI14168</t>
  </si>
  <si>
    <t>Thu Jul 10 17:31:19 IST 2025</t>
  </si>
  <si>
    <t>AF25GJ177536721</t>
  </si>
  <si>
    <t>FN7318604562</t>
  </si>
  <si>
    <t>Thu Jul 10 08:27:39 IST 2025</t>
  </si>
  <si>
    <t>5116763677</t>
  </si>
  <si>
    <t>AJI14167</t>
  </si>
  <si>
    <t>Thu Jul 10 17:31:12 IST 2025</t>
  </si>
  <si>
    <t>AF25GJ177536605</t>
  </si>
  <si>
    <t>EX0032588551</t>
  </si>
  <si>
    <t>Thu Jul 10 13:55:09 IST 2025</t>
  </si>
  <si>
    <t>5116763682</t>
  </si>
  <si>
    <t>AJI14166</t>
  </si>
  <si>
    <t>Thu Jul 10 17:31:01 IST 2025</t>
  </si>
  <si>
    <t>AF25GJ177536496</t>
  </si>
  <si>
    <t>FN7508602819</t>
  </si>
  <si>
    <t>Thu Jul 10 13:55:54 IST 2025</t>
  </si>
  <si>
    <t>5116763672</t>
  </si>
  <si>
    <t>AJI14165</t>
  </si>
  <si>
    <t>Thu Jul 10 17:30:57 IST 2025</t>
  </si>
  <si>
    <t>AF25GJ177536457</t>
  </si>
  <si>
    <t>EX0032573974</t>
  </si>
  <si>
    <t>Thu Jul 10 14:10:13 IST 2025</t>
  </si>
  <si>
    <t>5116763680</t>
  </si>
  <si>
    <t>AJI14164</t>
  </si>
  <si>
    <t>Thu Jul 10 17:30:47 IST 2025</t>
  </si>
  <si>
    <t>AF25GJ177536422</t>
  </si>
  <si>
    <t>701037328002</t>
  </si>
  <si>
    <t>AJI-1098_BK_XL</t>
  </si>
  <si>
    <t>FN9158601715</t>
  </si>
  <si>
    <t>Thu Jul 10 15:12:01 IST 2025</t>
  </si>
  <si>
    <t>5116763668</t>
  </si>
  <si>
    <t>AJI14163</t>
  </si>
  <si>
    <t>Thu Jul 10 17:30:35 IST 2025</t>
  </si>
  <si>
    <t>AF25GJ177536388</t>
  </si>
  <si>
    <t>Thu Jul 10 17:30:36 IST 2025</t>
  </si>
  <si>
    <t>FN5058606617</t>
  </si>
  <si>
    <t>Thu Jul 10 01:14:37 IST 2025</t>
  </si>
  <si>
    <t>5116674263</t>
  </si>
  <si>
    <t>AJI14162</t>
  </si>
  <si>
    <t>Thu Jul 10 08:12:50 IST 2025</t>
  </si>
  <si>
    <t>AF25GJ177360134</t>
  </si>
  <si>
    <t>FN6664609950</t>
  </si>
  <si>
    <t>Thu Jul 10 00:47:04 IST 2025</t>
  </si>
  <si>
    <t>5116674257</t>
  </si>
  <si>
    <t>AJI14161</t>
  </si>
  <si>
    <t>Thu Jul 10 08:12:36 IST 2025</t>
  </si>
  <si>
    <t>AF25GJ177360073</t>
  </si>
  <si>
    <t>Thu Jul 10 08:12:42 IST 2025</t>
  </si>
  <si>
    <t>FN3848608556</t>
  </si>
  <si>
    <t>Thu Jul 10 00:26:11 IST 2025</t>
  </si>
  <si>
    <t>5116674256</t>
  </si>
  <si>
    <t>AJI14160</t>
  </si>
  <si>
    <t>Thu Jul 10 08:12:33 IST 2025</t>
  </si>
  <si>
    <t>AF25GJ177360036</t>
  </si>
  <si>
    <t>Thu Jul 10 08:12:38 IST 2025</t>
  </si>
  <si>
    <t>FN4058606787</t>
  </si>
  <si>
    <t>Thu Jul 10 00:55:50 IST 2025</t>
  </si>
  <si>
    <t>5116674260</t>
  </si>
  <si>
    <t>AJI14159</t>
  </si>
  <si>
    <t>Thu Jul 10 08:12:25 IST 2025</t>
  </si>
  <si>
    <t>AF25GJ177359926</t>
  </si>
  <si>
    <t>Thu Jul 10 08:12:27 IST 2025</t>
  </si>
  <si>
    <t>FN5242600687</t>
  </si>
  <si>
    <t>Thu Jul 10 02:37:02 IST 2025</t>
  </si>
  <si>
    <t>5116674261</t>
  </si>
  <si>
    <t>AJI14158</t>
  </si>
  <si>
    <t>Thu Jul 10 08:12:14 IST 2025</t>
  </si>
  <si>
    <t>AF25GJ177359850</t>
  </si>
  <si>
    <t>Thu Jul 10 08:12:20 IST 2025</t>
  </si>
  <si>
    <t>FN4097600169</t>
  </si>
  <si>
    <t>Thu Jul 10 02:46:57 IST 2025</t>
  </si>
  <si>
    <t>5116674262</t>
  </si>
  <si>
    <t>AJI14157</t>
  </si>
  <si>
    <t>Thu Jul 10 08:12:09 IST 2025</t>
  </si>
  <si>
    <t>AF25GJ177359791</t>
  </si>
  <si>
    <t>FN4665609677</t>
  </si>
  <si>
    <t>Wed Jul 09 21:21:54 IST 2025</t>
  </si>
  <si>
    <t>5116674259</t>
  </si>
  <si>
    <t>AJI14156</t>
  </si>
  <si>
    <t>Thu Jul 10 08:12:08 IST 2025</t>
  </si>
  <si>
    <t>AF25GJ177359779</t>
  </si>
  <si>
    <t>Thu Jul 10 08:12:13 IST 2025</t>
  </si>
  <si>
    <t>FN5277602560</t>
  </si>
  <si>
    <t>Wed Jul 09 22:15:34 IST 2025</t>
  </si>
  <si>
    <t>5116674258</t>
  </si>
  <si>
    <t>AJI14155</t>
  </si>
  <si>
    <t>Thu Jul 10 08:12:07 IST 2025</t>
  </si>
  <si>
    <t>AF25GJ177359771</t>
  </si>
  <si>
    <t>FN8965608995</t>
  </si>
  <si>
    <t>Wed Jul 09 22:06:09 IST 2025</t>
  </si>
  <si>
    <t>5116674249</t>
  </si>
  <si>
    <t>AJI14154</t>
  </si>
  <si>
    <t>Thu Jul 10 08:11:58 IST 2025</t>
  </si>
  <si>
    <t>AF25GJ177359687</t>
  </si>
  <si>
    <t>Thu Jul 10 08:12:03 IST 2025</t>
  </si>
  <si>
    <t>FN4748605025</t>
  </si>
  <si>
    <t>Wed Jul 09 22:17:37 IST 2025</t>
  </si>
  <si>
    <t>5116674254</t>
  </si>
  <si>
    <t>AJI14153</t>
  </si>
  <si>
    <t>Thu Jul 10 08:11:50 IST 2025</t>
  </si>
  <si>
    <t>AF25GJ177359627</t>
  </si>
  <si>
    <t>Thu Jul 10 08:11:56 IST 2025</t>
  </si>
  <si>
    <t>FN6578305556</t>
  </si>
  <si>
    <t>Thu Jul 10 07:57:56 IST 2025</t>
  </si>
  <si>
    <t>5116674253</t>
  </si>
  <si>
    <t>AJI14152</t>
  </si>
  <si>
    <t>Thu Jul 10 08:11:38 IST 2025</t>
  </si>
  <si>
    <t>AF25GJ177359532</t>
  </si>
  <si>
    <t>Thu Jul 10 08:11:44 IST 2025</t>
  </si>
  <si>
    <t>FN7948604453</t>
  </si>
  <si>
    <t>Wed Jul 09 23:15:00 IST 2025</t>
  </si>
  <si>
    <t>5116674255</t>
  </si>
  <si>
    <t>AJI14151</t>
  </si>
  <si>
    <t>Thu Jul 10 08:11:24 IST 2025</t>
  </si>
  <si>
    <t>AF25GJ177359422</t>
  </si>
  <si>
    <t>700659603028</t>
  </si>
  <si>
    <t>1591_RD_M</t>
  </si>
  <si>
    <t>FN8638607185</t>
  </si>
  <si>
    <t>Wed Jul 09 20:10:02 IST 2025</t>
  </si>
  <si>
    <t>5116674247</t>
  </si>
  <si>
    <t>AJI14150</t>
  </si>
  <si>
    <t>Thu Jul 10 08:11:20 IST 2025</t>
  </si>
  <si>
    <t>AF25GJ177359404</t>
  </si>
  <si>
    <t>FN0566609413</t>
  </si>
  <si>
    <t>Wed Jul 09 23:22:12 IST 2025</t>
  </si>
  <si>
    <t>5116674251</t>
  </si>
  <si>
    <t>AJI14149</t>
  </si>
  <si>
    <t>Thu Jul 10 08:11:09 IST 2025</t>
  </si>
  <si>
    <t>AF25GJ177359357</t>
  </si>
  <si>
    <t>FN7948607094</t>
  </si>
  <si>
    <t>Wed Jul 09 20:47:03 IST 2025</t>
  </si>
  <si>
    <t>5116674250</t>
  </si>
  <si>
    <t>AJI14148</t>
  </si>
  <si>
    <t>Thu Jul 10 08:11:02 IST 2025</t>
  </si>
  <si>
    <t>AF25GJ177359333</t>
  </si>
  <si>
    <t>Thu Jul 10 08:11:03 IST 2025</t>
  </si>
  <si>
    <t>FN8737609988</t>
  </si>
  <si>
    <t>Wed Jul 09 20:49:09 IST 2025</t>
  </si>
  <si>
    <t>5116674252</t>
  </si>
  <si>
    <t>AJI14147</t>
  </si>
  <si>
    <t>Thu Jul 10 08:10:45 IST 2025</t>
  </si>
  <si>
    <t>AF25GJ177359255</t>
  </si>
  <si>
    <t>Thu Jul 10 08:10:46 IST 2025</t>
  </si>
  <si>
    <t>FN6320504759</t>
  </si>
  <si>
    <t>Wed Jul 09 19:52:28 IST 2025</t>
  </si>
  <si>
    <t>5116631781</t>
  </si>
  <si>
    <t>Wed Jul 09 00:00:00 IST 2025</t>
  </si>
  <si>
    <t>AJI14140</t>
  </si>
  <si>
    <t>Thu Jul 10 08:09:14 IST 2025</t>
  </si>
  <si>
    <t>AF25GJ177358739</t>
  </si>
  <si>
    <t>FN1838603717</t>
  </si>
  <si>
    <t>Wed Jul 09 11:09:02 IST 2025</t>
  </si>
  <si>
    <t>5116631793</t>
  </si>
  <si>
    <t>AJI14146</t>
  </si>
  <si>
    <t>Wed Jul 09 20:03:55 IST 2025</t>
  </si>
  <si>
    <t>AF25GJ177319672</t>
  </si>
  <si>
    <t>FN6528604904</t>
  </si>
  <si>
    <t>Wed Jul 09 16:16:02 IST 2025</t>
  </si>
  <si>
    <t>5116631791</t>
  </si>
  <si>
    <t>AJI14145</t>
  </si>
  <si>
    <t>Wed Jul 09 20:03:47 IST 2025</t>
  </si>
  <si>
    <t>AF25GJ177319653</t>
  </si>
  <si>
    <t>FN7111605728</t>
  </si>
  <si>
    <t>Wed Jul 09 11:45:28 IST 2025</t>
  </si>
  <si>
    <t>5116631792</t>
  </si>
  <si>
    <t>AJI14144</t>
  </si>
  <si>
    <t>Wed Jul 09 20:03:39 IST 2025</t>
  </si>
  <si>
    <t>AF25GJ177319641</t>
  </si>
  <si>
    <t>Wed Jul 09 20:03:40 IST 2025</t>
  </si>
  <si>
    <t>FN3848604715</t>
  </si>
  <si>
    <t>Wed Jul 09 13:25:10 IST 2025</t>
  </si>
  <si>
    <t>5116631790</t>
  </si>
  <si>
    <t>AJI14143</t>
  </si>
  <si>
    <t>Wed Jul 09 20:03:29 IST 2025</t>
  </si>
  <si>
    <t>AF25GJ177319628</t>
  </si>
  <si>
    <t>FN8035501973</t>
  </si>
  <si>
    <t>Wed Jul 09 13:26:28 IST 2025</t>
  </si>
  <si>
    <t>5116631783</t>
  </si>
  <si>
    <t>AJI14142</t>
  </si>
  <si>
    <t>Wed Jul 09 20:03:19 IST 2025</t>
  </si>
  <si>
    <t>AF25GJ177319611</t>
  </si>
  <si>
    <t>Wed Jul 09 20:03:20 IST 2025</t>
  </si>
  <si>
    <t>FN3028605127</t>
  </si>
  <si>
    <t>Wed Jul 09 13:42:45 IST 2025</t>
  </si>
  <si>
    <t>5116631782</t>
  </si>
  <si>
    <t>AJI14141</t>
  </si>
  <si>
    <t>Wed Jul 09 20:03:17 IST 2025</t>
  </si>
  <si>
    <t>AF25GJ177319609</t>
  </si>
  <si>
    <t>Wed Jul 09 20:03:18 IST 2025</t>
  </si>
  <si>
    <t>FN0105601742</t>
  </si>
  <si>
    <t>Wed Jul 09 18:28:29 IST 2025</t>
  </si>
  <si>
    <t>5116631785</t>
  </si>
  <si>
    <t>AJI14139</t>
  </si>
  <si>
    <t>Wed Jul 09 20:03:01 IST 2025</t>
  </si>
  <si>
    <t>AF25GJ177319562</t>
  </si>
  <si>
    <t>Wed Jul 09 20:03:02 IST 2025</t>
  </si>
  <si>
    <t>FN7567609376</t>
  </si>
  <si>
    <t>Wed Jul 09 18:31:39 IST 2025</t>
  </si>
  <si>
    <t>5116631786</t>
  </si>
  <si>
    <t>AJI14138</t>
  </si>
  <si>
    <t>Wed Jul 09 20:02:57 IST 2025</t>
  </si>
  <si>
    <t>AF25GJ177319553</t>
  </si>
  <si>
    <t>Wed Jul 09 20:02:58 IST 2025</t>
  </si>
  <si>
    <t>FN3277501605</t>
  </si>
  <si>
    <t>Wed Jul 09 18:52:40 IST 2025</t>
  </si>
  <si>
    <t>5116631778</t>
  </si>
  <si>
    <t>AJI14137</t>
  </si>
  <si>
    <t>Wed Jul 09 20:02:47 IST 2025</t>
  </si>
  <si>
    <t>AF25GJ177319528</t>
  </si>
  <si>
    <t>FN2421505923</t>
  </si>
  <si>
    <t>Wed Jul 09 18:54:30 IST 2025</t>
  </si>
  <si>
    <t>5116631775</t>
  </si>
  <si>
    <t>AJI14136</t>
  </si>
  <si>
    <t>Wed Jul 09 20:02:41 IST 2025</t>
  </si>
  <si>
    <t>AF25GJ177319520</t>
  </si>
  <si>
    <t>Wed Jul 09 20:02:42 IST 2025</t>
  </si>
  <si>
    <t>FN3648601385</t>
  </si>
  <si>
    <t>Wed Jul 09 17:20:54 IST 2025</t>
  </si>
  <si>
    <t>5116631776</t>
  </si>
  <si>
    <t>AJI14135</t>
  </si>
  <si>
    <t>Wed Jul 09 20:02:34 IST 2025</t>
  </si>
  <si>
    <t>AF25GJ177319498</t>
  </si>
  <si>
    <t>FN9488401059</t>
  </si>
  <si>
    <t>Wed Jul 09 17:15:40 IST 2025</t>
  </si>
  <si>
    <t>5116631777</t>
  </si>
  <si>
    <t>AJI14134</t>
  </si>
  <si>
    <t>Wed Jul 09 20:02:33 IST 2025</t>
  </si>
  <si>
    <t>AF25GJ177319492</t>
  </si>
  <si>
    <t>FN6848601043</t>
  </si>
  <si>
    <t>Wed Jul 09 17:22:22 IST 2025</t>
  </si>
  <si>
    <t>5116631787</t>
  </si>
  <si>
    <t>AJI14132</t>
  </si>
  <si>
    <t>Wed Jul 09 20:02:25 IST 2025</t>
  </si>
  <si>
    <t>AF25GJ177319477</t>
  </si>
  <si>
    <t>670.36</t>
  </si>
  <si>
    <t>638.44</t>
  </si>
  <si>
    <t>FN1718600231</t>
  </si>
  <si>
    <t>Wed Jul 09 11:36:02 IST 2025</t>
  </si>
  <si>
    <t>5116631780</t>
  </si>
  <si>
    <t>AJI14131</t>
  </si>
  <si>
    <t>Wed Jul 09 20:02:18 IST 2025</t>
  </si>
  <si>
    <t>AF25GJ177319460</t>
  </si>
  <si>
    <t>FN6038601396</t>
  </si>
  <si>
    <t>Wed Jul 09 17:29:18 IST 2025</t>
  </si>
  <si>
    <t>5116631779</t>
  </si>
  <si>
    <t>AJI14130</t>
  </si>
  <si>
    <t>Wed Jul 09 20:02:10 IST 2025</t>
  </si>
  <si>
    <t>AF25GJ177319443</t>
  </si>
  <si>
    <t>FN5848602810</t>
  </si>
  <si>
    <t>Wed Jul 09 15:06:01 IST 2025</t>
  </si>
  <si>
    <t>5116631784</t>
  </si>
  <si>
    <t>AJI14129</t>
  </si>
  <si>
    <t>Wed Jul 09 20:02:05 IST 2025</t>
  </si>
  <si>
    <t>AF25GJ177319434</t>
  </si>
  <si>
    <t>FN4947602783</t>
  </si>
  <si>
    <t>Wed Jul 09 12:31:27 IST 2025</t>
  </si>
  <si>
    <t>5116631772</t>
  </si>
  <si>
    <t>AJI14128</t>
  </si>
  <si>
    <t>Wed Jul 09 20:01:55 IST 2025</t>
  </si>
  <si>
    <t>AF25GJ177319318</t>
  </si>
  <si>
    <t>Wed Jul 09 20:01:56 IST 2025</t>
  </si>
  <si>
    <t>FN9638606945</t>
  </si>
  <si>
    <t>Wed Jul 09 15:02:04 IST 2025</t>
  </si>
  <si>
    <t>5116631770</t>
  </si>
  <si>
    <t>AJI14127</t>
  </si>
  <si>
    <t>Wed Jul 09 20:01:52 IST 2025</t>
  </si>
  <si>
    <t>AF25GJ177319311</t>
  </si>
  <si>
    <t>Wed Jul 09 20:01:53 IST 2025</t>
  </si>
  <si>
    <t>FN0655605732</t>
  </si>
  <si>
    <t>Wed Jul 09 08:22:43 IST 2025</t>
  </si>
  <si>
    <t>5116631773</t>
  </si>
  <si>
    <t>AJI14126</t>
  </si>
  <si>
    <t>Wed Jul 09 20:01:42 IST 2025</t>
  </si>
  <si>
    <t>AF25GJ177319113</t>
  </si>
  <si>
    <t>FN9196603577</t>
  </si>
  <si>
    <t>Wed Jul 09 08:40:17 IST 2025</t>
  </si>
  <si>
    <t>5116631771</t>
  </si>
  <si>
    <t>AJI14125</t>
  </si>
  <si>
    <t>Wed Jul 09 20:01:38 IST 2025</t>
  </si>
  <si>
    <t>AF25GJ177319103</t>
  </si>
  <si>
    <t>701045948011</t>
  </si>
  <si>
    <t>1649-RM_38</t>
  </si>
  <si>
    <t>FN3515608312</t>
  </si>
  <si>
    <t>Wed Jul 09 15:42:15 IST 2025</t>
  </si>
  <si>
    <t>5116631765</t>
  </si>
  <si>
    <t>AJI14124</t>
  </si>
  <si>
    <t>Wed Jul 09 20:01:34 IST 2025</t>
  </si>
  <si>
    <t>AF25GJ177319064</t>
  </si>
  <si>
    <t>FN5321206304</t>
  </si>
  <si>
    <t>Wed Jul 09 15:45:05 IST 2025</t>
  </si>
  <si>
    <t>5116631767</t>
  </si>
  <si>
    <t>AJI14123</t>
  </si>
  <si>
    <t>Wed Jul 09 20:01:25 IST 2025</t>
  </si>
  <si>
    <t>AF25GJ177318927</t>
  </si>
  <si>
    <t>Wed Jul 09 20:01:26 IST 2025</t>
  </si>
  <si>
    <t>FN8848607234</t>
  </si>
  <si>
    <t>Wed Jul 09 15:59:48 IST 2025</t>
  </si>
  <si>
    <t>5116631769</t>
  </si>
  <si>
    <t>AJI14122</t>
  </si>
  <si>
    <t>Wed Jul 09 20:01:16 IST 2025</t>
  </si>
  <si>
    <t>AF25GJ177318908</t>
  </si>
  <si>
    <t>Wed Jul 09 20:01:17 IST 2025</t>
  </si>
  <si>
    <t>FN5448607139</t>
  </si>
  <si>
    <t>Wed Jul 09 09:17:26 IST 2025</t>
  </si>
  <si>
    <t>5116631789</t>
  </si>
  <si>
    <t>AJI14121</t>
  </si>
  <si>
    <t>Wed Jul 09 20:01:12 IST 2025</t>
  </si>
  <si>
    <t>AF25GJ177318849</t>
  </si>
  <si>
    <t>FN6908606007</t>
  </si>
  <si>
    <t>Wed Jul 09 09:45:03 IST 2025</t>
  </si>
  <si>
    <t>5116631774</t>
  </si>
  <si>
    <t>AJI14120</t>
  </si>
  <si>
    <t>Wed Jul 09 20:00:50 IST 2025</t>
  </si>
  <si>
    <t>AF25GJ177318804</t>
  </si>
  <si>
    <t>Wed Jul 09 20:00:51 IST 2025</t>
  </si>
  <si>
    <t>FN9748608477</t>
  </si>
  <si>
    <t>Wed Jul 09 12:11:58 IST 2025</t>
  </si>
  <si>
    <t>5116631768</t>
  </si>
  <si>
    <t>AJI14119</t>
  </si>
  <si>
    <t>Wed Jul 09 20:00:41 IST 2025</t>
  </si>
  <si>
    <t>AF25GJ177318781</t>
  </si>
  <si>
    <t>FN2848603047</t>
  </si>
  <si>
    <t>Wed Jul 09 16:08:23 IST 2025</t>
  </si>
  <si>
    <t>5116631760</t>
  </si>
  <si>
    <t>AJI14118</t>
  </si>
  <si>
    <t>Wed Jul 09 20:00:31 IST 2025</t>
  </si>
  <si>
    <t>AF25GJ177318758</t>
  </si>
  <si>
    <t>FN2748608635</t>
  </si>
  <si>
    <t>Wed Jul 09 01:13:09 IST 2025</t>
  </si>
  <si>
    <t>5116526275</t>
  </si>
  <si>
    <t>AJI14117</t>
  </si>
  <si>
    <t>Wed Jul 09 20:00:10 IST 2025</t>
  </si>
  <si>
    <t>AF25GJ177318696</t>
  </si>
  <si>
    <t>Wed Jul 09 20:00:11 IST 2025</t>
  </si>
  <si>
    <t>FN7137605141</t>
  </si>
  <si>
    <t>Wed Jul 09 02:40:30 IST 2025</t>
  </si>
  <si>
    <t>5116525422</t>
  </si>
  <si>
    <t>AJI14116</t>
  </si>
  <si>
    <t>Wed Jul 09 10:59:13 IST 2025</t>
  </si>
  <si>
    <t>AF25GJ177173073</t>
  </si>
  <si>
    <t>Wed Jul 09 10:59:19 IST 2025</t>
  </si>
  <si>
    <t>467041708012</t>
  </si>
  <si>
    <t>1282_GRY_L</t>
  </si>
  <si>
    <t>FN1346608211</t>
  </si>
  <si>
    <t>Tue Jul 08 20:10:56 IST 2025</t>
  </si>
  <si>
    <t>5116526273</t>
  </si>
  <si>
    <t>AJI14115</t>
  </si>
  <si>
    <t>Wed Jul 09 08:07:53 IST 2025</t>
  </si>
  <si>
    <t>AF25GJ177103120</t>
  </si>
  <si>
    <t>Wed Jul 09 08:08:00 IST 2025</t>
  </si>
  <si>
    <t>467170363004</t>
  </si>
  <si>
    <t>AJI1430</t>
  </si>
  <si>
    <t>AJIO-1430_PRL_XL</t>
  </si>
  <si>
    <t>FN3648607552</t>
  </si>
  <si>
    <t>Tue Jul 08 20:12:08 IST 2025</t>
  </si>
  <si>
    <t>5116526274</t>
  </si>
  <si>
    <t>AJI14114</t>
  </si>
  <si>
    <t>Wed Jul 09 08:07:30 IST 2025</t>
  </si>
  <si>
    <t>AF25GJ177103021</t>
  </si>
  <si>
    <t>Wed Jul 09 08:07:40 IST 2025</t>
  </si>
  <si>
    <t>FN6448607727</t>
  </si>
  <si>
    <t>Tue Jul 08 21:12:40 IST 2025</t>
  </si>
  <si>
    <t>5116525427</t>
  </si>
  <si>
    <t>AJI14113</t>
  </si>
  <si>
    <t>Wed Jul 09 08:02:30 IST 2025</t>
  </si>
  <si>
    <t>AF25GJ177102350</t>
  </si>
  <si>
    <t>Wed Jul 09 08:02:31 IST 2025</t>
  </si>
  <si>
    <t>FN8548607196</t>
  </si>
  <si>
    <t>Tue Jul 08 21:36:06 IST 2025</t>
  </si>
  <si>
    <t>5116525430</t>
  </si>
  <si>
    <t>AJI14112</t>
  </si>
  <si>
    <t>Wed Jul 09 08:02:20 IST 2025</t>
  </si>
  <si>
    <t>AF25GJ177102335</t>
  </si>
  <si>
    <t>FN8860604772</t>
  </si>
  <si>
    <t>Tue Jul 08 18:29:41 IST 2025</t>
  </si>
  <si>
    <t>5116525428</t>
  </si>
  <si>
    <t>AJI14111</t>
  </si>
  <si>
    <t>Wed Jul 09 08:02:12 IST 2025</t>
  </si>
  <si>
    <t>AF25GJ177102329</t>
  </si>
  <si>
    <t>Wed Jul 09 08:02:17 IST 2025</t>
  </si>
  <si>
    <t>FN8148604653</t>
  </si>
  <si>
    <t>Tue Jul 08 22:05:44 IST 2025</t>
  </si>
  <si>
    <t>5116525419</t>
  </si>
  <si>
    <t>AJI14105</t>
  </si>
  <si>
    <t>Wed Jul 09 08:02:04 IST 2025</t>
  </si>
  <si>
    <t>AF25GJ177102305</t>
  </si>
  <si>
    <t>Wed Jul 09 08:02:05 IST 2025</t>
  </si>
  <si>
    <t>FN5748602740</t>
  </si>
  <si>
    <t>Wed Jul 09 07:34:58 IST 2025</t>
  </si>
  <si>
    <t>5116525429</t>
  </si>
  <si>
    <t>AJI14110</t>
  </si>
  <si>
    <t>Wed Jul 09 08:02:01 IST 2025</t>
  </si>
  <si>
    <t>AF25GJ177102300</t>
  </si>
  <si>
    <t>Wed Jul 09 08:02:02 IST 2025</t>
  </si>
  <si>
    <t>FN6565603759</t>
  </si>
  <si>
    <t>Tue Jul 08 19:56:45 IST 2025</t>
  </si>
  <si>
    <t>5116525426</t>
  </si>
  <si>
    <t>AJI14109</t>
  </si>
  <si>
    <t>Wed Jul 09 08:01:59 IST 2025</t>
  </si>
  <si>
    <t>AF25GJ177102297</t>
  </si>
  <si>
    <t>Wed Jul 09 08:02:00 IST 2025</t>
  </si>
  <si>
    <t>FN9677603108</t>
  </si>
  <si>
    <t>Tue Jul 08 22:37:26 IST 2025</t>
  </si>
  <si>
    <t>5116525421</t>
  </si>
  <si>
    <t>AJI14104</t>
  </si>
  <si>
    <t>Wed Jul 09 08:01:55 IST 2025</t>
  </si>
  <si>
    <t>AF25GJ177102291</t>
  </si>
  <si>
    <t>FN4696607677</t>
  </si>
  <si>
    <t>Tue Jul 08 19:19:15 IST 2025</t>
  </si>
  <si>
    <t>5116525425</t>
  </si>
  <si>
    <t>AJI14108</t>
  </si>
  <si>
    <t>Wed Jul 09 08:01:46 IST 2025</t>
  </si>
  <si>
    <t>AF25GJ177102275</t>
  </si>
  <si>
    <t>701170766015</t>
  </si>
  <si>
    <t>AJI-1501-RED_XXL</t>
  </si>
  <si>
    <t>FN0041503364</t>
  </si>
  <si>
    <t>Tue Jul 08 23:34:01 IST 2025</t>
  </si>
  <si>
    <t>5116525424</t>
  </si>
  <si>
    <t>AJI14107</t>
  </si>
  <si>
    <t>Wed Jul 09 08:01:34 IST 2025</t>
  </si>
  <si>
    <t>AF25GJ177102260</t>
  </si>
  <si>
    <t>Wed Jul 09 08:01:35 IST 2025</t>
  </si>
  <si>
    <t>FN1877609986</t>
  </si>
  <si>
    <t>Tue Jul 08 19:29:16 IST 2025</t>
  </si>
  <si>
    <t>5116525423</t>
  </si>
  <si>
    <t>AJI14106</t>
  </si>
  <si>
    <t>Wed Jul 09 08:01:23 IST 2025</t>
  </si>
  <si>
    <t>AF25GJ177102244</t>
  </si>
  <si>
    <t>FN7297500303</t>
  </si>
  <si>
    <t>Tue Jul 08 22:39:29 IST 2025</t>
  </si>
  <si>
    <t>5116525420</t>
  </si>
  <si>
    <t>AJI14103</t>
  </si>
  <si>
    <t>Wed Jul 09 08:00:59 IST 2025</t>
  </si>
  <si>
    <t>AF25GJ177102208</t>
  </si>
  <si>
    <t>FN6645605094</t>
  </si>
  <si>
    <t>Tue Jul 08 12:40:48 IST 2025</t>
  </si>
  <si>
    <t>5116468111</t>
  </si>
  <si>
    <t>Tue Jul 08 00:00:00 IST 2025</t>
  </si>
  <si>
    <t>AJI14102</t>
  </si>
  <si>
    <t>Tue Jul 08 17:57:55 IST 2025</t>
  </si>
  <si>
    <t>AF25GJ177029647</t>
  </si>
  <si>
    <t>FN7577604681</t>
  </si>
  <si>
    <t>Tue Jul 08 10:54:57 IST 2025</t>
  </si>
  <si>
    <t>5116468112</t>
  </si>
  <si>
    <t>AJI14101</t>
  </si>
  <si>
    <t>Tue Jul 08 17:57:43 IST 2025</t>
  </si>
  <si>
    <t>AF25GJ177029589</t>
  </si>
  <si>
    <t>Tue Jul 08 17:57:44 IST 2025</t>
  </si>
  <si>
    <t>FN5448607849</t>
  </si>
  <si>
    <t>Tue Jul 08 10:45:39 IST 2025</t>
  </si>
  <si>
    <t>5116468145</t>
  </si>
  <si>
    <t>AJI14100</t>
  </si>
  <si>
    <t>Tue Jul 08 17:53:52 IST 2025</t>
  </si>
  <si>
    <t>AF25GJ177028023</t>
  </si>
  <si>
    <t>FN6448606146</t>
  </si>
  <si>
    <t>Tue Jul 08 10:49:04 IST 2025</t>
  </si>
  <si>
    <t>5116468141</t>
  </si>
  <si>
    <t>AJI14099</t>
  </si>
  <si>
    <t>Tue Jul 08 17:53:41 IST 2025</t>
  </si>
  <si>
    <t>AF25GJ177027988</t>
  </si>
  <si>
    <t>FN3277602917</t>
  </si>
  <si>
    <t>Tue Jul 08 08:45:56 IST 2025</t>
  </si>
  <si>
    <t>5116468135</t>
  </si>
  <si>
    <t>AJI14098</t>
  </si>
  <si>
    <t>Tue Jul 08 17:53:30 IST 2025</t>
  </si>
  <si>
    <t>AF25GJ177027943</t>
  </si>
  <si>
    <t>FN9448604112</t>
  </si>
  <si>
    <t>Tue Jul 08 13:11:37 IST 2025</t>
  </si>
  <si>
    <t>5116468146</t>
  </si>
  <si>
    <t>AJI14097</t>
  </si>
  <si>
    <t>Tue Jul 08 17:53:19 IST 2025</t>
  </si>
  <si>
    <t>AF25GJ177027893</t>
  </si>
  <si>
    <t>FN7548605040</t>
  </si>
  <si>
    <t>Tue Jul 08 16:35:49 IST 2025</t>
  </si>
  <si>
    <t>5116468142</t>
  </si>
  <si>
    <t>AJI14096</t>
  </si>
  <si>
    <t>Tue Jul 08 17:53:08 IST 2025</t>
  </si>
  <si>
    <t>AF25GJ177027838</t>
  </si>
  <si>
    <t>FN0750606589</t>
  </si>
  <si>
    <t>Tue Jul 08 16:53:54 IST 2025</t>
  </si>
  <si>
    <t>5116468143</t>
  </si>
  <si>
    <t>AJI14095</t>
  </si>
  <si>
    <t>Tue Jul 08 17:52:57 IST 2025</t>
  </si>
  <si>
    <t>AF25GJ177027781</t>
  </si>
  <si>
    <t>700329842012</t>
  </si>
  <si>
    <t>1596_BK_S</t>
  </si>
  <si>
    <t>EX0032580070</t>
  </si>
  <si>
    <t>Tue Jul 08 12:15:34 IST 2025</t>
  </si>
  <si>
    <t>5116468139</t>
  </si>
  <si>
    <t>AJI14094</t>
  </si>
  <si>
    <t>Tue Jul 08 17:52:46 IST 2025</t>
  </si>
  <si>
    <t>AF25GJ177027716</t>
  </si>
  <si>
    <t>FN6448608388</t>
  </si>
  <si>
    <t>Tue Jul 08 11:06:50 IST 2025</t>
  </si>
  <si>
    <t>5116468134</t>
  </si>
  <si>
    <t>AJI14093</t>
  </si>
  <si>
    <t>Tue Jul 08 17:52:34 IST 2025</t>
  </si>
  <si>
    <t>AF25GJ177027662</t>
  </si>
  <si>
    <t>Tue Jul 08 17:52:35 IST 2025</t>
  </si>
  <si>
    <t>FN8448607380</t>
  </si>
  <si>
    <t>Tue Jul 08 12:15:13 IST 2025</t>
  </si>
  <si>
    <t>5116468144</t>
  </si>
  <si>
    <t>AJI14092</t>
  </si>
  <si>
    <t>Tue Jul 08 17:52:23 IST 2025</t>
  </si>
  <si>
    <t>AF25GJ177027602</t>
  </si>
  <si>
    <t>FN4574606188</t>
  </si>
  <si>
    <t>Tue Jul 08 15:39:33 IST 2025</t>
  </si>
  <si>
    <t>5116468136</t>
  </si>
  <si>
    <t>AJI14091</t>
  </si>
  <si>
    <t>Tue Jul 08 17:52:12 IST 2025</t>
  </si>
  <si>
    <t>AF25GJ177027534</t>
  </si>
  <si>
    <t>FN0808608749</t>
  </si>
  <si>
    <t>Tue Jul 08 13:44:41 IST 2025</t>
  </si>
  <si>
    <t>5116468118</t>
  </si>
  <si>
    <t>AJI14090</t>
  </si>
  <si>
    <t>Tue Jul 08 17:52:00 IST 2025</t>
  </si>
  <si>
    <t>AF25GJ177027463</t>
  </si>
  <si>
    <t>Tue Jul 08 17:52:01 IST 2025</t>
  </si>
  <si>
    <t>FN9744606719</t>
  </si>
  <si>
    <t>Tue Jul 08 09:35:15 IST 2025</t>
  </si>
  <si>
    <t>5116468138</t>
  </si>
  <si>
    <t>AJI14089</t>
  </si>
  <si>
    <t>Tue Jul 08 17:51:49 IST 2025</t>
  </si>
  <si>
    <t>AF25GJ177027411</t>
  </si>
  <si>
    <t>Tue Jul 08 17:51:50 IST 2025</t>
  </si>
  <si>
    <t>FN5331602048</t>
  </si>
  <si>
    <t>Tue Jul 08 09:50:17 IST 2025</t>
  </si>
  <si>
    <t>5116468140</t>
  </si>
  <si>
    <t>AJI14088</t>
  </si>
  <si>
    <t>Tue Jul 08 17:51:38 IST 2025</t>
  </si>
  <si>
    <t>AF25GJ177027347</t>
  </si>
  <si>
    <t>FN2653602481</t>
  </si>
  <si>
    <t>Tue Jul 08 10:00:06 IST 2025</t>
  </si>
  <si>
    <t>5116468113</t>
  </si>
  <si>
    <t>AJI14087</t>
  </si>
  <si>
    <t>Tue Jul 08 17:51:27 IST 2025</t>
  </si>
  <si>
    <t>AF25GJ177027304</t>
  </si>
  <si>
    <t>Tue Jul 08 17:51:29 IST 2025</t>
  </si>
  <si>
    <t>FN3677604290</t>
  </si>
  <si>
    <t>Tue Jul 08 12:57:13 IST 2025</t>
  </si>
  <si>
    <t>5116468137</t>
  </si>
  <si>
    <t>AJI14086</t>
  </si>
  <si>
    <t>Tue Jul 08 17:51:15 IST 2025</t>
  </si>
  <si>
    <t>AF25GJ177027248</t>
  </si>
  <si>
    <t>Tue Jul 08 17:51:16 IST 2025</t>
  </si>
  <si>
    <t>FN5525507030</t>
  </si>
  <si>
    <t>Tue Jul 08 14:53:20 IST 2025</t>
  </si>
  <si>
    <t>5116468131</t>
  </si>
  <si>
    <t>AJI14085</t>
  </si>
  <si>
    <t>Tue Jul 08 17:51:04 IST 2025</t>
  </si>
  <si>
    <t>AF25GJ177027181</t>
  </si>
  <si>
    <t>Tue Jul 08 17:51:05 IST 2025</t>
  </si>
  <si>
    <t>FN0608601469</t>
  </si>
  <si>
    <t>Tue Jul 08 17:28:12 IST 2025</t>
  </si>
  <si>
    <t>5116468116</t>
  </si>
  <si>
    <t>AJI14084</t>
  </si>
  <si>
    <t>Tue Jul 08 17:50:42 IST 2025</t>
  </si>
  <si>
    <t>AF25GJ177027086</t>
  </si>
  <si>
    <t>FN9448607244</t>
  </si>
  <si>
    <t>Tue Jul 08 12:37:46 IST 2025</t>
  </si>
  <si>
    <t>5116468130</t>
  </si>
  <si>
    <t>AJI14083</t>
  </si>
  <si>
    <t>Tue Jul 08 17:50:30 IST 2025</t>
  </si>
  <si>
    <t>AF25GJ177027035</t>
  </si>
  <si>
    <t>Tue Jul 08 17:50:31 IST 2025</t>
  </si>
  <si>
    <t>FN0348607204</t>
  </si>
  <si>
    <t>Mon Jul 07 20:41:38 IST 2025</t>
  </si>
  <si>
    <t>5116381503</t>
  </si>
  <si>
    <t>AJI14082</t>
  </si>
  <si>
    <t>Tue Jul 08 08:11:16 IST 2025</t>
  </si>
  <si>
    <t>AF25GJ176844047</t>
  </si>
  <si>
    <t>Tue Jul 08 08:11:17 IST 2025</t>
  </si>
  <si>
    <t>FN8737604155</t>
  </si>
  <si>
    <t>Tue Jul 08 06:07:32 IST 2025</t>
  </si>
  <si>
    <t>5116381501</t>
  </si>
  <si>
    <t>AJI14081</t>
  </si>
  <si>
    <t>AF25GJ176844043</t>
  </si>
  <si>
    <t>FN1148601299</t>
  </si>
  <si>
    <t>Mon Jul 07 08:49:09 IST 2025</t>
  </si>
  <si>
    <t>5116381504</t>
  </si>
  <si>
    <t>AJI14080</t>
  </si>
  <si>
    <t>Tue Jul 08 08:11:05 IST 2025</t>
  </si>
  <si>
    <t>AF25GJ176844019</t>
  </si>
  <si>
    <t>EX0032537965</t>
  </si>
  <si>
    <t>Mon Jul 07 19:55:10 IST 2025</t>
  </si>
  <si>
    <t>5116381500</t>
  </si>
  <si>
    <t>AJI14079</t>
  </si>
  <si>
    <t>Tue Jul 08 08:11:00 IST 2025</t>
  </si>
  <si>
    <t>AF25GJ176844014</t>
  </si>
  <si>
    <t>Tue Jul 08 08:11:01 IST 2025</t>
  </si>
  <si>
    <t>FN8074609155</t>
  </si>
  <si>
    <t>Tue Jul 08 07:05:52 IST 2025</t>
  </si>
  <si>
    <t>5116381496</t>
  </si>
  <si>
    <t>AJI14078</t>
  </si>
  <si>
    <t>Tue Jul 08 08:10:51 IST 2025</t>
  </si>
  <si>
    <t>AF25GJ176844007</t>
  </si>
  <si>
    <t>FN0887609447</t>
  </si>
  <si>
    <t>Mon Jul 07 21:06:44 IST 2025</t>
  </si>
  <si>
    <t>5116381522</t>
  </si>
  <si>
    <t>AJI14077</t>
  </si>
  <si>
    <t>Tue Jul 08 08:10:41 IST 2025</t>
  </si>
  <si>
    <t>AF25GJ176843995</t>
  </si>
  <si>
    <t>FN5302608760</t>
  </si>
  <si>
    <t>Tue Jul 08 07:46:13 IST 2025</t>
  </si>
  <si>
    <t>5116381499</t>
  </si>
  <si>
    <t>AJI14076</t>
  </si>
  <si>
    <t>Tue Jul 08 08:10:40 IST 2025</t>
  </si>
  <si>
    <t>AF25GJ176843990</t>
  </si>
  <si>
    <t>FN2271603999</t>
  </si>
  <si>
    <t>Tue Jul 08 03:47:39 IST 2025</t>
  </si>
  <si>
    <t>5116381505</t>
  </si>
  <si>
    <t>AJI14075</t>
  </si>
  <si>
    <t>Tue Jul 08 08:10:38 IST 2025</t>
  </si>
  <si>
    <t>AF25GJ176843985</t>
  </si>
  <si>
    <t>Tue Jul 08 08:10:39 IST 2025</t>
  </si>
  <si>
    <t>FN6238601680</t>
  </si>
  <si>
    <t>Mon Jul 07 20:05:43 IST 2025</t>
  </si>
  <si>
    <t>5116381506</t>
  </si>
  <si>
    <t>AJI14074</t>
  </si>
  <si>
    <t>Tue Jul 08 08:10:32 IST 2025</t>
  </si>
  <si>
    <t>AF25GJ176843984</t>
  </si>
  <si>
    <t>FN7063603040</t>
  </si>
  <si>
    <t>Mon Jul 07 23:25:22 IST 2025</t>
  </si>
  <si>
    <t>5116381220</t>
  </si>
  <si>
    <t>AJI14073</t>
  </si>
  <si>
    <t>Tue Jul 08 08:09:05 IST 2025</t>
  </si>
  <si>
    <t>AF25GJ176843825</t>
  </si>
  <si>
    <t>Tue Jul 08 08:09:06 IST 2025</t>
  </si>
  <si>
    <t>FN4348600450</t>
  </si>
  <si>
    <t>Mon Jul 07 21:33:05 IST 2025</t>
  </si>
  <si>
    <t>5116381224</t>
  </si>
  <si>
    <t>AJI14072</t>
  </si>
  <si>
    <t>Tue Jul 08 08:08:41 IST 2025</t>
  </si>
  <si>
    <t>AF25GJ176843788</t>
  </si>
  <si>
    <t>Tue Jul 08 08:08:42 IST 2025</t>
  </si>
  <si>
    <t>FN1448604450</t>
  </si>
  <si>
    <t>Tue Jul 08 01:40:05 IST 2025</t>
  </si>
  <si>
    <t>5116381223</t>
  </si>
  <si>
    <t>AJI14071</t>
  </si>
  <si>
    <t>Tue Jul 08 08:08:36 IST 2025</t>
  </si>
  <si>
    <t>AF25GJ176843783</t>
  </si>
  <si>
    <t>Tue Jul 08 08:08:37 IST 2025</t>
  </si>
  <si>
    <t>EX0032576092</t>
  </si>
  <si>
    <t>Tue Jul 08 00:00:05 IST 2025</t>
  </si>
  <si>
    <t>5116381217</t>
  </si>
  <si>
    <t>AJI14070</t>
  </si>
  <si>
    <t>Tue Jul 08 08:08:29 IST 2025</t>
  </si>
  <si>
    <t>AF25GJ176843773</t>
  </si>
  <si>
    <t>FN0138607999</t>
  </si>
  <si>
    <t>Mon Jul 07 19:12:21 IST 2025</t>
  </si>
  <si>
    <t>5116381210</t>
  </si>
  <si>
    <t>AJI14069</t>
  </si>
  <si>
    <t>Tue Jul 08 08:08:18 IST 2025</t>
  </si>
  <si>
    <t>AF25GJ176843754</t>
  </si>
  <si>
    <t>FN0945606162</t>
  </si>
  <si>
    <t>Mon Jul 07 22:42:07 IST 2025</t>
  </si>
  <si>
    <t>5116381209</t>
  </si>
  <si>
    <t>AJI14068</t>
  </si>
  <si>
    <t>Tue Jul 08 08:08:13 IST 2025</t>
  </si>
  <si>
    <t>AF25GJ176843747</t>
  </si>
  <si>
    <t>FN1956509033</t>
  </si>
  <si>
    <t>Tue Jul 08 00:30:02 IST 2025</t>
  </si>
  <si>
    <t>5116381222</t>
  </si>
  <si>
    <t>AJI14067</t>
  </si>
  <si>
    <t>Tue Jul 08 08:08:04 IST 2025</t>
  </si>
  <si>
    <t>AF25GJ176843734</t>
  </si>
  <si>
    <t>Tue Jul 08 08:08:05 IST 2025</t>
  </si>
  <si>
    <t>FN8934600102</t>
  </si>
  <si>
    <t>Tue Jul 08 01:04:56 IST 2025</t>
  </si>
  <si>
    <t>5116381216</t>
  </si>
  <si>
    <t>AJI14066</t>
  </si>
  <si>
    <t>Tue Jul 08 08:07:56 IST 2025</t>
  </si>
  <si>
    <t>AF25GJ176843720</t>
  </si>
  <si>
    <t>Tue Jul 08 08:07:57 IST 2025</t>
  </si>
  <si>
    <t>FN9446603057</t>
  </si>
  <si>
    <t>Mon Jul 07 08:01:57 IST 2025</t>
  </si>
  <si>
    <t>5116323373</t>
  </si>
  <si>
    <t>Mon Jul 07 00:00:00 IST 2025</t>
  </si>
  <si>
    <t>AJI14062</t>
  </si>
  <si>
    <t>Tue Jul 08 08:07:46 IST 2025</t>
  </si>
  <si>
    <t>AF25GJ176843705</t>
  </si>
  <si>
    <t>FN5428601841</t>
  </si>
  <si>
    <t>Mon Jul 07 17:49:32 IST 2025</t>
  </si>
  <si>
    <t>5116323372</t>
  </si>
  <si>
    <t>AJI14065</t>
  </si>
  <si>
    <t>Tue Jul 08 08:07:42 IST 2025</t>
  </si>
  <si>
    <t>AF25GJ176843702</t>
  </si>
  <si>
    <t>FN0356606566</t>
  </si>
  <si>
    <t>Mon Jul 07 15:36:40 IST 2025</t>
  </si>
  <si>
    <t>5116323378</t>
  </si>
  <si>
    <t>AJI14064</t>
  </si>
  <si>
    <t>Tue Jul 08 08:07:32 IST 2025</t>
  </si>
  <si>
    <t>AF25GJ176843684</t>
  </si>
  <si>
    <t>FN3438602743</t>
  </si>
  <si>
    <t>Mon Jul 07 17:55:43 IST 2025</t>
  </si>
  <si>
    <t>5116323377</t>
  </si>
  <si>
    <t>AJI14063</t>
  </si>
  <si>
    <t>Tue Jul 08 08:07:24 IST 2025</t>
  </si>
  <si>
    <t>AF25GJ176843670</t>
  </si>
  <si>
    <t>Tue Jul 08 08:07:25 IST 2025</t>
  </si>
  <si>
    <t>EX0032546641</t>
  </si>
  <si>
    <t>Mon Jul 07 16:30:04 IST 2025</t>
  </si>
  <si>
    <t>5116323376</t>
  </si>
  <si>
    <t>AJI14061</t>
  </si>
  <si>
    <t>Mon Jul 07 18:01:02 IST 2025</t>
  </si>
  <si>
    <t>AF25GJ176770626</t>
  </si>
  <si>
    <t>Mon Jul 07 18:01:03 IST 2025</t>
  </si>
  <si>
    <t>EX0032551597</t>
  </si>
  <si>
    <t>Mon Jul 07 16:35:19 IST 2025</t>
  </si>
  <si>
    <t>5116323375</t>
  </si>
  <si>
    <t>AJI14060</t>
  </si>
  <si>
    <t>Mon Jul 07 18:00:51 IST 2025</t>
  </si>
  <si>
    <t>AF25GJ176770582</t>
  </si>
  <si>
    <t>Mon Jul 07 18:00:52 IST 2025</t>
  </si>
  <si>
    <t>FN3638605433</t>
  </si>
  <si>
    <t>Mon Jul 07 16:25:26 IST 2025</t>
  </si>
  <si>
    <t>5116323374</t>
  </si>
  <si>
    <t>AJI14059</t>
  </si>
  <si>
    <t>Mon Jul 07 18:00:40 IST 2025</t>
  </si>
  <si>
    <t>AF25GJ176770533</t>
  </si>
  <si>
    <t>FN1997605749</t>
  </si>
  <si>
    <t>Mon Jul 07 11:30:46 IST 2025</t>
  </si>
  <si>
    <t>5116323371</t>
  </si>
  <si>
    <t>AJI14058</t>
  </si>
  <si>
    <t>Mon Jul 07 18:00:28 IST 2025</t>
  </si>
  <si>
    <t>AF25GJ176770492</t>
  </si>
  <si>
    <t>FN2187607026</t>
  </si>
  <si>
    <t>Mon Jul 07 05:23:39 IST 2025</t>
  </si>
  <si>
    <t>5116210556</t>
  </si>
  <si>
    <t>AJI14057</t>
  </si>
  <si>
    <t>Mon Jul 07 08:22:53 IST 2025</t>
  </si>
  <si>
    <t>AF25GJ176537508</t>
  </si>
  <si>
    <t>Mon Jul 07 08:22:58 IST 2025</t>
  </si>
  <si>
    <t>466918053016</t>
  </si>
  <si>
    <t>FLRD-1090-1093</t>
  </si>
  <si>
    <t>1090_WN_XS</t>
  </si>
  <si>
    <t>FN8048604033</t>
  </si>
  <si>
    <t>Mon Jul 07 01:08:20 IST 2025</t>
  </si>
  <si>
    <t>5116212520</t>
  </si>
  <si>
    <t>AJI14056</t>
  </si>
  <si>
    <t>Mon Jul 07 08:17:05 IST 2025</t>
  </si>
  <si>
    <t>AF25GJ176535526</t>
  </si>
  <si>
    <t>Mon Jul 07 08:17:11 IST 2025</t>
  </si>
  <si>
    <t>FN3938603885</t>
  </si>
  <si>
    <t>Sun Jul 06 18:36:22 IST 2025</t>
  </si>
  <si>
    <t>5116210558</t>
  </si>
  <si>
    <t>AJI14055</t>
  </si>
  <si>
    <t>Mon Jul 07 08:16:01 IST 2025</t>
  </si>
  <si>
    <t>AF25GJ176534873</t>
  </si>
  <si>
    <t>Mon Jul 07 08:16:02 IST 2025</t>
  </si>
  <si>
    <t>FN7048600213</t>
  </si>
  <si>
    <t>Mon Jul 07 00:25:28 IST 2025</t>
  </si>
  <si>
    <t>5116212506</t>
  </si>
  <si>
    <t>AJI14054</t>
  </si>
  <si>
    <t>Mon Jul 07 08:15:21 IST 2025</t>
  </si>
  <si>
    <t>AF25GJ176534486</t>
  </si>
  <si>
    <t>Mon Jul 07 08:15:22 IST 2025</t>
  </si>
  <si>
    <t>FN0328600388</t>
  </si>
  <si>
    <t>Sun Jul 06 15:43:31 IST 2025</t>
  </si>
  <si>
    <t>5116212512</t>
  </si>
  <si>
    <t>AJI14053</t>
  </si>
  <si>
    <t>Mon Jul 07 08:15:14 IST 2025</t>
  </si>
  <si>
    <t>AF25GJ176534476</t>
  </si>
  <si>
    <t>Mon Jul 07 08:15:20 IST 2025</t>
  </si>
  <si>
    <t>FN1875606634</t>
  </si>
  <si>
    <t>Mon Jul 07 00:46:44 IST 2025</t>
  </si>
  <si>
    <t>5116210637</t>
  </si>
  <si>
    <t>AJI14052</t>
  </si>
  <si>
    <t>Mon Jul 07 08:15:09 IST 2025</t>
  </si>
  <si>
    <t>AF25GJ176534444</t>
  </si>
  <si>
    <t>Mon Jul 07 08:15:15 IST 2025</t>
  </si>
  <si>
    <t>FN7897601052</t>
  </si>
  <si>
    <t>Sun Jul 06 14:10:57 IST 2025</t>
  </si>
  <si>
    <t>5116212510</t>
  </si>
  <si>
    <t>AJI14051</t>
  </si>
  <si>
    <t>Mon Jul 07 08:15:03 IST 2025</t>
  </si>
  <si>
    <t>AF25GJ176534405</t>
  </si>
  <si>
    <t>FN8537606099</t>
  </si>
  <si>
    <t>Sun Jul 06 14:12:50 IST 2025</t>
  </si>
  <si>
    <t>5116212513</t>
  </si>
  <si>
    <t>AJI14050</t>
  </si>
  <si>
    <t>Mon Jul 07 08:14:57 IST 2025</t>
  </si>
  <si>
    <t>AF25GJ176534342</t>
  </si>
  <si>
    <t>FN6038608968</t>
  </si>
  <si>
    <t>Mon Jul 07 00:55:25 IST 2025</t>
  </si>
  <si>
    <t>5116210634</t>
  </si>
  <si>
    <t>AJI14049</t>
  </si>
  <si>
    <t>Mon Jul 07 08:14:56 IST 2025</t>
  </si>
  <si>
    <t>AF25GJ176534334</t>
  </si>
  <si>
    <t>Mon Jul 07 08:15:02 IST 2025</t>
  </si>
  <si>
    <t>FN6729506860</t>
  </si>
  <si>
    <t>Sun Jul 06 14:16:27 IST 2025</t>
  </si>
  <si>
    <t>5116212509</t>
  </si>
  <si>
    <t>AJI14048</t>
  </si>
  <si>
    <t>Mon Jul 07 08:14:46 IST 2025</t>
  </si>
  <si>
    <t>AF25GJ176534223</t>
  </si>
  <si>
    <t>Mon Jul 07 08:14:51 IST 2025</t>
  </si>
  <si>
    <t>FN8886601765</t>
  </si>
  <si>
    <t>Sun Jul 06 14:29:31 IST 2025</t>
  </si>
  <si>
    <t>5116212508</t>
  </si>
  <si>
    <t>AJI14047</t>
  </si>
  <si>
    <t>Mon Jul 07 08:14:35 IST 2025</t>
  </si>
  <si>
    <t>AF25GJ176534085</t>
  </si>
  <si>
    <t>Mon Jul 07 08:14:37 IST 2025</t>
  </si>
  <si>
    <t>FN5937604392</t>
  </si>
  <si>
    <t>Sun Jul 06 17:14:56 IST 2025</t>
  </si>
  <si>
    <t>5116212505</t>
  </si>
  <si>
    <t>AJI14046</t>
  </si>
  <si>
    <t>Mon Jul 07 08:14:30 IST 2025</t>
  </si>
  <si>
    <t>AF25GJ176534074</t>
  </si>
  <si>
    <t>Mon Jul 07 08:14:36 IST 2025</t>
  </si>
  <si>
    <t>FN9608602205</t>
  </si>
  <si>
    <t>Sun Jul 06 17:42:23 IST 2025</t>
  </si>
  <si>
    <t>5116212514</t>
  </si>
  <si>
    <t>AJI14045</t>
  </si>
  <si>
    <t>Mon Jul 07 08:14:21 IST 2025</t>
  </si>
  <si>
    <t>AF25GJ176534011</t>
  </si>
  <si>
    <t>Mon Jul 07 08:14:27 IST 2025</t>
  </si>
  <si>
    <t>FN6738602154</t>
  </si>
  <si>
    <t>Sun Jul 06 17:54:59 IST 2025</t>
  </si>
  <si>
    <t>5116212504</t>
  </si>
  <si>
    <t>AJI14044</t>
  </si>
  <si>
    <t>Mon Jul 07 08:14:16 IST 2025</t>
  </si>
  <si>
    <t>AF25GJ176533964</t>
  </si>
  <si>
    <t>FN1148607220</t>
  </si>
  <si>
    <t>Mon Jul 07 07:50:29 IST 2025</t>
  </si>
  <si>
    <t>5116210623</t>
  </si>
  <si>
    <t>AJI14043</t>
  </si>
  <si>
    <t>Mon Jul 07 08:14:09 IST 2025</t>
  </si>
  <si>
    <t>AF25GJ176533894</t>
  </si>
  <si>
    <t>Mon Jul 07 08:14:15 IST 2025</t>
  </si>
  <si>
    <t>FN7938605462</t>
  </si>
  <si>
    <t>Sun Jul 06 20:12:45 IST 2025</t>
  </si>
  <si>
    <t>5116212511</t>
  </si>
  <si>
    <t>AJI14042</t>
  </si>
  <si>
    <t>Mon Jul 07 08:14:06 IST 2025</t>
  </si>
  <si>
    <t>AF25GJ176533859</t>
  </si>
  <si>
    <t>Mon Jul 07 08:14:12 IST 2025</t>
  </si>
  <si>
    <t>FN5538601770</t>
  </si>
  <si>
    <t>Sun Jul 06 20:28:34 IST 2025</t>
  </si>
  <si>
    <t>5116210638</t>
  </si>
  <si>
    <t>AJI14041</t>
  </si>
  <si>
    <t>Mon Jul 07 08:14:00 IST 2025</t>
  </si>
  <si>
    <t>AF25GJ176533809</t>
  </si>
  <si>
    <t>Mon Jul 07 08:14:03 IST 2025</t>
  </si>
  <si>
    <t>FN0928604120</t>
  </si>
  <si>
    <t>Sun Jul 06 20:47:50 IST 2025</t>
  </si>
  <si>
    <t>5116210635</t>
  </si>
  <si>
    <t>AJI14040</t>
  </si>
  <si>
    <t>Mon Jul 07 08:13:49 IST 2025</t>
  </si>
  <si>
    <t>AF25GJ176533724</t>
  </si>
  <si>
    <t>Mon Jul 07 08:13:50 IST 2025</t>
  </si>
  <si>
    <t>FN0697604095</t>
  </si>
  <si>
    <t>Sun Jul 06 20:49:51 IST 2025</t>
  </si>
  <si>
    <t>5116210636</t>
  </si>
  <si>
    <t>AJI14039</t>
  </si>
  <si>
    <t>Mon Jul 07 08:13:45 IST 2025</t>
  </si>
  <si>
    <t>AF25GJ176533694</t>
  </si>
  <si>
    <t>FN8938608519</t>
  </si>
  <si>
    <t>Sun Jul 06 20:56:08 IST 2025</t>
  </si>
  <si>
    <t>5116210633</t>
  </si>
  <si>
    <t>AJI14038</t>
  </si>
  <si>
    <t>Mon Jul 07 08:13:34 IST 2025</t>
  </si>
  <si>
    <t>AF25GJ176533644</t>
  </si>
  <si>
    <t>Mon Jul 07 08:13:35 IST 2025</t>
  </si>
  <si>
    <t>FN5217603813</t>
  </si>
  <si>
    <t>Sat Jul 05 14:23:37 IST 2025</t>
  </si>
  <si>
    <t>5116210606</t>
  </si>
  <si>
    <t>AJI14037</t>
  </si>
  <si>
    <t>Mon Jul 07 08:13:33 IST 2025</t>
  </si>
  <si>
    <t>AF25GJ176533639</t>
  </si>
  <si>
    <t>FN9938607931</t>
  </si>
  <si>
    <t>Sun Jul 06 21:05:05 IST 2025</t>
  </si>
  <si>
    <t>5116210632</t>
  </si>
  <si>
    <t>AJI14036</t>
  </si>
  <si>
    <t>Mon Jul 07 08:13:29 IST 2025</t>
  </si>
  <si>
    <t>AF25GJ176533606</t>
  </si>
  <si>
    <t>FN3638607876</t>
  </si>
  <si>
    <t>Sun Jul 06 23:09:40 IST 2025</t>
  </si>
  <si>
    <t>5116212507</t>
  </si>
  <si>
    <t>AJI14035</t>
  </si>
  <si>
    <t>Mon Jul 07 08:13:17 IST 2025</t>
  </si>
  <si>
    <t>AF25GJ176533530</t>
  </si>
  <si>
    <t>Mon Jul 07 08:13:20 IST 2025</t>
  </si>
  <si>
    <t>FN2048600602</t>
  </si>
  <si>
    <t>Sun Jul 06 22:29:13 IST 2025</t>
  </si>
  <si>
    <t>5116210631</t>
  </si>
  <si>
    <t>AJI14034</t>
  </si>
  <si>
    <t>Mon Jul 07 08:13:08 IST 2025</t>
  </si>
  <si>
    <t>AF25GJ176533463</t>
  </si>
  <si>
    <t>Mon Jul 07 08:13:13 IST 2025</t>
  </si>
  <si>
    <t>FN1667600367</t>
  </si>
  <si>
    <t>Sun Jul 06 23:11:04 IST 2025</t>
  </si>
  <si>
    <t>5116210630</t>
  </si>
  <si>
    <t>AJI14033</t>
  </si>
  <si>
    <t>Mon Jul 07 08:12:56 IST 2025</t>
  </si>
  <si>
    <t>AF25GJ176533349</t>
  </si>
  <si>
    <t>Mon Jul 07 08:12:58 IST 2025</t>
  </si>
  <si>
    <t>FN4048604709</t>
  </si>
  <si>
    <t>Sun Jul 06 23:31:18 IST 2025</t>
  </si>
  <si>
    <t>5116210629</t>
  </si>
  <si>
    <t>AJI14032</t>
  </si>
  <si>
    <t>Mon Jul 07 08:12:47 IST 2025</t>
  </si>
  <si>
    <t>AF25GJ176533283</t>
  </si>
  <si>
    <t>Mon Jul 07 08:12:48 IST 2025</t>
  </si>
  <si>
    <t>983.41</t>
  </si>
  <si>
    <t>23.41</t>
  </si>
  <si>
    <t>468.29</t>
  </si>
  <si>
    <t>936.58</t>
  </si>
  <si>
    <t>FN6195600487</t>
  </si>
  <si>
    <t>Sun Jul 06 22:36:57 IST 2025</t>
  </si>
  <si>
    <t>5116210628</t>
  </si>
  <si>
    <t>AJI14031</t>
  </si>
  <si>
    <t>Mon Jul 07 08:12:39 IST 2025</t>
  </si>
  <si>
    <t>AF25GJ176533263</t>
  </si>
  <si>
    <t>Mon Jul 07 08:12:45 IST 2025</t>
  </si>
  <si>
    <t>FN5256500428</t>
  </si>
  <si>
    <t>Sun Jul 06 22:40:04 IST 2025</t>
  </si>
  <si>
    <t>5116210624</t>
  </si>
  <si>
    <t>AJI14030</t>
  </si>
  <si>
    <t>Mon Jul 07 08:12:31 IST 2025</t>
  </si>
  <si>
    <t>AF25GJ176533193</t>
  </si>
  <si>
    <t>Mon Jul 07 08:12:36 IST 2025</t>
  </si>
  <si>
    <t>FN5277608382</t>
  </si>
  <si>
    <t>Sun Jul 06 23:44:41 IST 2025</t>
  </si>
  <si>
    <t>5116210625</t>
  </si>
  <si>
    <t>AJI14029</t>
  </si>
  <si>
    <t>Mon Jul 07 08:12:23 IST 2025</t>
  </si>
  <si>
    <t>AF25GJ176533100</t>
  </si>
  <si>
    <t>Mon Jul 07 08:12:27 IST 2025</t>
  </si>
  <si>
    <t>FN9957605216</t>
  </si>
  <si>
    <t>Mon Jul 07 00:00:51 IST 2025</t>
  </si>
  <si>
    <t>5116210622</t>
  </si>
  <si>
    <t>AJI14028</t>
  </si>
  <si>
    <t>Mon Jul 07 08:12:12 IST 2025</t>
  </si>
  <si>
    <t>AF25GJ176533040</t>
  </si>
  <si>
    <t>Mon Jul 07 08:12:13 IST 2025</t>
  </si>
  <si>
    <t>FN8765606433</t>
  </si>
  <si>
    <t>Sun Jul 06 21:39:50 IST 2025</t>
  </si>
  <si>
    <t>5116210615</t>
  </si>
  <si>
    <t>AJI14020</t>
  </si>
  <si>
    <t>Mon Jul 07 08:12:07 IST 2025</t>
  </si>
  <si>
    <t>AF25GJ176533024</t>
  </si>
  <si>
    <t>Mon Jul 07 08:12:08 IST 2025</t>
  </si>
  <si>
    <t>FN8787603220</t>
  </si>
  <si>
    <t>Sun Jul 06 16:09:14 IST 2025</t>
  </si>
  <si>
    <t>5116210621</t>
  </si>
  <si>
    <t>AJI14027</t>
  </si>
  <si>
    <t>Mon Jul 07 08:12:03 IST 2025</t>
  </si>
  <si>
    <t>AF25GJ176533011</t>
  </si>
  <si>
    <t>Mon Jul 07 08:12:05 IST 2025</t>
  </si>
  <si>
    <t>FN3885609745</t>
  </si>
  <si>
    <t>Mon Jul 07 00:01:44 IST 2025</t>
  </si>
  <si>
    <t>5116210626</t>
  </si>
  <si>
    <t>AJI14026</t>
  </si>
  <si>
    <t>Mon Jul 07 08:12:01 IST 2025</t>
  </si>
  <si>
    <t>AF25GJ176532991</t>
  </si>
  <si>
    <t>FN2593500675</t>
  </si>
  <si>
    <t>Sun Jul 06 21:41:39 IST 2025</t>
  </si>
  <si>
    <t>5116210614</t>
  </si>
  <si>
    <t>AJI14018</t>
  </si>
  <si>
    <t>Mon Jul 07 08:11:57 IST 2025</t>
  </si>
  <si>
    <t>AF25GJ176532986</t>
  </si>
  <si>
    <t>Mon Jul 07 08:11:59 IST 2025</t>
  </si>
  <si>
    <t>FN4087608201</t>
  </si>
  <si>
    <t>Sun Jul 06 16:14:54 IST 2025</t>
  </si>
  <si>
    <t>5116210627</t>
  </si>
  <si>
    <t>AJI14025</t>
  </si>
  <si>
    <t>Mon Jul 07 08:11:53 IST 2025</t>
  </si>
  <si>
    <t>AF25GJ176532960</t>
  </si>
  <si>
    <t>FN3014604797</t>
  </si>
  <si>
    <t>Sun Jul 06 16:28:39 IST 2025</t>
  </si>
  <si>
    <t>5116210619</t>
  </si>
  <si>
    <t>AJI14024</t>
  </si>
  <si>
    <t>Mon Jul 07 08:11:41 IST 2025</t>
  </si>
  <si>
    <t>AF25GJ176532921</t>
  </si>
  <si>
    <t>FN2577608066</t>
  </si>
  <si>
    <t>Sun Jul 06 21:10:38 IST 2025</t>
  </si>
  <si>
    <t>5116210620</t>
  </si>
  <si>
    <t>AJI14023</t>
  </si>
  <si>
    <t>Mon Jul 07 08:11:31 IST 2025</t>
  </si>
  <si>
    <t>AF25GJ176532884</t>
  </si>
  <si>
    <t>FN7938605825</t>
  </si>
  <si>
    <t>Sun Jul 06 21:09:08 IST 2025</t>
  </si>
  <si>
    <t>5116210618</t>
  </si>
  <si>
    <t>AJI14022</t>
  </si>
  <si>
    <t>Mon Jul 07 08:11:29 IST 2025</t>
  </si>
  <si>
    <t>AF25GJ176532881</t>
  </si>
  <si>
    <t>Mon Jul 07 08:11:30 IST 2025</t>
  </si>
  <si>
    <t>FN7016601013</t>
  </si>
  <si>
    <t>Sun Jul 06 21:34:27 IST 2025</t>
  </si>
  <si>
    <t>5116210617</t>
  </si>
  <si>
    <t>AJI14021</t>
  </si>
  <si>
    <t>Mon Jul 07 08:11:21 IST 2025</t>
  </si>
  <si>
    <t>AF25GJ176532853</t>
  </si>
  <si>
    <t>Mon Jul 07 08:11:22 IST 2025</t>
  </si>
  <si>
    <t>FN6247608247</t>
  </si>
  <si>
    <t>Sun Jul 06 21:54:55 IST 2025</t>
  </si>
  <si>
    <t>5116210611</t>
  </si>
  <si>
    <t>AJI14017</t>
  </si>
  <si>
    <t>Mon Jul 07 08:11:03 IST 2025</t>
  </si>
  <si>
    <t>AF25GJ176532790</t>
  </si>
  <si>
    <t>Mon Jul 07 08:11:04 IST 2025</t>
  </si>
  <si>
    <t>FN8338605715</t>
  </si>
  <si>
    <t>Sat Jul 05 10:53:42 IST 2025</t>
  </si>
  <si>
    <t>5116210616</t>
  </si>
  <si>
    <t>AJI14016</t>
  </si>
  <si>
    <t>Mon Jul 07 08:10:57 IST 2025</t>
  </si>
  <si>
    <t>AF25GJ176532769</t>
  </si>
  <si>
    <t>Mon Jul 07 08:10:58 IST 2025</t>
  </si>
  <si>
    <t>FN3518604212</t>
  </si>
  <si>
    <t>Sun Jul 06 22:01:45 IST 2025</t>
  </si>
  <si>
    <t>5116210612</t>
  </si>
  <si>
    <t>AJI14015</t>
  </si>
  <si>
    <t>Mon Jul 07 08:10:54 IST 2025</t>
  </si>
  <si>
    <t>AF25GJ176532756</t>
  </si>
  <si>
    <t>FN7515303551</t>
  </si>
  <si>
    <t>Sat Jul 05 10:53:57 IST 2025</t>
  </si>
  <si>
    <t>5116210613</t>
  </si>
  <si>
    <t>AJI14014</t>
  </si>
  <si>
    <t>Mon Jul 07 08:10:47 IST 2025</t>
  </si>
  <si>
    <t>AF25GJ176532753</t>
  </si>
  <si>
    <t>Mon Jul 07 08:10:53 IST 2025</t>
  </si>
  <si>
    <t>467041708002</t>
  </si>
  <si>
    <t>1282_GRY_M</t>
  </si>
  <si>
    <t>EX0032531565</t>
  </si>
  <si>
    <t>Sun Jul 06 08:25:08 IST 2025</t>
  </si>
  <si>
    <t>5116210609</t>
  </si>
  <si>
    <t>AJI14013</t>
  </si>
  <si>
    <t>Mon Jul 07 08:10:43 IST 2025</t>
  </si>
  <si>
    <t>AF25GJ176532740</t>
  </si>
  <si>
    <t>Mon Jul 07 08:10:48 IST 2025</t>
  </si>
  <si>
    <t>FL0383723084</t>
  </si>
  <si>
    <t>Sat Jul 05 14:33:34 IST 2025</t>
  </si>
  <si>
    <t>5116210608</t>
  </si>
  <si>
    <t>AJI14012</t>
  </si>
  <si>
    <t>Mon Jul 07 08:10:38 IST 2025</t>
  </si>
  <si>
    <t>AF25GJ176532712</t>
  </si>
  <si>
    <t>Mon Jul 07 08:10:41 IST 2025</t>
  </si>
  <si>
    <t>467170359004</t>
  </si>
  <si>
    <t>AJI1429</t>
  </si>
  <si>
    <t>AJIO-1429_PNK_S</t>
  </si>
  <si>
    <t>FN5887602135</t>
  </si>
  <si>
    <t>Sat Jul 05 10:54:07 IST 2025</t>
  </si>
  <si>
    <t>5116210610</t>
  </si>
  <si>
    <t>AJI14011</t>
  </si>
  <si>
    <t>Mon Jul 07 08:10:37 IST 2025</t>
  </si>
  <si>
    <t>AF25GJ176532710</t>
  </si>
  <si>
    <t>Mon Jul 07 08:10:39 IST 2025</t>
  </si>
  <si>
    <t>FN2446606026</t>
  </si>
  <si>
    <t>Sun Jul 06 00:21:41 IST 2025</t>
  </si>
  <si>
    <t>5116210603</t>
  </si>
  <si>
    <t>AJI14010</t>
  </si>
  <si>
    <t>Mon Jul 07 08:10:35 IST 2025</t>
  </si>
  <si>
    <t>AF25GJ176532702</t>
  </si>
  <si>
    <t>FN3128608108</t>
  </si>
  <si>
    <t>Sun Jul 06 08:48:05 IST 2025</t>
  </si>
  <si>
    <t>5116210607</t>
  </si>
  <si>
    <t>AJI14009</t>
  </si>
  <si>
    <t>Mon Jul 07 08:10:32 IST 2025</t>
  </si>
  <si>
    <t>AF25GJ176532697</t>
  </si>
  <si>
    <t>Mon Jul 07 08:10:34 IST 2025</t>
  </si>
  <si>
    <t>FN5567600150</t>
  </si>
  <si>
    <t>Sat Jul 05 20:41:29 IST 2025</t>
  </si>
  <si>
    <t>5116210605</t>
  </si>
  <si>
    <t>AJI14008</t>
  </si>
  <si>
    <t>Mon Jul 07 08:10:27 IST 2025</t>
  </si>
  <si>
    <t>AF25GJ176532688</t>
  </si>
  <si>
    <t>Mon Jul 07 08:10:30 IST 2025</t>
  </si>
  <si>
    <t>FN8006604703</t>
  </si>
  <si>
    <t>Sun Jul 06 00:10:15 IST 2025</t>
  </si>
  <si>
    <t>5116210604</t>
  </si>
  <si>
    <t>AJI14007</t>
  </si>
  <si>
    <t>Mon Jul 07 08:10:21 IST 2025</t>
  </si>
  <si>
    <t>AF25GJ176532673</t>
  </si>
  <si>
    <t>Mon Jul 07 08:10:24 IST 2025</t>
  </si>
  <si>
    <t>FN1192606545</t>
  </si>
  <si>
    <t>Sat Jul 05 22:09:55 IST 2025</t>
  </si>
  <si>
    <t>5116210597</t>
  </si>
  <si>
    <t>AJI14006</t>
  </si>
  <si>
    <t>Mon Jul 07 08:10:15 IST 2025</t>
  </si>
  <si>
    <t>AF25GJ176532662</t>
  </si>
  <si>
    <t>Mon Jul 07 08:10:20 IST 2025</t>
  </si>
  <si>
    <t>FN7638601563</t>
  </si>
  <si>
    <t>Sun Jul 06 00:23:25 IST 2025</t>
  </si>
  <si>
    <t>5116210601</t>
  </si>
  <si>
    <t>AJI14005</t>
  </si>
  <si>
    <t>Mon Jul 07 08:10:13 IST 2025</t>
  </si>
  <si>
    <t>AF25GJ176532652</t>
  </si>
  <si>
    <t>Mon Jul 07 08:10:16 IST 2025</t>
  </si>
  <si>
    <t>FN5063406204</t>
  </si>
  <si>
    <t>Sat Jul 05 22:13:55 IST 2025</t>
  </si>
  <si>
    <t>5116210602</t>
  </si>
  <si>
    <t>AJI14004</t>
  </si>
  <si>
    <t>Mon Jul 07 08:10:07 IST 2025</t>
  </si>
  <si>
    <t>AF25GJ176532643</t>
  </si>
  <si>
    <t>Mon Jul 07 08:10:11 IST 2025</t>
  </si>
  <si>
    <t>701045948032</t>
  </si>
  <si>
    <t>1649-DBRN_38</t>
  </si>
  <si>
    <t>FN0738607712</t>
  </si>
  <si>
    <t>Sun Jul 06 06:32:06 IST 2025</t>
  </si>
  <si>
    <t>5116210598</t>
  </si>
  <si>
    <t>AJI14003</t>
  </si>
  <si>
    <t>Mon Jul 07 08:10:02 IST 2025</t>
  </si>
  <si>
    <t>AF25GJ176532627</t>
  </si>
  <si>
    <t>Mon Jul 07 08:10:03 IST 2025</t>
  </si>
  <si>
    <t>FN5595607793</t>
  </si>
  <si>
    <t>Sun Jul 06 01:47:31 IST 2025</t>
  </si>
  <si>
    <t>5116210599</t>
  </si>
  <si>
    <t>AJI14002</t>
  </si>
  <si>
    <t>Mon Jul 07 08:09:56 IST 2025</t>
  </si>
  <si>
    <t>AF25GJ176532609</t>
  </si>
  <si>
    <t>Mon Jul 07 08:09:57 IST 2025</t>
  </si>
  <si>
    <t>FN7495607808</t>
  </si>
  <si>
    <t>Sat Jul 05 22:28:40 IST 2025</t>
  </si>
  <si>
    <t>5116210600</t>
  </si>
  <si>
    <t>AJI14001</t>
  </si>
  <si>
    <t>AF25GJ176532608</t>
  </si>
  <si>
    <t>FN4638603930</t>
  </si>
  <si>
    <t>Sat Jul 05 22:45:26 IST 2025</t>
  </si>
  <si>
    <t>5116210595</t>
  </si>
  <si>
    <t>AJI14000</t>
  </si>
  <si>
    <t>Mon Jul 07 08:09:49 IST 2025</t>
  </si>
  <si>
    <t>AF25GJ176532590</t>
  </si>
  <si>
    <t>FN3638605269</t>
  </si>
  <si>
    <t>Sat Jul 05 22:37:26 IST 2025</t>
  </si>
  <si>
    <t>5116210594</t>
  </si>
  <si>
    <t>AJI13999</t>
  </si>
  <si>
    <t>Mon Jul 07 08:09:45 IST 2025</t>
  </si>
  <si>
    <t>AF25GJ176532584</t>
  </si>
  <si>
    <t>Mon Jul 07 08:09:46 IST 2025</t>
  </si>
  <si>
    <t>701300619034</t>
  </si>
  <si>
    <t>1653-PCH_M</t>
  </si>
  <si>
    <t>FN9638600240</t>
  </si>
  <si>
    <t>Sun Jul 06 01:57:27 IST 2025</t>
  </si>
  <si>
    <t>5116210593</t>
  </si>
  <si>
    <t>AJI13998</t>
  </si>
  <si>
    <t>AF25GJ176532579</t>
  </si>
  <si>
    <t>FN6389503063</t>
  </si>
  <si>
    <t>Sat Jul 05 22:54:44 IST 2025</t>
  </si>
  <si>
    <t>5116210590</t>
  </si>
  <si>
    <t>AJI13997</t>
  </si>
  <si>
    <t>Mon Jul 07 08:09:38 IST 2025</t>
  </si>
  <si>
    <t>AF25GJ176532561</t>
  </si>
  <si>
    <t>FN2738606077</t>
  </si>
  <si>
    <t>Sun Jul 06 09:19:41 IST 2025</t>
  </si>
  <si>
    <t>5116210596</t>
  </si>
  <si>
    <t>AJI13996</t>
  </si>
  <si>
    <t>Mon Jul 07 08:09:33 IST 2025</t>
  </si>
  <si>
    <t>AF25GJ176532550</t>
  </si>
  <si>
    <t>FN8462605651</t>
  </si>
  <si>
    <t>Sat Jul 05 22:56:04 IST 2025</t>
  </si>
  <si>
    <t>5116210584</t>
  </si>
  <si>
    <t>AJI13995</t>
  </si>
  <si>
    <t>Mon Jul 07 08:09:28 IST 2025</t>
  </si>
  <si>
    <t>AF25GJ176532539</t>
  </si>
  <si>
    <t>FN4228603377</t>
  </si>
  <si>
    <t>Sun Jul 06 02:29:49 IST 2025</t>
  </si>
  <si>
    <t>5116210592</t>
  </si>
  <si>
    <t>AJI13994</t>
  </si>
  <si>
    <t>Mon Jul 07 08:09:22 IST 2025</t>
  </si>
  <si>
    <t>AF25GJ176532529</t>
  </si>
  <si>
    <t>Mon Jul 07 08:09:23 IST 2025</t>
  </si>
  <si>
    <t>FN6797601967</t>
  </si>
  <si>
    <t>Sat Jul 05 11:14:58 IST 2025</t>
  </si>
  <si>
    <t>5116210588</t>
  </si>
  <si>
    <t>AJI13993</t>
  </si>
  <si>
    <t>Mon Jul 07 08:09:18 IST 2025</t>
  </si>
  <si>
    <t>AF25GJ176532516</t>
  </si>
  <si>
    <t>FN7538609434</t>
  </si>
  <si>
    <t>Sun Jul 06 02:56:01 IST 2025</t>
  </si>
  <si>
    <t>5116210586</t>
  </si>
  <si>
    <t>AJI13992</t>
  </si>
  <si>
    <t>Mon Jul 07 08:09:11 IST 2025</t>
  </si>
  <si>
    <t>AF25GJ176532502</t>
  </si>
  <si>
    <t>Mon Jul 07 08:09:12 IST 2025</t>
  </si>
  <si>
    <t>FN9338602513</t>
  </si>
  <si>
    <t>Sat Jul 05 11:15:25 IST 2025</t>
  </si>
  <si>
    <t>5116210581</t>
  </si>
  <si>
    <t>AJI13991</t>
  </si>
  <si>
    <t>Mon Jul 07 08:09:06 IST 2025</t>
  </si>
  <si>
    <t>AF25GJ176532484</t>
  </si>
  <si>
    <t>Mon Jul 07 08:09:07 IST 2025</t>
  </si>
  <si>
    <t>FN4226604277</t>
  </si>
  <si>
    <t>Sun Jul 06 13:17:27 IST 2025</t>
  </si>
  <si>
    <t>5116210583</t>
  </si>
  <si>
    <t>AJI13990</t>
  </si>
  <si>
    <t>Mon Jul 07 08:09:00 IST 2025</t>
  </si>
  <si>
    <t>AF25GJ176532471</t>
  </si>
  <si>
    <t>FN5962608511</t>
  </si>
  <si>
    <t>Sat Jul 05 09:47:55 IST 2025</t>
  </si>
  <si>
    <t>5116210585</t>
  </si>
  <si>
    <t>AJI13989</t>
  </si>
  <si>
    <t>Mon Jul 07 08:08:55 IST 2025</t>
  </si>
  <si>
    <t>AF25GJ176532455</t>
  </si>
  <si>
    <t>FN8755506994</t>
  </si>
  <si>
    <t>Sun Jul 06 13:32:42 IST 2025</t>
  </si>
  <si>
    <t>5116210587</t>
  </si>
  <si>
    <t>AJI13988</t>
  </si>
  <si>
    <t>Mon Jul 07 08:08:48 IST 2025</t>
  </si>
  <si>
    <t>AF25GJ176532442</t>
  </si>
  <si>
    <t>Mon Jul 07 08:08:50 IST 2025</t>
  </si>
  <si>
    <t>FN5338605435</t>
  </si>
  <si>
    <t>Sat Jul 05 08:23:35 IST 2025</t>
  </si>
  <si>
    <t>5116210591</t>
  </si>
  <si>
    <t>AJI13987</t>
  </si>
  <si>
    <t>Mon Jul 07 08:08:47 IST 2025</t>
  </si>
  <si>
    <t>AF25GJ176532439</t>
  </si>
  <si>
    <t>Mon Jul 07 08:08:49 IST 2025</t>
  </si>
  <si>
    <t>FN5423600021</t>
  </si>
  <si>
    <t>Sat Jul 05 09:57:45 IST 2025</t>
  </si>
  <si>
    <t>5116210578</t>
  </si>
  <si>
    <t>AJI13986</t>
  </si>
  <si>
    <t>Mon Jul 07 08:08:43 IST 2025</t>
  </si>
  <si>
    <t>AF25GJ176532426</t>
  </si>
  <si>
    <t>Mon Jul 07 08:08:44 IST 2025</t>
  </si>
  <si>
    <t>FN3897600490</t>
  </si>
  <si>
    <t>Sun Jul 06 13:43:50 IST 2025</t>
  </si>
  <si>
    <t>5116210580</t>
  </si>
  <si>
    <t>AJI13985</t>
  </si>
  <si>
    <t>Mon Jul 07 08:08:37 IST 2025</t>
  </si>
  <si>
    <t>AF25GJ176532413</t>
  </si>
  <si>
    <t>FN2928605819</t>
  </si>
  <si>
    <t>Sat Jul 05 17:43:15 IST 2025</t>
  </si>
  <si>
    <t>5116210589</t>
  </si>
  <si>
    <t>AJI13984</t>
  </si>
  <si>
    <t>Mon Jul 07 08:08:32 IST 2025</t>
  </si>
  <si>
    <t>AF25GJ176532405</t>
  </si>
  <si>
    <t>FN2838605450</t>
  </si>
  <si>
    <t>Sun Jul 06 13:58:27 IST 2025</t>
  </si>
  <si>
    <t>5116210582</t>
  </si>
  <si>
    <t>AJI13983</t>
  </si>
  <si>
    <t>Mon Jul 07 08:08:25 IST 2025</t>
  </si>
  <si>
    <t>AF25GJ176532394</t>
  </si>
  <si>
    <t>Mon Jul 07 08:08:27 IST 2025</t>
  </si>
  <si>
    <t>FN8528607526</t>
  </si>
  <si>
    <t>Sat Jul 05 12:00:54 IST 2025</t>
  </si>
  <si>
    <t>5116210569</t>
  </si>
  <si>
    <t>AJI13982</t>
  </si>
  <si>
    <t>Mon Jul 07 08:08:17 IST 2025</t>
  </si>
  <si>
    <t>AF25GJ176532332</t>
  </si>
  <si>
    <t>Mon Jul 07 08:08:20 IST 2025</t>
  </si>
  <si>
    <t>FN2592608723</t>
  </si>
  <si>
    <t>Sat Jul 05 16:01:44 IST 2025</t>
  </si>
  <si>
    <t>5116210579</t>
  </si>
  <si>
    <t>AJI13981</t>
  </si>
  <si>
    <t>Mon Jul 07 08:08:16 IST 2025</t>
  </si>
  <si>
    <t>AF25GJ176532254</t>
  </si>
  <si>
    <t>FN5618608841</t>
  </si>
  <si>
    <t>Sun Jul 06 12:15:08 IST 2025</t>
  </si>
  <si>
    <t>5116210574</t>
  </si>
  <si>
    <t>AJI13980</t>
  </si>
  <si>
    <t>Mon Jul 07 08:08:14 IST 2025</t>
  </si>
  <si>
    <t>AF25GJ176532196</t>
  </si>
  <si>
    <t>Mon Jul 07 08:08:15 IST 2025</t>
  </si>
  <si>
    <t>FN3338607714</t>
  </si>
  <si>
    <t>Sun Jul 06 12:51:16 IST 2025</t>
  </si>
  <si>
    <t>5116210573</t>
  </si>
  <si>
    <t>AJI13979</t>
  </si>
  <si>
    <t>Mon Jul 07 08:08:06 IST 2025</t>
  </si>
  <si>
    <t>AF25GJ176532163</t>
  </si>
  <si>
    <t>Mon Jul 07 08:08:12 IST 2025</t>
  </si>
  <si>
    <t>EX0032530317</t>
  </si>
  <si>
    <t>Sat Jul 05 09:00:05 IST 2025</t>
  </si>
  <si>
    <t>5116210577</t>
  </si>
  <si>
    <t>AJI13978</t>
  </si>
  <si>
    <t>Mon Jul 07 08:08:03 IST 2025</t>
  </si>
  <si>
    <t>AF25GJ176532151</t>
  </si>
  <si>
    <t>Mon Jul 07 08:08:09 IST 2025</t>
  </si>
  <si>
    <t>FN6338607891</t>
  </si>
  <si>
    <t>Sat Jul 05 08:56:18 IST 2025</t>
  </si>
  <si>
    <t>5116210576</t>
  </si>
  <si>
    <t>AJI13977</t>
  </si>
  <si>
    <t>Mon Jul 07 08:07:51 IST 2025</t>
  </si>
  <si>
    <t>AF25GJ176532094</t>
  </si>
  <si>
    <t>FN8812609712</t>
  </si>
  <si>
    <t>Sun Jul 06 10:47:07 IST 2025</t>
  </si>
  <si>
    <t>5116210568</t>
  </si>
  <si>
    <t>AJI13976</t>
  </si>
  <si>
    <t>Mon Jul 07 08:07:44 IST 2025</t>
  </si>
  <si>
    <t>AF25GJ176532082</t>
  </si>
  <si>
    <t>Mon Jul 07 08:07:45 IST 2025</t>
  </si>
  <si>
    <t>FN5967609564</t>
  </si>
  <si>
    <t>Sat Jul 05 16:55:44 IST 2025</t>
  </si>
  <si>
    <t>5116210575</t>
  </si>
  <si>
    <t>AJI13975</t>
  </si>
  <si>
    <t>Mon Jul 07 08:07:39 IST 2025</t>
  </si>
  <si>
    <t>AF25GJ176532069</t>
  </si>
  <si>
    <t>Mon Jul 07 08:07:40 IST 2025</t>
  </si>
  <si>
    <t>FN9528605392</t>
  </si>
  <si>
    <t>Sun Jul 06 11:00:20 IST 2025</t>
  </si>
  <si>
    <t>5116210567</t>
  </si>
  <si>
    <t>AJI13974</t>
  </si>
  <si>
    <t>Mon Jul 07 08:07:33 IST 2025</t>
  </si>
  <si>
    <t>AF25GJ176532039</t>
  </si>
  <si>
    <t>FN3424601255</t>
  </si>
  <si>
    <t>Sat Jul 05 14:01:33 IST 2025</t>
  </si>
  <si>
    <t>5116210570</t>
  </si>
  <si>
    <t>AJI13973</t>
  </si>
  <si>
    <t>Mon Jul 07 08:07:27 IST 2025</t>
  </si>
  <si>
    <t>AF25GJ176532028</t>
  </si>
  <si>
    <t>Mon Jul 07 08:07:28 IST 2025</t>
  </si>
  <si>
    <t>FN2865600578</t>
  </si>
  <si>
    <t>Sun Jul 06 10:31:16 IST 2025</t>
  </si>
  <si>
    <t>5116210566</t>
  </si>
  <si>
    <t>AJI13972</t>
  </si>
  <si>
    <t>Mon Jul 07 08:07:21 IST 2025</t>
  </si>
  <si>
    <t>AF25GJ176532002</t>
  </si>
  <si>
    <t>Mon Jul 07 08:07:22 IST 2025</t>
  </si>
  <si>
    <t>FN9638606876</t>
  </si>
  <si>
    <t>Sun Jul 06 05:10:31 IST 2025</t>
  </si>
  <si>
    <t>5116209970</t>
  </si>
  <si>
    <t>AJI13971</t>
  </si>
  <si>
    <t>Mon Jul 07 08:07:17 IST 2025</t>
  </si>
  <si>
    <t>AF25GJ176531985</t>
  </si>
  <si>
    <t>Mon Jul 07 08:07:18 IST 2025</t>
  </si>
  <si>
    <t>FN6318600814</t>
  </si>
  <si>
    <t>Sat Jul 05 16:34:06 IST 2025</t>
  </si>
  <si>
    <t>5116210565</t>
  </si>
  <si>
    <t>AJI13970</t>
  </si>
  <si>
    <t>Mon Jul 07 08:07:12 IST 2025</t>
  </si>
  <si>
    <t>AF25GJ176531957</t>
  </si>
  <si>
    <t>Mon Jul 07 08:07:13 IST 2025</t>
  </si>
  <si>
    <t>FN0487603876</t>
  </si>
  <si>
    <t>Sat Jul 05 10:36:19 IST 2025</t>
  </si>
  <si>
    <t>5116210572</t>
  </si>
  <si>
    <t>AJI13969</t>
  </si>
  <si>
    <t>Mon Jul 07 08:07:00 IST 2025</t>
  </si>
  <si>
    <t>AF25GJ176531905</t>
  </si>
  <si>
    <t>FN9218605534</t>
  </si>
  <si>
    <t>Sun Jul 06 07:53:53 IST 2025</t>
  </si>
  <si>
    <t>5116210559</t>
  </si>
  <si>
    <t>AJI13968</t>
  </si>
  <si>
    <t>Mon Jul 07 08:06:41 IST 2025</t>
  </si>
  <si>
    <t>AF25GJ176531876</t>
  </si>
  <si>
    <t>Mon Jul 07 08:06:46 IST 2025</t>
  </si>
  <si>
    <t>FN3796602556</t>
  </si>
  <si>
    <t>Sat Jul 05 12:29:18 IST 2025</t>
  </si>
  <si>
    <t>5116210563</t>
  </si>
  <si>
    <t>AJI13967</t>
  </si>
  <si>
    <t>Mon Jul 07 08:06:37 IST 2025</t>
  </si>
  <si>
    <t>AF25GJ176531867</t>
  </si>
  <si>
    <t>Mon Jul 07 08:06:43 IST 2025</t>
  </si>
  <si>
    <t>FN9187606214</t>
  </si>
  <si>
    <t>Sat Jul 05 13:11:24 IST 2025</t>
  </si>
  <si>
    <t>5116210557</t>
  </si>
  <si>
    <t>AJI13966</t>
  </si>
  <si>
    <t>Mon Jul 07 08:06:25 IST 2025</t>
  </si>
  <si>
    <t>AF25GJ176531816</t>
  </si>
  <si>
    <t>Mon Jul 07 08:06:31 IST 2025</t>
  </si>
  <si>
    <t>FN4787605322</t>
  </si>
  <si>
    <t>Sat Jul 05 16:28:31 IST 2025</t>
  </si>
  <si>
    <t>5116210560</t>
  </si>
  <si>
    <t>AJI13965</t>
  </si>
  <si>
    <t>Mon Jul 07 08:06:24 IST 2025</t>
  </si>
  <si>
    <t>AF25GJ176531789</t>
  </si>
  <si>
    <t>FN9808604446</t>
  </si>
  <si>
    <t>Sat Jul 05 18:48:36 IST 2025</t>
  </si>
  <si>
    <t>5116209985</t>
  </si>
  <si>
    <t>AJI13964</t>
  </si>
  <si>
    <t>Mon Jul 07 08:06:13 IST 2025</t>
  </si>
  <si>
    <t>AF25GJ176531755</t>
  </si>
  <si>
    <t>Mon Jul 07 08:06:19 IST 2025</t>
  </si>
  <si>
    <t>FN3938600731</t>
  </si>
  <si>
    <t>Sun Jul 06 18:23:00 IST 2025</t>
  </si>
  <si>
    <t>5116210571</t>
  </si>
  <si>
    <t>AJI13963</t>
  </si>
  <si>
    <t>Mon Jul 07 08:06:06 IST 2025</t>
  </si>
  <si>
    <t>AF25GJ176531722</t>
  </si>
  <si>
    <t>FN4997600826</t>
  </si>
  <si>
    <t>Sun Jul 06 18:35:46 IST 2025</t>
  </si>
  <si>
    <t>5116210562</t>
  </si>
  <si>
    <t>AJI13962</t>
  </si>
  <si>
    <t>Mon Jul 07 08:06:00 IST 2025</t>
  </si>
  <si>
    <t>AF25GJ176531674</t>
  </si>
  <si>
    <t>FN2967403140</t>
  </si>
  <si>
    <t>Sun Jul 06 11:17:20 IST 2025</t>
  </si>
  <si>
    <t>5116209972</t>
  </si>
  <si>
    <t>AJI13961</t>
  </si>
  <si>
    <t>AF25GJ176531672</t>
  </si>
  <si>
    <t>FN2928606122</t>
  </si>
  <si>
    <t>Sun Jul 06 18:24:19 IST 2025</t>
  </si>
  <si>
    <t>5116210564</t>
  </si>
  <si>
    <t>AJI13960</t>
  </si>
  <si>
    <t>Mon Jul 07 08:05:53 IST 2025</t>
  </si>
  <si>
    <t>AF25GJ176531653</t>
  </si>
  <si>
    <t>Mon Jul 07 08:05:54 IST 2025</t>
  </si>
  <si>
    <t>FN2738601095</t>
  </si>
  <si>
    <t>Sun Jul 06 11:22:04 IST 2025</t>
  </si>
  <si>
    <t>5116209976</t>
  </si>
  <si>
    <t>AJI13959</t>
  </si>
  <si>
    <t>Mon Jul 07 08:05:47 IST 2025</t>
  </si>
  <si>
    <t>AF25GJ176531640</t>
  </si>
  <si>
    <t>FN6246603327</t>
  </si>
  <si>
    <t>Sun Jul 06 18:25:43 IST 2025</t>
  </si>
  <si>
    <t>5116210561</t>
  </si>
  <si>
    <t>AJI13958</t>
  </si>
  <si>
    <t>Mon Jul 07 08:05:42 IST 2025</t>
  </si>
  <si>
    <t>AF25GJ176531634</t>
  </si>
  <si>
    <t>FN4628602100</t>
  </si>
  <si>
    <t>Sun Jul 06 11:45:50 IST 2025</t>
  </si>
  <si>
    <t>5116209971</t>
  </si>
  <si>
    <t>AJI13957</t>
  </si>
  <si>
    <t>Mon Jul 07 08:05:35 IST 2025</t>
  </si>
  <si>
    <t>AF25GJ176531625</t>
  </si>
  <si>
    <t>Mon Jul 07 08:05:36 IST 2025</t>
  </si>
  <si>
    <t>FN5638602102</t>
  </si>
  <si>
    <t>Sat Jul 05 23:34:41 IST 2025</t>
  </si>
  <si>
    <t>5116209979</t>
  </si>
  <si>
    <t>AJI13956</t>
  </si>
  <si>
    <t>Mon Jul 07 08:05:21 IST 2025</t>
  </si>
  <si>
    <t>AF25GJ176531599</t>
  </si>
  <si>
    <t>Mon Jul 07 08:05:22 IST 2025</t>
  </si>
  <si>
    <t>467072551012</t>
  </si>
  <si>
    <t>AJI-1323_BL_M</t>
  </si>
  <si>
    <t>FN6638605315</t>
  </si>
  <si>
    <t>Sat Jul 05 23:49:44 IST 2025</t>
  </si>
  <si>
    <t>5116209977</t>
  </si>
  <si>
    <t>AJI13955</t>
  </si>
  <si>
    <t>Mon Jul 07 08:05:09 IST 2025</t>
  </si>
  <si>
    <t>AF25GJ176531566</t>
  </si>
  <si>
    <t>Mon Jul 07 08:05:15 IST 2025</t>
  </si>
  <si>
    <t>FN2718605366</t>
  </si>
  <si>
    <t>Sat Jul 05 12:41:35 IST 2025</t>
  </si>
  <si>
    <t>5116209968</t>
  </si>
  <si>
    <t>AJI13954</t>
  </si>
  <si>
    <t>Mon Jul 07 08:04:58 IST 2025</t>
  </si>
  <si>
    <t>AF25GJ176531479</t>
  </si>
  <si>
    <t>FN7421606171</t>
  </si>
  <si>
    <t>Sat Jul 05 12:41:41 IST 2025</t>
  </si>
  <si>
    <t>5116209969</t>
  </si>
  <si>
    <t>AJI13953</t>
  </si>
  <si>
    <t>Mon Jul 07 08:04:46 IST 2025</t>
  </si>
  <si>
    <t>AF25GJ176531455</t>
  </si>
  <si>
    <t>Mon Jul 07 08:04:47 IST 2025</t>
  </si>
  <si>
    <t>FN8965608562</t>
  </si>
  <si>
    <t>Sat Jul 05 02:20:11 IST 2025</t>
  </si>
  <si>
    <t>5115928032</t>
  </si>
  <si>
    <t>Sat Jul 05 00:00:00 IST 2025</t>
  </si>
  <si>
    <t>AJI13952</t>
  </si>
  <si>
    <t>Mon Jul 07 08:04:34 IST 2025</t>
  </si>
  <si>
    <t>AF25GJ176531437</t>
  </si>
  <si>
    <t>Mon Jul 07 08:04:35 IST 2025</t>
  </si>
  <si>
    <t>701045948031</t>
  </si>
  <si>
    <t>1649-DBRN_28</t>
  </si>
  <si>
    <t>FN1038602972</t>
  </si>
  <si>
    <t>Sat Jul 05 06:38:45 IST 2025</t>
  </si>
  <si>
    <t>5115928029</t>
  </si>
  <si>
    <t>AJI13951</t>
  </si>
  <si>
    <t>Mon Jul 07 08:04:23 IST 2025</t>
  </si>
  <si>
    <t>AF25GJ176531421</t>
  </si>
  <si>
    <t>FN3688505077</t>
  </si>
  <si>
    <t>Sun Jul 06 18:57:07 IST 2025</t>
  </si>
  <si>
    <t>5116209983</t>
  </si>
  <si>
    <t>AJI13950</t>
  </si>
  <si>
    <t>Mon Jul 07 08:02:32 IST 2025</t>
  </si>
  <si>
    <t>AF25GJ176531180</t>
  </si>
  <si>
    <t>Mon Jul 07 08:02:33 IST 2025</t>
  </si>
  <si>
    <t>FN6108607239</t>
  </si>
  <si>
    <t>Sun Jul 06 19:29:58 IST 2025</t>
  </si>
  <si>
    <t>5116209981</t>
  </si>
  <si>
    <t>AJI13949</t>
  </si>
  <si>
    <t>Mon Jul 07 08:02:23 IST 2025</t>
  </si>
  <si>
    <t>AF25GJ176531156</t>
  </si>
  <si>
    <t>FN7206602303</t>
  </si>
  <si>
    <t>Sun Jul 06 19:45:51 IST 2025</t>
  </si>
  <si>
    <t>5116209982</t>
  </si>
  <si>
    <t>AJI13948</t>
  </si>
  <si>
    <t>Mon Jul 07 08:02:12 IST 2025</t>
  </si>
  <si>
    <t>AF25GJ176531133</t>
  </si>
  <si>
    <t>FN6938602703</t>
  </si>
  <si>
    <t>Sun Jul 06 19:47:24 IST 2025</t>
  </si>
  <si>
    <t>5116209978</t>
  </si>
  <si>
    <t>AJI13947</t>
  </si>
  <si>
    <t>Mon Jul 07 08:02:04 IST 2025</t>
  </si>
  <si>
    <t>AF25GJ176531113</t>
  </si>
  <si>
    <t>467170359006</t>
  </si>
  <si>
    <t>AJIO-1429_PNK_3XL</t>
  </si>
  <si>
    <t>FN1245606945</t>
  </si>
  <si>
    <t>Sun Jul 06 19:47:29 IST 2025</t>
  </si>
  <si>
    <t>5116209980</t>
  </si>
  <si>
    <t>AJI13946</t>
  </si>
  <si>
    <t>Mon Jul 07 08:02:00 IST 2025</t>
  </si>
  <si>
    <t>AF25GJ176531109</t>
  </si>
  <si>
    <t>Mon Jul 07 08:02:01 IST 2025</t>
  </si>
  <si>
    <t>FN1738609694</t>
  </si>
  <si>
    <t>Sun Jul 06 15:16:17 IST 2025</t>
  </si>
  <si>
    <t>5116209975</t>
  </si>
  <si>
    <t>AJI13945</t>
  </si>
  <si>
    <t>Mon Jul 07 08:01:53 IST 2025</t>
  </si>
  <si>
    <t>AF25GJ176531096</t>
  </si>
  <si>
    <t>FN5838602700</t>
  </si>
  <si>
    <t>Sun Jul 06 15:16:30 IST 2025</t>
  </si>
  <si>
    <t>5116209973</t>
  </si>
  <si>
    <t>AJI13944</t>
  </si>
  <si>
    <t>Mon Jul 07 08:01:41 IST 2025</t>
  </si>
  <si>
    <t>AF25GJ176531066</t>
  </si>
  <si>
    <t>FN6807607853</t>
  </si>
  <si>
    <t>Sun Jul 06 15:32:16 IST 2025</t>
  </si>
  <si>
    <t>5116209974</t>
  </si>
  <si>
    <t>AJI13943</t>
  </si>
  <si>
    <t>Mon Jul 07 08:01:31 IST 2025</t>
  </si>
  <si>
    <t>AF25GJ176531030</t>
  </si>
  <si>
    <t>FN3469506415</t>
  </si>
  <si>
    <t>Fri Jul 04 23:08:21 IST 2025</t>
  </si>
  <si>
    <t>5115928052</t>
  </si>
  <si>
    <t>AJI13942</t>
  </si>
  <si>
    <t>Sat Jul 05 08:23:54 IST 2025</t>
  </si>
  <si>
    <t>AF25GJ176059548</t>
  </si>
  <si>
    <t>FN8828605009</t>
  </si>
  <si>
    <t>Sat Jul 05 00:29:17 IST 2025</t>
  </si>
  <si>
    <t>5115928045</t>
  </si>
  <si>
    <t>AJI13941</t>
  </si>
  <si>
    <t>Sat Jul 05 08:23:39 IST 2025</t>
  </si>
  <si>
    <t>AF25GJ176059526</t>
  </si>
  <si>
    <t>Sat Jul 05 08:23:40 IST 2025</t>
  </si>
  <si>
    <t>FN7728602862</t>
  </si>
  <si>
    <t>Fri Jul 04 23:40:23 IST 2025</t>
  </si>
  <si>
    <t>5115928044</t>
  </si>
  <si>
    <t>AJI13940</t>
  </si>
  <si>
    <t>Sat Jul 05 08:23:38 IST 2025</t>
  </si>
  <si>
    <t>AF25GJ176059525</t>
  </si>
  <si>
    <t>FN6855607614</t>
  </si>
  <si>
    <t>Sat Jul 05 00:43:51 IST 2025</t>
  </si>
  <si>
    <t>5115928039</t>
  </si>
  <si>
    <t>AJI13939</t>
  </si>
  <si>
    <t>Sat Jul 05 08:23:30 IST 2025</t>
  </si>
  <si>
    <t>AF25GJ176059515</t>
  </si>
  <si>
    <t>Sat Jul 05 08:23:31 IST 2025</t>
  </si>
  <si>
    <t>FN0815607678</t>
  </si>
  <si>
    <t>Fri Jul 04 23:52:23 IST 2025</t>
  </si>
  <si>
    <t>5115928043</t>
  </si>
  <si>
    <t>AJI13938</t>
  </si>
  <si>
    <t>Sat Jul 05 08:23:28 IST 2025</t>
  </si>
  <si>
    <t>AF25GJ176059510</t>
  </si>
  <si>
    <t>FN1338605499</t>
  </si>
  <si>
    <t>Sat Jul 05 00:51:57 IST 2025</t>
  </si>
  <si>
    <t>5115928041</t>
  </si>
  <si>
    <t>AJI13937</t>
  </si>
  <si>
    <t>Sat Jul 05 08:23:23 IST 2025</t>
  </si>
  <si>
    <t>AF25GJ176059501</t>
  </si>
  <si>
    <t>Sat Jul 05 08:23:24 IST 2025</t>
  </si>
  <si>
    <t>700907680006</t>
  </si>
  <si>
    <t>AJIO1629-1632</t>
  </si>
  <si>
    <t>1629_BK_34</t>
  </si>
  <si>
    <t>FN3815609268</t>
  </si>
  <si>
    <t>Fri Jul 04 19:54:25 IST 2025</t>
  </si>
  <si>
    <t>5115928036</t>
  </si>
  <si>
    <t>AJI13936</t>
  </si>
  <si>
    <t>Sat Jul 05 08:23:20 IST 2025</t>
  </si>
  <si>
    <t>AF25GJ176059498</t>
  </si>
  <si>
    <t>Sat Jul 05 08:23:21 IST 2025</t>
  </si>
  <si>
    <t>FN3187601907</t>
  </si>
  <si>
    <t>Sat Jul 05 00:58:19 IST 2025</t>
  </si>
  <si>
    <t>5115928040</t>
  </si>
  <si>
    <t>AJI13934</t>
  </si>
  <si>
    <t>AF25GJ176059497</t>
  </si>
  <si>
    <t>FN2927609170</t>
  </si>
  <si>
    <t>Sat Jul 05 01:14:13 IST 2025</t>
  </si>
  <si>
    <t>5115928037</t>
  </si>
  <si>
    <t>AJI13932</t>
  </si>
  <si>
    <t>Sat Jul 05 08:23:09 IST 2025</t>
  </si>
  <si>
    <t>AF25GJ176059476</t>
  </si>
  <si>
    <t>Sat Jul 05 08:23:10 IST 2025</t>
  </si>
  <si>
    <t>EX0032506843</t>
  </si>
  <si>
    <t>Fri Jul 04 17:31:03 IST 2025</t>
  </si>
  <si>
    <t>5115928034</t>
  </si>
  <si>
    <t>AJI13933</t>
  </si>
  <si>
    <t>AF25GJ176059477</t>
  </si>
  <si>
    <t>FN5072503114</t>
  </si>
  <si>
    <t>Fri Jul 04 21:31:43 IST 2025</t>
  </si>
  <si>
    <t>5115928035</t>
  </si>
  <si>
    <t>AJI13931</t>
  </si>
  <si>
    <t>Sat Jul 05 08:23:03 IST 2025</t>
  </si>
  <si>
    <t>AF25GJ176059467</t>
  </si>
  <si>
    <t>700661653003</t>
  </si>
  <si>
    <t>AJI1572</t>
  </si>
  <si>
    <t>1572_GRN_XL</t>
  </si>
  <si>
    <t>312.82</t>
  </si>
  <si>
    <t>7.45</t>
  </si>
  <si>
    <t>297.92</t>
  </si>
  <si>
    <t>FN6418602551</t>
  </si>
  <si>
    <t>Fri Jul 04 20:59:22 IST 2025</t>
  </si>
  <si>
    <t>5115928042</t>
  </si>
  <si>
    <t>AJI13930</t>
  </si>
  <si>
    <t>Sat Jul 05 08:23:01 IST 2025</t>
  </si>
  <si>
    <t>AF25GJ176059462</t>
  </si>
  <si>
    <t>FN9897600249</t>
  </si>
  <si>
    <t>Fri Jul 04 22:05:55 IST 2025</t>
  </si>
  <si>
    <t>5115928031</t>
  </si>
  <si>
    <t>AJI13929</t>
  </si>
  <si>
    <t>Sat Jul 05 08:22:59 IST 2025</t>
  </si>
  <si>
    <t>AF25GJ176059453</t>
  </si>
  <si>
    <t>Sat Jul 05 08:23:00 IST 2025</t>
  </si>
  <si>
    <t>EX0032524349</t>
  </si>
  <si>
    <t>Fri Jul 04 21:20:08 IST 2025</t>
  </si>
  <si>
    <t>5115928038</t>
  </si>
  <si>
    <t>AJI13928</t>
  </si>
  <si>
    <t>Sat Jul 05 08:22:50 IST 2025</t>
  </si>
  <si>
    <t>AF25GJ176059434</t>
  </si>
  <si>
    <t>Sat Jul 05 08:22:51 IST 2025</t>
  </si>
  <si>
    <t>FN1998204736</t>
  </si>
  <si>
    <t>Fri Jul 04 22:59:30 IST 2025</t>
  </si>
  <si>
    <t>5115928030</t>
  </si>
  <si>
    <t>AJI13927</t>
  </si>
  <si>
    <t>Sat Jul 05 08:22:49 IST 2025</t>
  </si>
  <si>
    <t>AF25GJ176059431</t>
  </si>
  <si>
    <t>FN3366608112</t>
  </si>
  <si>
    <t>Fri Jul 04 21:25:33 IST 2025</t>
  </si>
  <si>
    <t>5115928033</t>
  </si>
  <si>
    <t>AJI13926</t>
  </si>
  <si>
    <t>Sat Jul 05 08:22:39 IST 2025</t>
  </si>
  <si>
    <t>AF25GJ176059415</t>
  </si>
  <si>
    <t>Sat Jul 05 08:22:40 IST 2025</t>
  </si>
  <si>
    <t>FN6044600651</t>
  </si>
  <si>
    <t>Fri Jul 04 15:52:56 IST 2025</t>
  </si>
  <si>
    <t>5115882667</t>
  </si>
  <si>
    <t>Fri Jul 04 00:00:00 IST 2025</t>
  </si>
  <si>
    <t>AJI13925</t>
  </si>
  <si>
    <t>Fri Jul 04 19:48:16 IST 2025</t>
  </si>
  <si>
    <t>AF25GJ176011371</t>
  </si>
  <si>
    <t>Fri Jul 04 19:48:17 IST 2025</t>
  </si>
  <si>
    <t>EX0032505781</t>
  </si>
  <si>
    <t>Fri Jul 04 13:25:14 IST 2025</t>
  </si>
  <si>
    <t>5115882668</t>
  </si>
  <si>
    <t>AJI13924</t>
  </si>
  <si>
    <t>Fri Jul 04 19:48:10 IST 2025</t>
  </si>
  <si>
    <t>AF25GJ176011348</t>
  </si>
  <si>
    <t>1116.23</t>
  </si>
  <si>
    <t>1063.08</t>
  </si>
  <si>
    <t>FN5196601713</t>
  </si>
  <si>
    <t>Fri Jul 04 10:59:20 IST 2025</t>
  </si>
  <si>
    <t>5115882671</t>
  </si>
  <si>
    <t>AJI13923</t>
  </si>
  <si>
    <t>Fri Jul 04 19:48:08 IST 2025</t>
  </si>
  <si>
    <t>AF25GJ176011345</t>
  </si>
  <si>
    <t>Fri Jul 04 19:48:09 IST 2025</t>
  </si>
  <si>
    <t>700210515039</t>
  </si>
  <si>
    <t>1328(AJIO)_BK_L</t>
  </si>
  <si>
    <t>FN0418600265</t>
  </si>
  <si>
    <t>Fri Jul 04 10:59:30 IST 2025</t>
  </si>
  <si>
    <t>5115882670</t>
  </si>
  <si>
    <t>AJI13922</t>
  </si>
  <si>
    <t>Fri Jul 04 19:48:01 IST 2025</t>
  </si>
  <si>
    <t>AF25GJ176011330</t>
  </si>
  <si>
    <t>Fri Jul 04 19:48:02 IST 2025</t>
  </si>
  <si>
    <t>FN3038602052</t>
  </si>
  <si>
    <t>Fri Jul 04 11:10:23 IST 2025</t>
  </si>
  <si>
    <t>5115882669</t>
  </si>
  <si>
    <t>AJI13920</t>
  </si>
  <si>
    <t>Fri Jul 04 19:47:56 IST 2025</t>
  </si>
  <si>
    <t>AF25GJ176011318</t>
  </si>
  <si>
    <t>Fri Jul 04 19:47:57 IST 2025</t>
  </si>
  <si>
    <t>FN7914606050</t>
  </si>
  <si>
    <t>Fri Jul 04 11:14:52 IST 2025</t>
  </si>
  <si>
    <t>5115882665</t>
  </si>
  <si>
    <t>AJI13919</t>
  </si>
  <si>
    <t>Fri Jul 04 19:47:45 IST 2025</t>
  </si>
  <si>
    <t>AF25GJ176011297</t>
  </si>
  <si>
    <t>Fri Jul 04 19:47:46 IST 2025</t>
  </si>
  <si>
    <t>FN7227603831</t>
  </si>
  <si>
    <t>Fri Jul 04 11:15:51 IST 2025</t>
  </si>
  <si>
    <t>5115882662</t>
  </si>
  <si>
    <t>AJI13918</t>
  </si>
  <si>
    <t>Fri Jul 04 19:47:40 IST 2025</t>
  </si>
  <si>
    <t>AF25GJ176011286</t>
  </si>
  <si>
    <t>Fri Jul 04 19:47:41 IST 2025</t>
  </si>
  <si>
    <t>FN8336601511</t>
  </si>
  <si>
    <t>Fri Jul 04 13:39:33 IST 2025</t>
  </si>
  <si>
    <t>5115882663</t>
  </si>
  <si>
    <t>AJI13917</t>
  </si>
  <si>
    <t>Fri Jul 04 19:47:36 IST 2025</t>
  </si>
  <si>
    <t>AF25GJ176011279</t>
  </si>
  <si>
    <t>FN8038603413</t>
  </si>
  <si>
    <t>Fri Jul 04 13:42:16 IST 2025</t>
  </si>
  <si>
    <t>5115882661</t>
  </si>
  <si>
    <t>AJI13916</t>
  </si>
  <si>
    <t>Fri Jul 04 19:47:24 IST 2025</t>
  </si>
  <si>
    <t>AF25GJ176011255</t>
  </si>
  <si>
    <t>Fri Jul 04 19:47:27 IST 2025</t>
  </si>
  <si>
    <t>FN2038602460</t>
  </si>
  <si>
    <t>Fri Jul 04 10:16:03 IST 2025</t>
  </si>
  <si>
    <t>5115882659</t>
  </si>
  <si>
    <t>AJI13915</t>
  </si>
  <si>
    <t>Fri Jul 04 19:47:19 IST 2025</t>
  </si>
  <si>
    <t>AF25GJ176011229</t>
  </si>
  <si>
    <t>Fri Jul 04 19:47:20 IST 2025</t>
  </si>
  <si>
    <t>FN7328601245</t>
  </si>
  <si>
    <t>Fri Jul 04 10:26:18 IST 2025</t>
  </si>
  <si>
    <t>5115882664</t>
  </si>
  <si>
    <t>AJI13914</t>
  </si>
  <si>
    <t>Fri Jul 04 19:47:14 IST 2025</t>
  </si>
  <si>
    <t>AF25GJ176011218</t>
  </si>
  <si>
    <t>Fri Jul 04 19:47:15 IST 2025</t>
  </si>
  <si>
    <t>FN7836504108</t>
  </si>
  <si>
    <t>Fri Jul 04 10:28:40 IST 2025</t>
  </si>
  <si>
    <t>5115882657</t>
  </si>
  <si>
    <t>AJI13913</t>
  </si>
  <si>
    <t>Fri Jul 04 19:47:03 IST 2025</t>
  </si>
  <si>
    <t>AF25GJ176011186</t>
  </si>
  <si>
    <t>Fri Jul 04 19:47:04 IST 2025</t>
  </si>
  <si>
    <t>FN6208605376</t>
  </si>
  <si>
    <t>Fri Jul 04 19:33:12 IST 2025</t>
  </si>
  <si>
    <t>5115882658</t>
  </si>
  <si>
    <t>AJI13912</t>
  </si>
  <si>
    <t>Fri Jul 04 19:47:00 IST 2025</t>
  </si>
  <si>
    <t>AF25GJ176011177</t>
  </si>
  <si>
    <t>Fri Jul 04 19:47:01 IST 2025</t>
  </si>
  <si>
    <t>FN9138609273</t>
  </si>
  <si>
    <t>Fri Jul 04 18:34:40 IST 2025</t>
  </si>
  <si>
    <t>5115882660</t>
  </si>
  <si>
    <t>AJI13911</t>
  </si>
  <si>
    <t>Fri Jul 04 19:46:54 IST 2025</t>
  </si>
  <si>
    <t>AF25GJ176011158</t>
  </si>
  <si>
    <t>FN0044603616</t>
  </si>
  <si>
    <t>Fri Jul 04 03:34:08 IST 2025</t>
  </si>
  <si>
    <t>5115882655</t>
  </si>
  <si>
    <t>AJI13910</t>
  </si>
  <si>
    <t>Fri Jul 04 19:46:51 IST 2025</t>
  </si>
  <si>
    <t>AF25GJ176011151</t>
  </si>
  <si>
    <t>FN9918604795</t>
  </si>
  <si>
    <t>Fri Jul 04 00:12:13 IST 2025</t>
  </si>
  <si>
    <t>5115882666</t>
  </si>
  <si>
    <t>AJI13909</t>
  </si>
  <si>
    <t>Fri Jul 04 19:46:47 IST 2025</t>
  </si>
  <si>
    <t>AF25GJ176011073</t>
  </si>
  <si>
    <t>FN4357609145</t>
  </si>
  <si>
    <t>Fri Jul 04 00:26:05 IST 2025</t>
  </si>
  <si>
    <t>5115882652</t>
  </si>
  <si>
    <t>AJI13908</t>
  </si>
  <si>
    <t>Fri Jul 04 19:46:26 IST 2025</t>
  </si>
  <si>
    <t>AF25GJ176010835</t>
  </si>
  <si>
    <t>Fri Jul 04 19:46:27 IST 2025</t>
  </si>
  <si>
    <t>FN2907601721</t>
  </si>
  <si>
    <t>Fri Jul 04 00:41:13 IST 2025</t>
  </si>
  <si>
    <t>5115882651</t>
  </si>
  <si>
    <t>AJI13907</t>
  </si>
  <si>
    <t>Fri Jul 04 19:46:19 IST 2025</t>
  </si>
  <si>
    <t>AF25GJ176010824</t>
  </si>
  <si>
    <t>467170359005</t>
  </si>
  <si>
    <t>AJIO-1429_PNK_XL</t>
  </si>
  <si>
    <t>FN9797607284</t>
  </si>
  <si>
    <t>Fri Jul 04 07:08:33 IST 2025</t>
  </si>
  <si>
    <t>5115882650</t>
  </si>
  <si>
    <t>AJI13906</t>
  </si>
  <si>
    <t>Fri Jul 04 19:46:11 IST 2025</t>
  </si>
  <si>
    <t>AF25GJ176010732</t>
  </si>
  <si>
    <t>Fri Jul 04 19:46:12 IST 2025</t>
  </si>
  <si>
    <t>FN7808603734</t>
  </si>
  <si>
    <t>Fri Jul 04 01:00:41 IST 2025</t>
  </si>
  <si>
    <t>5115882653</t>
  </si>
  <si>
    <t>AJI13905</t>
  </si>
  <si>
    <t>Fri Jul 04 19:46:02 IST 2025</t>
  </si>
  <si>
    <t>AF25GJ176010711</t>
  </si>
  <si>
    <t>Fri Jul 04 19:46:03 IST 2025</t>
  </si>
  <si>
    <t>FN1056407164</t>
  </si>
  <si>
    <t>Fri Jul 04 08:00:31 IST 2025</t>
  </si>
  <si>
    <t>5115882656</t>
  </si>
  <si>
    <t>AJI13904</t>
  </si>
  <si>
    <t>Fri Jul 04 19:45:59 IST 2025</t>
  </si>
  <si>
    <t>AF25GJ176010691</t>
  </si>
  <si>
    <t>Fri Jul 04 19:46:00 IST 2025</t>
  </si>
  <si>
    <t>FN5928600881</t>
  </si>
  <si>
    <t>Fri Jul 04 00:49:04 IST 2025</t>
  </si>
  <si>
    <t>5115882378</t>
  </si>
  <si>
    <t>AJI13902</t>
  </si>
  <si>
    <t>Fri Jul 04 19:45:54 IST 2025</t>
  </si>
  <si>
    <t>AF25GJ176010683</t>
  </si>
  <si>
    <t>Fri Jul 04 19:45:56 IST 2025</t>
  </si>
  <si>
    <t>FN0385304099</t>
  </si>
  <si>
    <t>Fri Jul 04 00:52:42 IST 2025</t>
  </si>
  <si>
    <t>5115882654</t>
  </si>
  <si>
    <t>AJI13901</t>
  </si>
  <si>
    <t>Fri Jul 04 19:45:42 IST 2025</t>
  </si>
  <si>
    <t>AF25GJ176010669</t>
  </si>
  <si>
    <t>Fri Jul 04 19:45:43 IST 2025</t>
  </si>
  <si>
    <t>FN8138609331</t>
  </si>
  <si>
    <t>Fri Jul 04 18:04:32 IST 2025</t>
  </si>
  <si>
    <t>5115882649</t>
  </si>
  <si>
    <t>AJI13900</t>
  </si>
  <si>
    <t>Fri Jul 04 19:45:35 IST 2025</t>
  </si>
  <si>
    <t>AF25GJ176010650</t>
  </si>
  <si>
    <t>Fri Jul 04 19:45:36 IST 2025</t>
  </si>
  <si>
    <t>FN7021600436</t>
  </si>
  <si>
    <t>Fri Jul 04 17:07:12 IST 2025</t>
  </si>
  <si>
    <t>5115882367</t>
  </si>
  <si>
    <t>AJI13899</t>
  </si>
  <si>
    <t>Fri Jul 04 19:45:20 IST 2025</t>
  </si>
  <si>
    <t>AF25GJ176010616</t>
  </si>
  <si>
    <t>Fri Jul 04 19:45:21 IST 2025</t>
  </si>
  <si>
    <t>FN2716607593</t>
  </si>
  <si>
    <t>Fri Jul 04 17:59:35 IST 2025</t>
  </si>
  <si>
    <t>5115882370</t>
  </si>
  <si>
    <t>AJI13898</t>
  </si>
  <si>
    <t>Fri Jul 04 19:45:08 IST 2025</t>
  </si>
  <si>
    <t>AF25GJ176010583</t>
  </si>
  <si>
    <t>Fri Jul 04 19:45:09 IST 2025</t>
  </si>
  <si>
    <t>FN2997603877</t>
  </si>
  <si>
    <t>Fri Jul 04 09:08:00 IST 2025</t>
  </si>
  <si>
    <t>5115882365</t>
  </si>
  <si>
    <t>AJI13897</t>
  </si>
  <si>
    <t>Fri Jul 04 19:44:30 IST 2025</t>
  </si>
  <si>
    <t>AF25GJ176010498</t>
  </si>
  <si>
    <t>Fri Jul 04 19:44:31 IST 2025</t>
  </si>
  <si>
    <t>FN5054600132</t>
  </si>
  <si>
    <t>Fri Jul 04 14:17:10 IST 2025</t>
  </si>
  <si>
    <t>5115882355</t>
  </si>
  <si>
    <t>AJI13896</t>
  </si>
  <si>
    <t>Fri Jul 04 19:44:20 IST 2025</t>
  </si>
  <si>
    <t>AF25GJ176010472</t>
  </si>
  <si>
    <t>Fri Jul 04 19:44:21 IST 2025</t>
  </si>
  <si>
    <t>FN4115601726</t>
  </si>
  <si>
    <t>Fri Jul 04 14:30:05 IST 2025</t>
  </si>
  <si>
    <t>5115882362</t>
  </si>
  <si>
    <t>AJI13895</t>
  </si>
  <si>
    <t>Fri Jul 04 19:44:14 IST 2025</t>
  </si>
  <si>
    <t>AF25GJ176010462</t>
  </si>
  <si>
    <t>FN3287600317</t>
  </si>
  <si>
    <t>Fri Jul 04 11:49:54 IST 2025</t>
  </si>
  <si>
    <t>5115882356</t>
  </si>
  <si>
    <t>AJI13894</t>
  </si>
  <si>
    <t>Fri Jul 04 19:44:09 IST 2025</t>
  </si>
  <si>
    <t>AF25GJ176010442</t>
  </si>
  <si>
    <t>Fri Jul 04 19:44:10 IST 2025</t>
  </si>
  <si>
    <t>FN4076603091</t>
  </si>
  <si>
    <t>Fri Jul 04 14:46:54 IST 2025</t>
  </si>
  <si>
    <t>5115882358</t>
  </si>
  <si>
    <t>AJI13893</t>
  </si>
  <si>
    <t>Fri Jul 04 19:44:00 IST 2025</t>
  </si>
  <si>
    <t>AF25GJ176010416</t>
  </si>
  <si>
    <t>FN9038606617</t>
  </si>
  <si>
    <t>Fri Jul 04 14:49:07 IST 2025</t>
  </si>
  <si>
    <t>5115882366</t>
  </si>
  <si>
    <t>AJI13892</t>
  </si>
  <si>
    <t>Fri Jul 04 19:43:52 IST 2025</t>
  </si>
  <si>
    <t>AF25GJ176010385</t>
  </si>
  <si>
    <t>Fri Jul 04 19:43:53 IST 2025</t>
  </si>
  <si>
    <t>FN3344609246</t>
  </si>
  <si>
    <t>Fri Jul 04 12:00:09 IST 2025</t>
  </si>
  <si>
    <t>5115882380</t>
  </si>
  <si>
    <t>AJI13891</t>
  </si>
  <si>
    <t>Fri Jul 04 19:43:39 IST 2025</t>
  </si>
  <si>
    <t>AF25GJ176010355</t>
  </si>
  <si>
    <t>701045948065</t>
  </si>
  <si>
    <t>1649-TBL_38</t>
  </si>
  <si>
    <t>FN6165607441</t>
  </si>
  <si>
    <t>Fri Jul 04 12:32:25 IST 2025</t>
  </si>
  <si>
    <t>5115882363</t>
  </si>
  <si>
    <t>AJI13890</t>
  </si>
  <si>
    <t>Fri Jul 04 19:43:28 IST 2025</t>
  </si>
  <si>
    <t>AF25GJ176010339</t>
  </si>
  <si>
    <t>Fri Jul 04 19:43:29 IST 2025</t>
  </si>
  <si>
    <t>FN5818604538</t>
  </si>
  <si>
    <t>Fri Jul 04 16:24:36 IST 2025</t>
  </si>
  <si>
    <t>5115882361</t>
  </si>
  <si>
    <t>AJI13889</t>
  </si>
  <si>
    <t>Fri Jul 04 19:43:24 IST 2025</t>
  </si>
  <si>
    <t>AF25GJ176010334</t>
  </si>
  <si>
    <t>Fri Jul 04 19:43:25 IST 2025</t>
  </si>
  <si>
    <t>FN2138600585</t>
  </si>
  <si>
    <t>Fri Jul 04 16:25:27 IST 2025</t>
  </si>
  <si>
    <t>5115882368</t>
  </si>
  <si>
    <t>AJI13888</t>
  </si>
  <si>
    <t>Fri Jul 04 19:43:17 IST 2025</t>
  </si>
  <si>
    <t>AF25GJ176010326</t>
  </si>
  <si>
    <t>700211961023</t>
  </si>
  <si>
    <t>1524(AJIO)_CRM_S</t>
  </si>
  <si>
    <t>FN3147607131</t>
  </si>
  <si>
    <t>Fri Jul 04 16:29:10 IST 2025</t>
  </si>
  <si>
    <t>5115882359</t>
  </si>
  <si>
    <t>AJI13887</t>
  </si>
  <si>
    <t>Fri Jul 04 19:43:06 IST 2025</t>
  </si>
  <si>
    <t>AF25GJ176010300</t>
  </si>
  <si>
    <t>FN4451609296</t>
  </si>
  <si>
    <t>Fri Jul 04 16:29:45 IST 2025</t>
  </si>
  <si>
    <t>5115882364</t>
  </si>
  <si>
    <t>AJI13886</t>
  </si>
  <si>
    <t>Fri Jul 04 19:42:53 IST 2025</t>
  </si>
  <si>
    <t>AF25GJ176010268</t>
  </si>
  <si>
    <t>Fri Jul 04 19:42:54 IST 2025</t>
  </si>
  <si>
    <t>FN6038600580</t>
  </si>
  <si>
    <t>Fri Jul 04 12:32:26 IST 2025</t>
  </si>
  <si>
    <t>5115882369</t>
  </si>
  <si>
    <t>AJI13885</t>
  </si>
  <si>
    <t>Fri Jul 04 19:42:40 IST 2025</t>
  </si>
  <si>
    <t>AF25GJ176010232</t>
  </si>
  <si>
    <t>FN4908600910</t>
  </si>
  <si>
    <t>Fri Jul 04 05:33:18 IST 2025</t>
  </si>
  <si>
    <t>5115882360</t>
  </si>
  <si>
    <t>AJI13884</t>
  </si>
  <si>
    <t>Fri Jul 04 19:42:26 IST 2025</t>
  </si>
  <si>
    <t>AF25GJ176010201</t>
  </si>
  <si>
    <t>Fri Jul 04 19:42:27 IST 2025</t>
  </si>
  <si>
    <t>FN4127600727</t>
  </si>
  <si>
    <t>Fri Jul 04 15:24:36 IST 2025</t>
  </si>
  <si>
    <t>5115882354</t>
  </si>
  <si>
    <t>AJI13883</t>
  </si>
  <si>
    <t>Fri Jul 04 19:42:14 IST 2025</t>
  </si>
  <si>
    <t>AF25GJ176010183</t>
  </si>
  <si>
    <t>Fri Jul 04 19:42:15 IST 2025</t>
  </si>
  <si>
    <t>FN6828609000</t>
  </si>
  <si>
    <t>Thu Jul 03 20:09:54 IST 2025</t>
  </si>
  <si>
    <t>5115782263</t>
  </si>
  <si>
    <t>AJI13882</t>
  </si>
  <si>
    <t>Fri Jul 04 08:12:21 IST 2025</t>
  </si>
  <si>
    <t>AF25GJ175806372</t>
  </si>
  <si>
    <t>Fri Jul 04 08:12:27 IST 2025</t>
  </si>
  <si>
    <t>FN7306602515</t>
  </si>
  <si>
    <t>Thu Jul 03 20:15:48 IST 2025</t>
  </si>
  <si>
    <t>5115782262</t>
  </si>
  <si>
    <t>AJI13881</t>
  </si>
  <si>
    <t>Fri Jul 04 08:12:12 IST 2025</t>
  </si>
  <si>
    <t>AF25GJ175806313</t>
  </si>
  <si>
    <t>FN9037609066</t>
  </si>
  <si>
    <t>Thu Jul 03 20:36:00 IST 2025</t>
  </si>
  <si>
    <t>5115782261</t>
  </si>
  <si>
    <t>AJI13880</t>
  </si>
  <si>
    <t>Fri Jul 04 08:12:01 IST 2025</t>
  </si>
  <si>
    <t>AF25GJ175806264</t>
  </si>
  <si>
    <t>FN7828606283</t>
  </si>
  <si>
    <t>Thu Jul 03 21:01:09 IST 2025</t>
  </si>
  <si>
    <t>5115782264</t>
  </si>
  <si>
    <t>AJI13879</t>
  </si>
  <si>
    <t>Fri Jul 04 08:11:56 IST 2025</t>
  </si>
  <si>
    <t>AF25GJ175806246</t>
  </si>
  <si>
    <t>FN9628607172</t>
  </si>
  <si>
    <t>Thu Jul 03 21:03:24 IST 2025</t>
  </si>
  <si>
    <t>5115782260</t>
  </si>
  <si>
    <t>AJI13878</t>
  </si>
  <si>
    <t>Fri Jul 04 08:11:52 IST 2025</t>
  </si>
  <si>
    <t>AF25GJ175806236</t>
  </si>
  <si>
    <t>FN7728607752</t>
  </si>
  <si>
    <t>Thu Jul 03 22:16:10 IST 2025</t>
  </si>
  <si>
    <t>5115782258</t>
  </si>
  <si>
    <t>AJI13877</t>
  </si>
  <si>
    <t>Fri Jul 04 08:11:42 IST 2025</t>
  </si>
  <si>
    <t>AF25GJ175806221</t>
  </si>
  <si>
    <t>Fri Jul 04 08:11:43 IST 2025</t>
  </si>
  <si>
    <t>FN2741608971</t>
  </si>
  <si>
    <t>Thu Jul 03 22:22:43 IST 2025</t>
  </si>
  <si>
    <t>5115782259</t>
  </si>
  <si>
    <t>AJI13876</t>
  </si>
  <si>
    <t>Fri Jul 04 08:11:32 IST 2025</t>
  </si>
  <si>
    <t>AF25GJ175806201</t>
  </si>
  <si>
    <t>701045948029</t>
  </si>
  <si>
    <t>1649-BRN_34</t>
  </si>
  <si>
    <t>FN1307601391</t>
  </si>
  <si>
    <t>Thu Jul 03 22:46:01 IST 2025</t>
  </si>
  <si>
    <t>5115782256</t>
  </si>
  <si>
    <t>AJI13875</t>
  </si>
  <si>
    <t>Fri Jul 04 08:11:29 IST 2025</t>
  </si>
  <si>
    <t>AF25GJ175806192</t>
  </si>
  <si>
    <t>Fri Jul 04 08:11:30 IST 2025</t>
  </si>
  <si>
    <t>467041708014</t>
  </si>
  <si>
    <t>1279_WT_L</t>
  </si>
  <si>
    <t>FN8073603936</t>
  </si>
  <si>
    <t>Thu Jul 03 21:09:02 IST 2025</t>
  </si>
  <si>
    <t>5115782257</t>
  </si>
  <si>
    <t>AJI13873</t>
  </si>
  <si>
    <t>Fri Jul 04 08:11:25 IST 2025</t>
  </si>
  <si>
    <t>AF25GJ175806181</t>
  </si>
  <si>
    <t>FN1686504853</t>
  </si>
  <si>
    <t>Thu Jul 03 21:24:58 IST 2025</t>
  </si>
  <si>
    <t>5115782253</t>
  </si>
  <si>
    <t>AJI13872</t>
  </si>
  <si>
    <t>Fri Jul 04 08:11:14 IST 2025</t>
  </si>
  <si>
    <t>AF25GJ175806167</t>
  </si>
  <si>
    <t>Fri Jul 04 08:11:15 IST 2025</t>
  </si>
  <si>
    <t>FN9828603523</t>
  </si>
  <si>
    <t>Thu Jul 03 21:48:35 IST 2025</t>
  </si>
  <si>
    <t>5115782254</t>
  </si>
  <si>
    <t>AJI13871</t>
  </si>
  <si>
    <t>Fri Jul 04 08:11:03 IST 2025</t>
  </si>
  <si>
    <t>AF25GJ175806147</t>
  </si>
  <si>
    <t>Fri Jul 04 08:11:04 IST 2025</t>
  </si>
  <si>
    <t>FN2928601139</t>
  </si>
  <si>
    <t>Thu Jul 03 23:15:17 IST 2025</t>
  </si>
  <si>
    <t>5115782255</t>
  </si>
  <si>
    <t>AJI13870</t>
  </si>
  <si>
    <t>Fri Jul 04 08:10:51 IST 2025</t>
  </si>
  <si>
    <t>AF25GJ175806135</t>
  </si>
  <si>
    <t>Fri Jul 04 08:10:53 IST 2025</t>
  </si>
  <si>
    <t>466146158007</t>
  </si>
  <si>
    <t>P-03-WHITE-S</t>
  </si>
  <si>
    <t>FN7057603668</t>
  </si>
  <si>
    <t>Fri Jul 04 00:00:47 IST 2025</t>
  </si>
  <si>
    <t>5115782252</t>
  </si>
  <si>
    <t>AJI13869</t>
  </si>
  <si>
    <t>Fri Jul 04 08:10:44 IST 2025</t>
  </si>
  <si>
    <t>AF25GJ175806123</t>
  </si>
  <si>
    <t>FN4257605785</t>
  </si>
  <si>
    <t>Thu Jul 03 23:43:47 IST 2025</t>
  </si>
  <si>
    <t>5115782251</t>
  </si>
  <si>
    <t>AJI13868</t>
  </si>
  <si>
    <t>Fri Jul 04 08:10:42 IST 2025</t>
  </si>
  <si>
    <t>AF25GJ175806119</t>
  </si>
  <si>
    <t>Fri Jul 04 08:10:43 IST 2025</t>
  </si>
  <si>
    <t>FN5828606568</t>
  </si>
  <si>
    <t>Thu Jul 03 23:42:37 IST 2025</t>
  </si>
  <si>
    <t>5115782249</t>
  </si>
  <si>
    <t>AJI13867</t>
  </si>
  <si>
    <t>Fri Jul 04 08:10:40 IST 2025</t>
  </si>
  <si>
    <t>AF25GJ175806117</t>
  </si>
  <si>
    <t>Fri Jul 04 08:10:41 IST 2025</t>
  </si>
  <si>
    <t>701045948001</t>
  </si>
  <si>
    <t>1649-BG_36</t>
  </si>
  <si>
    <t>FN8126502260</t>
  </si>
  <si>
    <t>Thu Jul 03 19:45:50 IST 2025</t>
  </si>
  <si>
    <t>5115782250</t>
  </si>
  <si>
    <t>AJI13866</t>
  </si>
  <si>
    <t>Fri Jul 04 08:10:33 IST 2025</t>
  </si>
  <si>
    <t>AF25GJ175806107</t>
  </si>
  <si>
    <t>Fri Jul 04 08:10:34 IST 2025</t>
  </si>
  <si>
    <t>700211961050</t>
  </si>
  <si>
    <t>1427(AJIO)_NBL_3XL</t>
  </si>
  <si>
    <t>FN6025308473</t>
  </si>
  <si>
    <t>Thu Jul 03 23:46:15 IST 2025</t>
  </si>
  <si>
    <t>5115782248</t>
  </si>
  <si>
    <t>AJI13865</t>
  </si>
  <si>
    <t>Fri Jul 04 08:10:25 IST 2025</t>
  </si>
  <si>
    <t>AF25GJ175806090</t>
  </si>
  <si>
    <t>EX0032486897</t>
  </si>
  <si>
    <t>Thu Jul 03 14:20:10 IST 2025</t>
  </si>
  <si>
    <t>5115739514</t>
  </si>
  <si>
    <t>Thu Jul 03 00:00:00 IST 2025</t>
  </si>
  <si>
    <t>AJI13864</t>
  </si>
  <si>
    <t>Thu Jul 03 19:45:30 IST 2025</t>
  </si>
  <si>
    <t>AF25GJ175756985</t>
  </si>
  <si>
    <t>FN3008609942</t>
  </si>
  <si>
    <t>Thu Jul 03 11:49:47 IST 2025</t>
  </si>
  <si>
    <t>5115739257</t>
  </si>
  <si>
    <t>AJI13863</t>
  </si>
  <si>
    <t>Thu Jul 03 19:43:44 IST 2025</t>
  </si>
  <si>
    <t>AF25GJ175756637</t>
  </si>
  <si>
    <t>Thu Jul 03 19:43:45 IST 2025</t>
  </si>
  <si>
    <t>FN7328608549</t>
  </si>
  <si>
    <t>Thu Jul 03 10:31:30 IST 2025</t>
  </si>
  <si>
    <t>5115739260</t>
  </si>
  <si>
    <t>AJI13862</t>
  </si>
  <si>
    <t>Thu Jul 03 19:43:34 IST 2025</t>
  </si>
  <si>
    <t>AF25GJ175756614</t>
  </si>
  <si>
    <t>Thu Jul 03 19:43:35 IST 2025</t>
  </si>
  <si>
    <t>700866044006</t>
  </si>
  <si>
    <t>AJI-1414-1415</t>
  </si>
  <si>
    <t>1414_RD_L</t>
  </si>
  <si>
    <t>377.08</t>
  </si>
  <si>
    <t>8.98</t>
  </si>
  <si>
    <t>359.12</t>
  </si>
  <si>
    <t>FN0522602770</t>
  </si>
  <si>
    <t>Thu Jul 03 17:10:55 IST 2025</t>
  </si>
  <si>
    <t>5115739255</t>
  </si>
  <si>
    <t>AJI13861</t>
  </si>
  <si>
    <t>Thu Jul 03 19:43:27 IST 2025</t>
  </si>
  <si>
    <t>AF25GJ175756594</t>
  </si>
  <si>
    <t>Thu Jul 03 19:43:28 IST 2025</t>
  </si>
  <si>
    <t>FN0727606179</t>
  </si>
  <si>
    <t>Thu Jul 03 17:22:52 IST 2025</t>
  </si>
  <si>
    <t>5115739259</t>
  </si>
  <si>
    <t>AJI13860</t>
  </si>
  <si>
    <t>Thu Jul 03 19:43:16 IST 2025</t>
  </si>
  <si>
    <t>AF25GJ175756575</t>
  </si>
  <si>
    <t>Thu Jul 03 19:43:17 IST 2025</t>
  </si>
  <si>
    <t>467117623004</t>
  </si>
  <si>
    <t>1245_PRL_XXL</t>
  </si>
  <si>
    <t>FN7908609062</t>
  </si>
  <si>
    <t>Thu Jul 03 18:01:08 IST 2025</t>
  </si>
  <si>
    <t>5115739258</t>
  </si>
  <si>
    <t>AJI13859</t>
  </si>
  <si>
    <t>Thu Jul 03 19:43:08 IST 2025</t>
  </si>
  <si>
    <t>AF25GJ175756553</t>
  </si>
  <si>
    <t>Thu Jul 03 19:43:09 IST 2025</t>
  </si>
  <si>
    <t>FN5396401590</t>
  </si>
  <si>
    <t>Thu Jul 03 17:50:39 IST 2025</t>
  </si>
  <si>
    <t>5115739253</t>
  </si>
  <si>
    <t>AJI13858</t>
  </si>
  <si>
    <t>Thu Jul 03 19:43:04 IST 2025</t>
  </si>
  <si>
    <t>AF25GJ175756542</t>
  </si>
  <si>
    <t>Thu Jul 03 19:43:05 IST 2025</t>
  </si>
  <si>
    <t>EX0032499561</t>
  </si>
  <si>
    <t>Thu Jul 03 13:55:04 IST 2025</t>
  </si>
  <si>
    <t>5115739237</t>
  </si>
  <si>
    <t>AJI13854</t>
  </si>
  <si>
    <t>Thu Jul 03 19:42:58 IST 2025</t>
  </si>
  <si>
    <t>AF25GJ175756529</t>
  </si>
  <si>
    <t>FN3528600284</t>
  </si>
  <si>
    <t>Thu Jul 03 18:04:30 IST 2025</t>
  </si>
  <si>
    <t>5115739256</t>
  </si>
  <si>
    <t>AJI13857</t>
  </si>
  <si>
    <t>Thu Jul 03 19:42:57 IST 2025</t>
  </si>
  <si>
    <t>AF25GJ175756527</t>
  </si>
  <si>
    <t>FN8734600476</t>
  </si>
  <si>
    <t>Thu Jul 03 15:00:27 IST 2025</t>
  </si>
  <si>
    <t>5115739254</t>
  </si>
  <si>
    <t>AJI13856</t>
  </si>
  <si>
    <t>Thu Jul 03 19:42:45 IST 2025</t>
  </si>
  <si>
    <t>AF25GJ175756501</t>
  </si>
  <si>
    <t>Thu Jul 03 19:42:46 IST 2025</t>
  </si>
  <si>
    <t>700210515031</t>
  </si>
  <si>
    <t>1329(AJIO)_SGRN_L</t>
  </si>
  <si>
    <t>FN0428607362</t>
  </si>
  <si>
    <t>Thu Jul 03 15:36:33 IST 2025</t>
  </si>
  <si>
    <t>5115739233</t>
  </si>
  <si>
    <t>AJI13855</t>
  </si>
  <si>
    <t>Thu Jul 03 19:42:40 IST 2025</t>
  </si>
  <si>
    <t>AF25GJ175756481</t>
  </si>
  <si>
    <t>Thu Jul 03 19:42:41 IST 2025</t>
  </si>
  <si>
    <t>467177040002</t>
  </si>
  <si>
    <t>AJI1243</t>
  </si>
  <si>
    <t>AJI1243_MLT_M</t>
  </si>
  <si>
    <t>FN1918605368</t>
  </si>
  <si>
    <t>Thu Jul 03 19:20:50 IST 2025</t>
  </si>
  <si>
    <t>5115739231</t>
  </si>
  <si>
    <t>AJI13853</t>
  </si>
  <si>
    <t>Thu Jul 03 19:42:25 IST 2025</t>
  </si>
  <si>
    <t>AF25GJ175756449</t>
  </si>
  <si>
    <t>Thu Jul 03 19:42:26 IST 2025</t>
  </si>
  <si>
    <t>FN5456609723</t>
  </si>
  <si>
    <t>Thu Jul 03 13:51:22 IST 2025</t>
  </si>
  <si>
    <t>5115739232</t>
  </si>
  <si>
    <t>AJI13852</t>
  </si>
  <si>
    <t>Thu Jul 03 19:42:14 IST 2025</t>
  </si>
  <si>
    <t>AF25GJ175756423</t>
  </si>
  <si>
    <t>FN4355604554</t>
  </si>
  <si>
    <t>Thu Jul 03 14:01:54 IST 2025</t>
  </si>
  <si>
    <t>5115739245</t>
  </si>
  <si>
    <t>AJI13851</t>
  </si>
  <si>
    <t>Thu Jul 03 19:42:05 IST 2025</t>
  </si>
  <si>
    <t>AF25GJ175756385</t>
  </si>
  <si>
    <t>FN5287605676</t>
  </si>
  <si>
    <t>Thu Jul 03 13:56:24 IST 2025</t>
  </si>
  <si>
    <t>5115739238</t>
  </si>
  <si>
    <t>AJI13850</t>
  </si>
  <si>
    <t>Thu Jul 03 19:42:02 IST 2025</t>
  </si>
  <si>
    <t>AF25GJ175756382</t>
  </si>
  <si>
    <t>Thu Jul 03 19:42:03 IST 2025</t>
  </si>
  <si>
    <t>FN0393507605</t>
  </si>
  <si>
    <t>Thu Jul 03 16:21:11 IST 2025</t>
  </si>
  <si>
    <t>5115739247</t>
  </si>
  <si>
    <t>AJI13849</t>
  </si>
  <si>
    <t>Thu Jul 03 19:41:54 IST 2025</t>
  </si>
  <si>
    <t>AF25GJ175756363</t>
  </si>
  <si>
    <t>FN9728606217</t>
  </si>
  <si>
    <t>Thu Jul 03 16:41:01 IST 2025</t>
  </si>
  <si>
    <t>5115739230</t>
  </si>
  <si>
    <t>AJI13848</t>
  </si>
  <si>
    <t>Thu Jul 03 19:41:42 IST 2025</t>
  </si>
  <si>
    <t>AF25GJ175756335</t>
  </si>
  <si>
    <t>Thu Jul 03 19:41:43 IST 2025</t>
  </si>
  <si>
    <t>700223415012</t>
  </si>
  <si>
    <t>1544_MRN_M</t>
  </si>
  <si>
    <t>FN2997605547</t>
  </si>
  <si>
    <t>Thu Jul 03 13:19:52 IST 2025</t>
  </si>
  <si>
    <t>5115739240</t>
  </si>
  <si>
    <t>AJI13847</t>
  </si>
  <si>
    <t>Thu Jul 03 19:41:31 IST 2025</t>
  </si>
  <si>
    <t>AF25GJ175756303</t>
  </si>
  <si>
    <t>701170766014</t>
  </si>
  <si>
    <t>AJI-1501-RED_3XL</t>
  </si>
  <si>
    <t>FN4628606445</t>
  </si>
  <si>
    <t>Thu Jul 03 09:10:09 IST 2025</t>
  </si>
  <si>
    <t>5115739234</t>
  </si>
  <si>
    <t>AJI13846</t>
  </si>
  <si>
    <t>Thu Jul 03 19:41:20 IST 2025</t>
  </si>
  <si>
    <t>AF25GJ175756278</t>
  </si>
  <si>
    <t>FN1828607663</t>
  </si>
  <si>
    <t>Thu Jul 03 18:39:22 IST 2025</t>
  </si>
  <si>
    <t>5115739236</t>
  </si>
  <si>
    <t>AJI13845</t>
  </si>
  <si>
    <t>Thu Jul 03 19:41:08 IST 2025</t>
  </si>
  <si>
    <t>AF25GJ175756249</t>
  </si>
  <si>
    <t>701037328003</t>
  </si>
  <si>
    <t>AJI-1098_BK_L</t>
  </si>
  <si>
    <t>FN8628604033</t>
  </si>
  <si>
    <t>Thu Jul 03 11:18:42 IST 2025</t>
  </si>
  <si>
    <t>5115739252</t>
  </si>
  <si>
    <t>AJI13844</t>
  </si>
  <si>
    <t>Thu Jul 03 19:40:56 IST 2025</t>
  </si>
  <si>
    <t>AF25GJ175756237</t>
  </si>
  <si>
    <t>FN9842602597</t>
  </si>
  <si>
    <t>Thu Jul 03 02:29:13 IST 2025</t>
  </si>
  <si>
    <t>5115646141</t>
  </si>
  <si>
    <t>AJI13843</t>
  </si>
  <si>
    <t>Thu Jul 03 19:40:43 IST 2025</t>
  </si>
  <si>
    <t>AF25GJ175756200</t>
  </si>
  <si>
    <t>701045948036</t>
  </si>
  <si>
    <t>1649-DBRN_32</t>
  </si>
  <si>
    <t>FN0328608198</t>
  </si>
  <si>
    <t>Wed Jul 02 22:18:17 IST 2025</t>
  </si>
  <si>
    <t>5115646127</t>
  </si>
  <si>
    <t>AJI13842</t>
  </si>
  <si>
    <t>Thu Jul 03 08:01:39 IST 2025</t>
  </si>
  <si>
    <t>AF25GJ175555392</t>
  </si>
  <si>
    <t>FN2128603408</t>
  </si>
  <si>
    <t>Wed Jul 02 21:39:53 IST 2025</t>
  </si>
  <si>
    <t>5115646125</t>
  </si>
  <si>
    <t>AJI13841</t>
  </si>
  <si>
    <t>Thu Jul 03 08:01:36 IST 2025</t>
  </si>
  <si>
    <t>AF25GJ175555389</t>
  </si>
  <si>
    <t>FN6528602056</t>
  </si>
  <si>
    <t>Wed Jul 02 22:27:19 IST 2025</t>
  </si>
  <si>
    <t>5115646137</t>
  </si>
  <si>
    <t>AJI13840</t>
  </si>
  <si>
    <t>Thu Jul 03 08:01:28 IST 2025</t>
  </si>
  <si>
    <t>AF25GJ175555380</t>
  </si>
  <si>
    <t>FN5528603934</t>
  </si>
  <si>
    <t>Wed Jul 02 21:46:14 IST 2025</t>
  </si>
  <si>
    <t>5115646143</t>
  </si>
  <si>
    <t>AJI13839</t>
  </si>
  <si>
    <t>Thu Jul 03 08:01:24 IST 2025</t>
  </si>
  <si>
    <t>AF25GJ175555376</t>
  </si>
  <si>
    <t>Thu Jul 03 08:01:25 IST 2025</t>
  </si>
  <si>
    <t>FN8206600643</t>
  </si>
  <si>
    <t>Wed Jul 02 22:57:19 IST 2025</t>
  </si>
  <si>
    <t>5115646123</t>
  </si>
  <si>
    <t>AJI13838</t>
  </si>
  <si>
    <t>Thu Jul 03 08:01:22 IST 2025</t>
  </si>
  <si>
    <t>AF25GJ175555372</t>
  </si>
  <si>
    <t>Thu Jul 03 08:01:23 IST 2025</t>
  </si>
  <si>
    <t>FN2528607705</t>
  </si>
  <si>
    <t>Wed Jul 02 19:55:38 IST 2025</t>
  </si>
  <si>
    <t>5115646124</t>
  </si>
  <si>
    <t>AJI13837</t>
  </si>
  <si>
    <t>Thu Jul 03 08:01:15 IST 2025</t>
  </si>
  <si>
    <t>AF25GJ175555363</t>
  </si>
  <si>
    <t>Thu Jul 03 08:01:16 IST 2025</t>
  </si>
  <si>
    <t>FN1397607331</t>
  </si>
  <si>
    <t>Thu Jul 03 06:38:31 IST 2025</t>
  </si>
  <si>
    <t>5115646126</t>
  </si>
  <si>
    <t>AJI13836</t>
  </si>
  <si>
    <t>Thu Jul 03 08:01:04 IST 2025</t>
  </si>
  <si>
    <t>AF25GJ175555353</t>
  </si>
  <si>
    <t>FN3226600657</t>
  </si>
  <si>
    <t>Thu Jul 03 00:51:33 IST 2025</t>
  </si>
  <si>
    <t>5115646138</t>
  </si>
  <si>
    <t>AJI13835</t>
  </si>
  <si>
    <t>Thu Jul 03 08:01:00 IST 2025</t>
  </si>
  <si>
    <t>AF25GJ175555345</t>
  </si>
  <si>
    <t>Thu Jul 03 08:01:01 IST 2025</t>
  </si>
  <si>
    <t>FN9328604834</t>
  </si>
  <si>
    <t>Wed Jul 02 23:27:52 IST 2025</t>
  </si>
  <si>
    <t>5115646129</t>
  </si>
  <si>
    <t>AJI13834</t>
  </si>
  <si>
    <t>Thu Jul 03 08:00:51 IST 2025</t>
  </si>
  <si>
    <t>AF25GJ175555333</t>
  </si>
  <si>
    <t>FN8528601637</t>
  </si>
  <si>
    <t>Wed Jul 02 23:19:33 IST 2025</t>
  </si>
  <si>
    <t>5115646130</t>
  </si>
  <si>
    <t>AJI13833</t>
  </si>
  <si>
    <t>Thu Jul 03 08:00:48 IST 2025</t>
  </si>
  <si>
    <t>AF25GJ175555328</t>
  </si>
  <si>
    <t>700659603009</t>
  </si>
  <si>
    <t>1593_GRY_XL</t>
  </si>
  <si>
    <t>FN7124600758</t>
  </si>
  <si>
    <t>Wed Jul 02 20:25:44 IST 2025</t>
  </si>
  <si>
    <t>5115646131</t>
  </si>
  <si>
    <t>AJI13832</t>
  </si>
  <si>
    <t>Thu Jul 03 08:00:40 IST 2025</t>
  </si>
  <si>
    <t>AF25GJ175555321</t>
  </si>
  <si>
    <t>FN2528607518</t>
  </si>
  <si>
    <t>Wed Jul 02 20:27:46 IST 2025</t>
  </si>
  <si>
    <t>5115646128</t>
  </si>
  <si>
    <t>AJI13831</t>
  </si>
  <si>
    <t>Thu Jul 03 08:00:29 IST 2025</t>
  </si>
  <si>
    <t>AF25GJ175555310</t>
  </si>
  <si>
    <t>FN4108608645</t>
  </si>
  <si>
    <t>Wed Jul 02 11:34:17 IST 2025</t>
  </si>
  <si>
    <t>5115595423</t>
  </si>
  <si>
    <t>Wed Jul 02 00:00:00 IST 2025</t>
  </si>
  <si>
    <t>AJI13830</t>
  </si>
  <si>
    <t>Wed Jul 02 18:08:21 IST 2025</t>
  </si>
  <si>
    <t>AF25GJ175491540</t>
  </si>
  <si>
    <t>466622137019</t>
  </si>
  <si>
    <t>CRDS_1162-1167</t>
  </si>
  <si>
    <t>1166_RM_XXL</t>
  </si>
  <si>
    <t>419.11</t>
  </si>
  <si>
    <t>9.98</t>
  </si>
  <si>
    <t>399.15</t>
  </si>
  <si>
    <t>FN2457601065</t>
  </si>
  <si>
    <t>Wed Jul 02 02:14:55 IST 2025</t>
  </si>
  <si>
    <t>5115595421</t>
  </si>
  <si>
    <t>AJI13829</t>
  </si>
  <si>
    <t>Wed Jul 02 18:08:18 IST 2025</t>
  </si>
  <si>
    <t>AF25GJ175491524</t>
  </si>
  <si>
    <t>FN9100602671</t>
  </si>
  <si>
    <t>Wed Jul 02 00:14:00 IST 2025</t>
  </si>
  <si>
    <t>5115595422</t>
  </si>
  <si>
    <t>AJI13828</t>
  </si>
  <si>
    <t>Wed Jul 02 18:08:07 IST 2025</t>
  </si>
  <si>
    <t>AF25GJ175491473</t>
  </si>
  <si>
    <t>FN9977606147</t>
  </si>
  <si>
    <t>Wed Jul 02 00:55:51 IST 2025</t>
  </si>
  <si>
    <t>5115595419</t>
  </si>
  <si>
    <t>AJI13827</t>
  </si>
  <si>
    <t>Wed Jul 02 18:07:58 IST 2025</t>
  </si>
  <si>
    <t>AF25GJ175491447</t>
  </si>
  <si>
    <t>FN5118605357</t>
  </si>
  <si>
    <t>Wed Jul 02 00:58:40 IST 2025</t>
  </si>
  <si>
    <t>5115595420</t>
  </si>
  <si>
    <t>AJI13826</t>
  </si>
  <si>
    <t>Wed Jul 02 18:07:51 IST 2025</t>
  </si>
  <si>
    <t>AF25GJ175491419</t>
  </si>
  <si>
    <t>Wed Jul 02 18:07:52 IST 2025</t>
  </si>
  <si>
    <t>FN0734602608</t>
  </si>
  <si>
    <t>Wed Jul 02 09:16:08 IST 2025</t>
  </si>
  <si>
    <t>5115595418</t>
  </si>
  <si>
    <t>AJI13825</t>
  </si>
  <si>
    <t>Wed Jul 02 18:07:41 IST 2025</t>
  </si>
  <si>
    <t>AF25GJ175491392</t>
  </si>
  <si>
    <t>Wed Jul 02 18:07:42 IST 2025</t>
  </si>
  <si>
    <t>700659085011</t>
  </si>
  <si>
    <t>AJI1581-83</t>
  </si>
  <si>
    <t>1583_GRY_L</t>
  </si>
  <si>
    <t>FN8736609380</t>
  </si>
  <si>
    <t>Wed Jul 02 16:41:58 IST 2025</t>
  </si>
  <si>
    <t>5115595417</t>
  </si>
  <si>
    <t>AJI13824</t>
  </si>
  <si>
    <t>Wed Jul 02 18:07:38 IST 2025</t>
  </si>
  <si>
    <t>AF25GJ175491383</t>
  </si>
  <si>
    <t>Wed Jul 02 18:07:39 IST 2025</t>
  </si>
  <si>
    <t>701138951005</t>
  </si>
  <si>
    <t>AJI-1654-GRY</t>
  </si>
  <si>
    <t>1654_GRY_S</t>
  </si>
  <si>
    <t>418.97</t>
  </si>
  <si>
    <t>418.98</t>
  </si>
  <si>
    <t>399.02</t>
  </si>
  <si>
    <t>FN1897603579</t>
  </si>
  <si>
    <t>Wed Jul 02 16:59:57 IST 2025</t>
  </si>
  <si>
    <t>5115595415</t>
  </si>
  <si>
    <t>AJI13823</t>
  </si>
  <si>
    <t>Wed Jul 02 18:07:28 IST 2025</t>
  </si>
  <si>
    <t>AF25GJ175491344</t>
  </si>
  <si>
    <t>FN1231401589</t>
  </si>
  <si>
    <t>Wed Jul 02 17:41:45 IST 2025</t>
  </si>
  <si>
    <t>5115595416</t>
  </si>
  <si>
    <t>AJI13822</t>
  </si>
  <si>
    <t>Wed Jul 02 18:07:17 IST 2025</t>
  </si>
  <si>
    <t>AF25GJ175491302</t>
  </si>
  <si>
    <t>Wed Jul 02 18:07:18 IST 2025</t>
  </si>
  <si>
    <t>FN9147600095</t>
  </si>
  <si>
    <t>Wed Jul 02 08:56:02 IST 2025</t>
  </si>
  <si>
    <t>5115595414</t>
  </si>
  <si>
    <t>AJI13813</t>
  </si>
  <si>
    <t>Wed Jul 02 18:07:14 IST 2025</t>
  </si>
  <si>
    <t>AF25GJ175491297</t>
  </si>
  <si>
    <t>Wed Jul 02 18:07:15 IST 2025</t>
  </si>
  <si>
    <t>FN3428604124</t>
  </si>
  <si>
    <t>Wed Jul 02 16:07:42 IST 2025</t>
  </si>
  <si>
    <t>5115595412</t>
  </si>
  <si>
    <t>AJI13821</t>
  </si>
  <si>
    <t>AF25GJ175491294</t>
  </si>
  <si>
    <t>FN4428607734</t>
  </si>
  <si>
    <t>Wed Jul 02 15:18:37 IST 2025</t>
  </si>
  <si>
    <t>5115595409</t>
  </si>
  <si>
    <t>AJI13820</t>
  </si>
  <si>
    <t>Wed Jul 02 18:07:04 IST 2025</t>
  </si>
  <si>
    <t>AF25GJ175491254</t>
  </si>
  <si>
    <t>FN5759508095</t>
  </si>
  <si>
    <t>Wed Jul 02 15:29:09 IST 2025</t>
  </si>
  <si>
    <t>5115595411</t>
  </si>
  <si>
    <t>AJI13819</t>
  </si>
  <si>
    <t>Wed Jul 02 18:06:58 IST 2025</t>
  </si>
  <si>
    <t>AF25GJ175491226</t>
  </si>
  <si>
    <t>FN7428608500</t>
  </si>
  <si>
    <t>Wed Jul 02 16:32:35 IST 2025</t>
  </si>
  <si>
    <t>5115595408</t>
  </si>
  <si>
    <t>AJI13818</t>
  </si>
  <si>
    <t>Wed Jul 02 18:06:50 IST 2025</t>
  </si>
  <si>
    <t>AF25GJ175491192</t>
  </si>
  <si>
    <t>FN6287609434</t>
  </si>
  <si>
    <t>Wed Jul 02 16:34:48 IST 2025</t>
  </si>
  <si>
    <t>5115595413</t>
  </si>
  <si>
    <t>AJI13817</t>
  </si>
  <si>
    <t>Wed Jul 02 18:06:39 IST 2025</t>
  </si>
  <si>
    <t>AF25GJ175491160</t>
  </si>
  <si>
    <t>Wed Jul 02 18:06:40 IST 2025</t>
  </si>
  <si>
    <t>FN1794604529</t>
  </si>
  <si>
    <t>Wed Jul 02 16:35:03 IST 2025</t>
  </si>
  <si>
    <t>5115595410</t>
  </si>
  <si>
    <t>AJI13816</t>
  </si>
  <si>
    <t>Wed Jul 02 18:06:28 IST 2025</t>
  </si>
  <si>
    <t>AF25GJ175491128</t>
  </si>
  <si>
    <t>Wed Jul 02 18:06:29 IST 2025</t>
  </si>
  <si>
    <t>FN8228603317</t>
  </si>
  <si>
    <t>Wed Jul 02 01:08:23 IST 2025</t>
  </si>
  <si>
    <t>5115595404</t>
  </si>
  <si>
    <t>AJI13815</t>
  </si>
  <si>
    <t>Wed Jul 02 18:06:19 IST 2025</t>
  </si>
  <si>
    <t>AF25GJ175491101</t>
  </si>
  <si>
    <t>FN5827605616</t>
  </si>
  <si>
    <t>Wed Jul 02 08:11:47 IST 2025</t>
  </si>
  <si>
    <t>5115595406</t>
  </si>
  <si>
    <t>AJI13814</t>
  </si>
  <si>
    <t>Wed Jul 02 18:06:08 IST 2025</t>
  </si>
  <si>
    <t>AF25GJ175491080</t>
  </si>
  <si>
    <t>Wed Jul 02 18:06:12 IST 2025</t>
  </si>
  <si>
    <t>EX0032481554</t>
  </si>
  <si>
    <t>Wed Jul 02 14:25:10 IST 2025</t>
  </si>
  <si>
    <t>5115595407</t>
  </si>
  <si>
    <t>AJI13812</t>
  </si>
  <si>
    <t>Wed Jul 02 18:05:43 IST 2025</t>
  </si>
  <si>
    <t>AF25GJ175490955</t>
  </si>
  <si>
    <t>Wed Jul 02 18:05:44 IST 2025</t>
  </si>
  <si>
    <t>700376176005</t>
  </si>
  <si>
    <t>1509_BG_XL</t>
  </si>
  <si>
    <t>EX0032512013</t>
  </si>
  <si>
    <t>Wed Jul 02 15:05:07 IST 2025</t>
  </si>
  <si>
    <t>5115595402</t>
  </si>
  <si>
    <t>AJI13811</t>
  </si>
  <si>
    <t>Wed Jul 02 18:05:32 IST 2025</t>
  </si>
  <si>
    <t>AF25GJ175490908</t>
  </si>
  <si>
    <t>Wed Jul 02 18:05:33 IST 2025</t>
  </si>
  <si>
    <t>FN0296609713</t>
  </si>
  <si>
    <t>Tue Jul 01 21:17:48 IST 2025</t>
  </si>
  <si>
    <t>5115515748</t>
  </si>
  <si>
    <t>AJI13810</t>
  </si>
  <si>
    <t>Wed Jul 02 08:06:45 IST 2025</t>
  </si>
  <si>
    <t>AF25GJ175304480</t>
  </si>
  <si>
    <t>Wed Jul 02 08:06:46 IST 2025</t>
  </si>
  <si>
    <t>FN0937606377</t>
  </si>
  <si>
    <t>Tue Jul 01 21:44:15 IST 2025</t>
  </si>
  <si>
    <t>5115515751</t>
  </si>
  <si>
    <t>AJI13809</t>
  </si>
  <si>
    <t>Wed Jul 02 08:06:34 IST 2025</t>
  </si>
  <si>
    <t>AF25GJ175304465</t>
  </si>
  <si>
    <t>Wed Jul 02 08:06:35 IST 2025</t>
  </si>
  <si>
    <t>FN3908609700</t>
  </si>
  <si>
    <t>Tue Jul 01 21:49:07 IST 2025</t>
  </si>
  <si>
    <t>5115515749</t>
  </si>
  <si>
    <t>AJI13808</t>
  </si>
  <si>
    <t>Wed Jul 02 08:06:23 IST 2025</t>
  </si>
  <si>
    <t>AF25GJ175304448</t>
  </si>
  <si>
    <t>Wed Jul 02 08:06:24 IST 2025</t>
  </si>
  <si>
    <t>FN9871601061</t>
  </si>
  <si>
    <t>Tue Jul 01 20:15:29 IST 2025</t>
  </si>
  <si>
    <t>5115515746</t>
  </si>
  <si>
    <t>AJI13807</t>
  </si>
  <si>
    <t>Wed Jul 02 08:06:18 IST 2025</t>
  </si>
  <si>
    <t>AF25GJ175304438</t>
  </si>
  <si>
    <t>FN1737601312</t>
  </si>
  <si>
    <t>Tue Jul 01 20:45:54 IST 2025</t>
  </si>
  <si>
    <t>5115515768</t>
  </si>
  <si>
    <t>AJI13806</t>
  </si>
  <si>
    <t>Wed Jul 02 08:06:07 IST 2025</t>
  </si>
  <si>
    <t>AF25GJ175304416</t>
  </si>
  <si>
    <t>FN9228601366</t>
  </si>
  <si>
    <t>Tue Jul 01 23:17:08 IST 2025</t>
  </si>
  <si>
    <t>5115515750</t>
  </si>
  <si>
    <t>AJI13805</t>
  </si>
  <si>
    <t>Wed Jul 02 08:05:58 IST 2025</t>
  </si>
  <si>
    <t>AF25GJ175304405</t>
  </si>
  <si>
    <t>FN7531601833</t>
  </si>
  <si>
    <t>Tue Jul 01 23:24:35 IST 2025</t>
  </si>
  <si>
    <t>5115515747</t>
  </si>
  <si>
    <t>AJI13804</t>
  </si>
  <si>
    <t>Wed Jul 02 08:05:55 IST 2025</t>
  </si>
  <si>
    <t>AF25GJ175304397</t>
  </si>
  <si>
    <t>FN2128600504</t>
  </si>
  <si>
    <t>Tue Jul 01 20:46:25 IST 2025</t>
  </si>
  <si>
    <t>5115515745</t>
  </si>
  <si>
    <t>AJI13803</t>
  </si>
  <si>
    <t>Wed Jul 02 08:05:44 IST 2025</t>
  </si>
  <si>
    <t>AF25GJ175304385</t>
  </si>
  <si>
    <t>FN2517603856</t>
  </si>
  <si>
    <t>Tue Jul 01 22:30:52 IST 2025</t>
  </si>
  <si>
    <t>5115515744</t>
  </si>
  <si>
    <t>AJI13802</t>
  </si>
  <si>
    <t>Wed Jul 02 08:05:43 IST 2025</t>
  </si>
  <si>
    <t>AF25GJ175304383</t>
  </si>
  <si>
    <t>FN2396602604</t>
  </si>
  <si>
    <t>Tue Jul 01 23:01:52 IST 2025</t>
  </si>
  <si>
    <t>5115515741</t>
  </si>
  <si>
    <t>AJI13801</t>
  </si>
  <si>
    <t>Wed Jul 02 08:05:39 IST 2025</t>
  </si>
  <si>
    <t>AF25GJ175304374</t>
  </si>
  <si>
    <t>700907680003</t>
  </si>
  <si>
    <t>1629_BK_36</t>
  </si>
  <si>
    <t>FN5187607871</t>
  </si>
  <si>
    <t>Tue Jul 01 23:22:24 IST 2025</t>
  </si>
  <si>
    <t>5115515742</t>
  </si>
  <si>
    <t>AJI13800</t>
  </si>
  <si>
    <t>Wed Jul 02 08:05:30 IST 2025</t>
  </si>
  <si>
    <t>AF25GJ175304366</t>
  </si>
  <si>
    <t>FN8367604514</t>
  </si>
  <si>
    <t>Tue Jul 01 23:04:42 IST 2025</t>
  </si>
  <si>
    <t>5115515743</t>
  </si>
  <si>
    <t>AJI13799</t>
  </si>
  <si>
    <t>Wed Jul 02 08:05:25 IST 2025</t>
  </si>
  <si>
    <t>AF25GJ175304355</t>
  </si>
  <si>
    <t>FN8408606759</t>
  </si>
  <si>
    <t>Tue Jul 01 14:56:00 IST 2025</t>
  </si>
  <si>
    <t>5115471171</t>
  </si>
  <si>
    <t>Tue Jul 01 00:00:00 IST 2025</t>
  </si>
  <si>
    <t>AJI13798</t>
  </si>
  <si>
    <t>Tue Jul 01 20:04:00 IST 2025</t>
  </si>
  <si>
    <t>AF25GJ175260732</t>
  </si>
  <si>
    <t>EX0032491145</t>
  </si>
  <si>
    <t>Tue Jul 01 18:15:08 IST 2025</t>
  </si>
  <si>
    <t>5115471194</t>
  </si>
  <si>
    <t>AJI13797</t>
  </si>
  <si>
    <t>Tue Jul 01 20:03:50 IST 2025</t>
  </si>
  <si>
    <t>AF25GJ175260710</t>
  </si>
  <si>
    <t>FN8028600308</t>
  </si>
  <si>
    <t>Tue Jul 01 14:45:19 IST 2025</t>
  </si>
  <si>
    <t>5115471200</t>
  </si>
  <si>
    <t>AJI13796</t>
  </si>
  <si>
    <t>Tue Jul 01 20:03:40 IST 2025</t>
  </si>
  <si>
    <t>AF25GJ175260699</t>
  </si>
  <si>
    <t>FN0353607926</t>
  </si>
  <si>
    <t>Tue Jul 01 15:03:22 IST 2025</t>
  </si>
  <si>
    <t>5115471187</t>
  </si>
  <si>
    <t>AJI13795</t>
  </si>
  <si>
    <t>Tue Jul 01 20:03:34 IST 2025</t>
  </si>
  <si>
    <t>AF25GJ175260689</t>
  </si>
  <si>
    <t>FN7667608745</t>
  </si>
  <si>
    <t>Tue Jul 01 13:44:04 IST 2025</t>
  </si>
  <si>
    <t>5115471190</t>
  </si>
  <si>
    <t>AJI13794</t>
  </si>
  <si>
    <t>Tue Jul 01 20:03:22 IST 2025</t>
  </si>
  <si>
    <t>AF25GJ175260673</t>
  </si>
  <si>
    <t>Tue Jul 01 20:03:23 IST 2025</t>
  </si>
  <si>
    <t>FN1208605504</t>
  </si>
  <si>
    <t>Tue Jul 01 10:25:20 IST 2025</t>
  </si>
  <si>
    <t>5115471183</t>
  </si>
  <si>
    <t>AJI13793</t>
  </si>
  <si>
    <t>Tue Jul 01 20:03:13 IST 2025</t>
  </si>
  <si>
    <t>AF25GJ175260657</t>
  </si>
  <si>
    <t>FN3212603430</t>
  </si>
  <si>
    <t>Tue Jul 01 13:22:14 IST 2025</t>
  </si>
  <si>
    <t>5115471180</t>
  </si>
  <si>
    <t>AJI13792</t>
  </si>
  <si>
    <t>Tue Jul 01 20:03:02 IST 2025</t>
  </si>
  <si>
    <t>AF25GJ175260628</t>
  </si>
  <si>
    <t>EX0032457870</t>
  </si>
  <si>
    <t>Tue Jul 01 13:00:06 IST 2025</t>
  </si>
  <si>
    <t>5115471186</t>
  </si>
  <si>
    <t>AJI13791</t>
  </si>
  <si>
    <t>Tue Jul 01 20:02:59 IST 2025</t>
  </si>
  <si>
    <t>AF25GJ175260624</t>
  </si>
  <si>
    <t>Tue Jul 01 20:03:00 IST 2025</t>
  </si>
  <si>
    <t>FN7718605978</t>
  </si>
  <si>
    <t>Tue Jul 01 13:03:34 IST 2025</t>
  </si>
  <si>
    <t>5115471184</t>
  </si>
  <si>
    <t>AJI13789</t>
  </si>
  <si>
    <t>Tue Jul 01 20:02:54 IST 2025</t>
  </si>
  <si>
    <t>AF25GJ175260609</t>
  </si>
  <si>
    <t>FN3918607314</t>
  </si>
  <si>
    <t>Tue Jul 01 15:28:54 IST 2025</t>
  </si>
  <si>
    <t>5115471178</t>
  </si>
  <si>
    <t>AJI13788</t>
  </si>
  <si>
    <t>Tue Jul 01 20:02:43 IST 2025</t>
  </si>
  <si>
    <t>AF25GJ175260568</t>
  </si>
  <si>
    <t>700610735020</t>
  </si>
  <si>
    <t>AJI-1024_GRN_XXL</t>
  </si>
  <si>
    <t>FN5128608037</t>
  </si>
  <si>
    <t>Tue Jul 01 15:46:12 IST 2025</t>
  </si>
  <si>
    <t>5115471195</t>
  </si>
  <si>
    <t>AJI13787</t>
  </si>
  <si>
    <t>Tue Jul 01 20:02:39 IST 2025</t>
  </si>
  <si>
    <t>AF25GJ175260555</t>
  </si>
  <si>
    <t>FN0128600315</t>
  </si>
  <si>
    <t>Tue Jul 01 16:05:11 IST 2025</t>
  </si>
  <si>
    <t>5115471181</t>
  </si>
  <si>
    <t>AJI13786</t>
  </si>
  <si>
    <t>Tue Jul 01 20:02:29 IST 2025</t>
  </si>
  <si>
    <t>AF25GJ175260427</t>
  </si>
  <si>
    <t>FN5028602576</t>
  </si>
  <si>
    <t>Tue Jul 01 09:24:47 IST 2025</t>
  </si>
  <si>
    <t>5115471182</t>
  </si>
  <si>
    <t>AJI13785</t>
  </si>
  <si>
    <t>Tue Jul 01 20:02:19 IST 2025</t>
  </si>
  <si>
    <t>AF25GJ175260415</t>
  </si>
  <si>
    <t>FN7128606839</t>
  </si>
  <si>
    <t>Tue Jul 01 16:26:10 IST 2025</t>
  </si>
  <si>
    <t>5115471169</t>
  </si>
  <si>
    <t>AJI13784</t>
  </si>
  <si>
    <t>Tue Jul 01 20:02:17 IST 2025</t>
  </si>
  <si>
    <t>AF25GJ175260385</t>
  </si>
  <si>
    <t>Tue Jul 01 20:02:18 IST 2025</t>
  </si>
  <si>
    <t>EX0032466646</t>
  </si>
  <si>
    <t>Tue Jul 01 11:40:42 IST 2025</t>
  </si>
  <si>
    <t>5115471189</t>
  </si>
  <si>
    <t>AJI13783</t>
  </si>
  <si>
    <t>Tue Jul 01 20:02:13 IST 2025</t>
  </si>
  <si>
    <t>AF25GJ175260292</t>
  </si>
  <si>
    <t>Tue Jul 01 20:02:14 IST 2025</t>
  </si>
  <si>
    <t>FN2345303602</t>
  </si>
  <si>
    <t>Tue Jul 01 16:32:04 IST 2025</t>
  </si>
  <si>
    <t>5115471175</t>
  </si>
  <si>
    <t>AJI13782</t>
  </si>
  <si>
    <t>Tue Jul 01 20:02:07 IST 2025</t>
  </si>
  <si>
    <t>AF25GJ175260270</t>
  </si>
  <si>
    <t>FN6918603405</t>
  </si>
  <si>
    <t>Tue Jul 01 19:21:19 IST 2025</t>
  </si>
  <si>
    <t>5115471188</t>
  </si>
  <si>
    <t>AJI13781</t>
  </si>
  <si>
    <t>Tue Jul 01 20:01:56 IST 2025</t>
  </si>
  <si>
    <t>AF25GJ175260231</t>
  </si>
  <si>
    <t>Tue Jul 01 20:01:57 IST 2025</t>
  </si>
  <si>
    <t>FN2228603844</t>
  </si>
  <si>
    <t>Tue Jul 01 19:26:54 IST 2025</t>
  </si>
  <si>
    <t>5115471197</t>
  </si>
  <si>
    <t>AJI13780</t>
  </si>
  <si>
    <t>Tue Jul 01 20:01:51 IST 2025</t>
  </si>
  <si>
    <t>AF25GJ175260226</t>
  </si>
  <si>
    <t>Tue Jul 01 20:01:52 IST 2025</t>
  </si>
  <si>
    <t>FN2065602539</t>
  </si>
  <si>
    <t>Tue Jul 01 19:27:37 IST 2025</t>
  </si>
  <si>
    <t>5115471198</t>
  </si>
  <si>
    <t>AJI13779</t>
  </si>
  <si>
    <t>Tue Jul 01 20:01:41 IST 2025</t>
  </si>
  <si>
    <t>AF25GJ175260100</t>
  </si>
  <si>
    <t>Tue Jul 01 20:01:42 IST 2025</t>
  </si>
  <si>
    <t>FN8396604462</t>
  </si>
  <si>
    <t>Tue Jul 01 16:45:47 IST 2025</t>
  </si>
  <si>
    <t>5115471170</t>
  </si>
  <si>
    <t>AJI13778</t>
  </si>
  <si>
    <t>Tue Jul 01 20:01:30 IST 2025</t>
  </si>
  <si>
    <t>AF25GJ175259901</t>
  </si>
  <si>
    <t>Tue Jul 01 20:01:31 IST 2025</t>
  </si>
  <si>
    <t>FN7487600593</t>
  </si>
  <si>
    <t>Tue Jul 01 19:34:56 IST 2025</t>
  </si>
  <si>
    <t>5115471179</t>
  </si>
  <si>
    <t>AJI13777</t>
  </si>
  <si>
    <t>Tue Jul 01 20:01:19 IST 2025</t>
  </si>
  <si>
    <t>AF25GJ175259854</t>
  </si>
  <si>
    <t>701045948010</t>
  </si>
  <si>
    <t>1649-RM_28</t>
  </si>
  <si>
    <t>FN2128601790</t>
  </si>
  <si>
    <t>Tue Jul 01 13:32:17 IST 2025</t>
  </si>
  <si>
    <t>5115471174</t>
  </si>
  <si>
    <t>AJI13776</t>
  </si>
  <si>
    <t>Tue Jul 01 20:01:07 IST 2025</t>
  </si>
  <si>
    <t>AF25GJ175259711</t>
  </si>
  <si>
    <t>FN3476600666</t>
  </si>
  <si>
    <t>Tue Jul 01 11:50:13 IST 2025</t>
  </si>
  <si>
    <t>5115471172</t>
  </si>
  <si>
    <t>AJI13775</t>
  </si>
  <si>
    <t>Tue Jul 01 20:00:55 IST 2025</t>
  </si>
  <si>
    <t>AF25GJ175259660</t>
  </si>
  <si>
    <t>EX0032469583</t>
  </si>
  <si>
    <t>Tue Jul 01 00:50:06 IST 2025</t>
  </si>
  <si>
    <t>5115471173</t>
  </si>
  <si>
    <t>AJI13774</t>
  </si>
  <si>
    <t>Tue Jul 01 20:00:43 IST 2025</t>
  </si>
  <si>
    <t>AF25GJ175259641</t>
  </si>
  <si>
    <t>Tue Jul 01 20:00:44 IST 2025</t>
  </si>
  <si>
    <t>700329846001</t>
  </si>
  <si>
    <t>1502_BL_L</t>
  </si>
  <si>
    <t>FN6118609149</t>
  </si>
  <si>
    <t>Tue Jul 01 07:22:39 IST 2025</t>
  </si>
  <si>
    <t>5115471168</t>
  </si>
  <si>
    <t>AJI13773</t>
  </si>
  <si>
    <t>Tue Jul 01 20:00:31 IST 2025</t>
  </si>
  <si>
    <t>AF25GJ175259615</t>
  </si>
  <si>
    <t>Tue Jul 01 20:00:32 IST 2025</t>
  </si>
  <si>
    <t>FN1427607628</t>
  </si>
  <si>
    <t>Tue Jul 01 07:22:58 IST 2025</t>
  </si>
  <si>
    <t>5115380942</t>
  </si>
  <si>
    <t>AJI13772</t>
  </si>
  <si>
    <t>Tue Jul 01 20:00:19 IST 2025</t>
  </si>
  <si>
    <t>AF25GJ175259584</t>
  </si>
  <si>
    <t>FN3684609705</t>
  </si>
  <si>
    <t>Tue Jul 01 01:42:20 IST 2025</t>
  </si>
  <si>
    <t>5115381834</t>
  </si>
  <si>
    <t>AJI13771</t>
  </si>
  <si>
    <t>Tue Jul 01 08:21:07 IST 2025</t>
  </si>
  <si>
    <t>AF25GJ175057146</t>
  </si>
  <si>
    <t>467151860018</t>
  </si>
  <si>
    <t>AJI1322_OFWT_XXL</t>
  </si>
  <si>
    <t>FN7307605495</t>
  </si>
  <si>
    <t>Tue Jul 01 05:17:04 IST 2025</t>
  </si>
  <si>
    <t>5115381833</t>
  </si>
  <si>
    <t>AJI13770</t>
  </si>
  <si>
    <t>Tue Jul 01 08:20:40 IST 2025</t>
  </si>
  <si>
    <t>AF25GJ175057007</t>
  </si>
  <si>
    <t>Tue Jul 01 08:20:42 IST 2025</t>
  </si>
  <si>
    <t>FN1918609571</t>
  </si>
  <si>
    <t>Tue Jul 01 04:36:50 IST 2025</t>
  </si>
  <si>
    <t>5115381832</t>
  </si>
  <si>
    <t>AJI13769</t>
  </si>
  <si>
    <t>Tue Jul 01 08:20:15 IST 2025</t>
  </si>
  <si>
    <t>AF25GJ175056831</t>
  </si>
  <si>
    <t>Tue Jul 01 08:20:16 IST 2025</t>
  </si>
  <si>
    <t>FN3028602428</t>
  </si>
  <si>
    <t>Tue Jul 01 07:31:06 IST 2025</t>
  </si>
  <si>
    <t>5115380947</t>
  </si>
  <si>
    <t>AJI13768</t>
  </si>
  <si>
    <t>Tue Jul 01 08:18:07 IST 2025</t>
  </si>
  <si>
    <t>AF25GJ175056089</t>
  </si>
  <si>
    <t>Tue Jul 01 08:18:08 IST 2025</t>
  </si>
  <si>
    <t>467177040005</t>
  </si>
  <si>
    <t>AJI1243_MLT_S</t>
  </si>
  <si>
    <t>FN3918601099</t>
  </si>
  <si>
    <t>Mon Jun 30 21:23:46 IST 2025</t>
  </si>
  <si>
    <t>5115380941</t>
  </si>
  <si>
    <t>AJI13766</t>
  </si>
  <si>
    <t>Tue Jul 01 08:12:51 IST 2025</t>
  </si>
  <si>
    <t>AF25GJ175054769</t>
  </si>
  <si>
    <t>Tue Jul 01 08:12:52 IST 2025</t>
  </si>
  <si>
    <t>FN9818604268</t>
  </si>
  <si>
    <t>Mon Jun 30 18:42:09 IST 2025</t>
  </si>
  <si>
    <t>5115380939</t>
  </si>
  <si>
    <t>AJI13763</t>
  </si>
  <si>
    <t>Tue Jul 01 08:12:45 IST 2025</t>
  </si>
  <si>
    <t>AF25GJ175054764</t>
  </si>
  <si>
    <t>FN4918604039</t>
  </si>
  <si>
    <t>Mon Jun 30 21:30:11 IST 2025</t>
  </si>
  <si>
    <t>5115380938</t>
  </si>
  <si>
    <t>AJI13765</t>
  </si>
  <si>
    <t>Tue Jul 01 08:12:37 IST 2025</t>
  </si>
  <si>
    <t>AF25GJ175054754</t>
  </si>
  <si>
    <t>FN9856602504</t>
  </si>
  <si>
    <t>Mon Jun 30 22:02:15 IST 2025</t>
  </si>
  <si>
    <t>5115380937</t>
  </si>
  <si>
    <t>AJI13764</t>
  </si>
  <si>
    <t>Tue Jul 01 08:12:20 IST 2025</t>
  </si>
  <si>
    <t>AF25GJ175054742</t>
  </si>
  <si>
    <t>FN1457606063</t>
  </si>
  <si>
    <t>Mon Jun 30 18:45:04 IST 2025</t>
  </si>
  <si>
    <t>5115380940</t>
  </si>
  <si>
    <t>AJI13761</t>
  </si>
  <si>
    <t>Tue Jul 01 08:12:11 IST 2025</t>
  </si>
  <si>
    <t>AF25GJ175054732</t>
  </si>
  <si>
    <t>Tue Jul 01 08:12:12 IST 2025</t>
  </si>
  <si>
    <t>FN6568508317</t>
  </si>
  <si>
    <t>Mon Jun 30 18:48:47 IST 2025</t>
  </si>
  <si>
    <t>5115380935</t>
  </si>
  <si>
    <t>AJI13760</t>
  </si>
  <si>
    <t>Tue Jul 01 08:11:49 IST 2025</t>
  </si>
  <si>
    <t>AF25GJ175054711</t>
  </si>
  <si>
    <t>Tue Jul 01 08:11:50 IST 2025</t>
  </si>
  <si>
    <t>FN9666604995</t>
  </si>
  <si>
    <t>Mon Jun 30 09:09:33 IST 2025</t>
  </si>
  <si>
    <t>5115380934</t>
  </si>
  <si>
    <t>AJI13759</t>
  </si>
  <si>
    <t>Tue Jul 01 08:11:31 IST 2025</t>
  </si>
  <si>
    <t>AF25GJ175054695</t>
  </si>
  <si>
    <t>Tue Jul 01 08:11:32 IST 2025</t>
  </si>
  <si>
    <t>FN8275602986</t>
  </si>
  <si>
    <t>Mon Jun 30 12:46:46 IST 2025</t>
  </si>
  <si>
    <t>5115380933</t>
  </si>
  <si>
    <t>AJI13758</t>
  </si>
  <si>
    <t>Tue Jul 01 08:11:23 IST 2025</t>
  </si>
  <si>
    <t>AF25GJ175054689</t>
  </si>
  <si>
    <t>Tue Jul 01 08:11:24 IST 2025</t>
  </si>
  <si>
    <t>FN6367609129</t>
  </si>
  <si>
    <t>Mon Jun 30 14:05:43 IST 2025</t>
  </si>
  <si>
    <t>5115380936</t>
  </si>
  <si>
    <t>AJI13757</t>
  </si>
  <si>
    <t>Tue Jul 01 08:11:13 IST 2025</t>
  </si>
  <si>
    <t>AF25GJ175054684</t>
  </si>
  <si>
    <t>FN0093607019</t>
  </si>
  <si>
    <t>Mon Jun 30 14:21:55 IST 2025</t>
  </si>
  <si>
    <t>5115379545</t>
  </si>
  <si>
    <t>AJI13756</t>
  </si>
  <si>
    <t>Tue Jul 01 08:09:39 IST 2025</t>
  </si>
  <si>
    <t>AF25GJ175054608</t>
  </si>
  <si>
    <t>Tue Jul 01 08:09:44 IST 2025</t>
  </si>
  <si>
    <t>FN9637609840</t>
  </si>
  <si>
    <t>Mon Jun 30 14:32:19 IST 2025</t>
  </si>
  <si>
    <t>5115379544</t>
  </si>
  <si>
    <t>AJI13755</t>
  </si>
  <si>
    <t>Tue Jul 01 08:09:33 IST 2025</t>
  </si>
  <si>
    <t>AF25GJ175054581</t>
  </si>
  <si>
    <t>Tue Jul 01 08:09:38 IST 2025</t>
  </si>
  <si>
    <t>FN8008604371</t>
  </si>
  <si>
    <t>Mon Jun 30 14:45:12 IST 2025</t>
  </si>
  <si>
    <t>5115379543</t>
  </si>
  <si>
    <t>AJI13753</t>
  </si>
  <si>
    <t>Tue Jul 01 08:09:27 IST 2025</t>
  </si>
  <si>
    <t>AF25GJ175054557</t>
  </si>
  <si>
    <t>Tue Jul 01 08:09:30 IST 2025</t>
  </si>
  <si>
    <t>FN2618601502</t>
  </si>
  <si>
    <t>Mon Jun 30 14:48:12 IST 2025</t>
  </si>
  <si>
    <t>5115379541</t>
  </si>
  <si>
    <t>AJI13752</t>
  </si>
  <si>
    <t>Tue Jul 01 08:09:16 IST 2025</t>
  </si>
  <si>
    <t>AF25GJ175054500</t>
  </si>
  <si>
    <t>FN5718600406</t>
  </si>
  <si>
    <t>Mon Jun 30 10:52:42 IST 2025</t>
  </si>
  <si>
    <t>5115379540</t>
  </si>
  <si>
    <t>AJI13751</t>
  </si>
  <si>
    <t>Tue Jul 01 08:09:07 IST 2025</t>
  </si>
  <si>
    <t>AF25GJ175054471</t>
  </si>
  <si>
    <t>EX0032462570</t>
  </si>
  <si>
    <t>Mon Jun 30 19:16:15 IST 2025</t>
  </si>
  <si>
    <t>5115379542</t>
  </si>
  <si>
    <t>AJI13750</t>
  </si>
  <si>
    <t>Tue Jul 01 08:08:57 IST 2025</t>
  </si>
  <si>
    <t>AF25GJ175054430</t>
  </si>
  <si>
    <t>FN4686602460</t>
  </si>
  <si>
    <t>Mon Jun 30 23:12:48 IST 2025</t>
  </si>
  <si>
    <t>5115379536</t>
  </si>
  <si>
    <t>AJI13749</t>
  </si>
  <si>
    <t>Tue Jul 01 08:08:49 IST 2025</t>
  </si>
  <si>
    <t>AF25GJ175054404</t>
  </si>
  <si>
    <t>Tue Jul 01 08:08:50 IST 2025</t>
  </si>
  <si>
    <t>EX0032437934</t>
  </si>
  <si>
    <t>Mon Jun 30 15:45:07 IST 2025</t>
  </si>
  <si>
    <t>5115379539</t>
  </si>
  <si>
    <t>AJI13748</t>
  </si>
  <si>
    <t>Tue Jul 01 08:08:46 IST 2025</t>
  </si>
  <si>
    <t>AF25GJ175054390</t>
  </si>
  <si>
    <t>Tue Jul 01 08:08:47 IST 2025</t>
  </si>
  <si>
    <t>FN6802206360</t>
  </si>
  <si>
    <t>Mon Jun 30 12:34:45 IST 2025</t>
  </si>
  <si>
    <t>5115379537</t>
  </si>
  <si>
    <t>AJI13747</t>
  </si>
  <si>
    <t>Tue Jul 01 08:08:39 IST 2025</t>
  </si>
  <si>
    <t>AF25GJ175054354</t>
  </si>
  <si>
    <t>Tue Jul 01 08:08:40 IST 2025</t>
  </si>
  <si>
    <t>FN0587600140</t>
  </si>
  <si>
    <t>Mon Jun 30 12:38:13 IST 2025</t>
  </si>
  <si>
    <t>5115379535</t>
  </si>
  <si>
    <t>AJI13746</t>
  </si>
  <si>
    <t>Tue Jul 01 08:08:29 IST 2025</t>
  </si>
  <si>
    <t>AF25GJ175054304</t>
  </si>
  <si>
    <t>FN9667605761</t>
  </si>
  <si>
    <t>Mon Jun 30 13:02:51 IST 2025</t>
  </si>
  <si>
    <t>5115379538</t>
  </si>
  <si>
    <t>AJI13745</t>
  </si>
  <si>
    <t>Tue Jul 01 08:08:25 IST 2025</t>
  </si>
  <si>
    <t>AF25GJ175054284</t>
  </si>
  <si>
    <t>FN5847605058</t>
  </si>
  <si>
    <t>Mon Jun 30 08:43:50 IST 2025</t>
  </si>
  <si>
    <t>5115379531</t>
  </si>
  <si>
    <t>AJI13744</t>
  </si>
  <si>
    <t>Tue Jul 01 08:08:15 IST 2025</t>
  </si>
  <si>
    <t>AF25GJ175054256</t>
  </si>
  <si>
    <t>Tue Jul 01 08:08:20 IST 2025</t>
  </si>
  <si>
    <t>FN7818600346</t>
  </si>
  <si>
    <t>Mon Jun 30 17:22:04 IST 2025</t>
  </si>
  <si>
    <t>5115379534</t>
  </si>
  <si>
    <t>AJI13743</t>
  </si>
  <si>
    <t>Tue Jul 01 08:08:05 IST 2025</t>
  </si>
  <si>
    <t>AF25GJ175054159</t>
  </si>
  <si>
    <t>Tue Jul 01 08:08:06 IST 2025</t>
  </si>
  <si>
    <t>EX0032451699</t>
  </si>
  <si>
    <t>Mon Jun 30 17:45:05 IST 2025</t>
  </si>
  <si>
    <t>5115379533</t>
  </si>
  <si>
    <t>AJI13742</t>
  </si>
  <si>
    <t>Tue Jul 01 08:07:59 IST 2025</t>
  </si>
  <si>
    <t>AF25GJ175054127</t>
  </si>
  <si>
    <t>Tue Jul 01 08:08:00 IST 2025</t>
  </si>
  <si>
    <t>EX0032437982</t>
  </si>
  <si>
    <t>Mon Jun 30 17:55:05 IST 2025</t>
  </si>
  <si>
    <t>5115379530</t>
  </si>
  <si>
    <t>AJI13741</t>
  </si>
  <si>
    <t>Tue Jul 01 08:07:47 IST 2025</t>
  </si>
  <si>
    <t>AF25GJ175054096</t>
  </si>
  <si>
    <t>Tue Jul 01 08:07:53 IST 2025</t>
  </si>
  <si>
    <t>FN0418606169</t>
  </si>
  <si>
    <t>Mon Jun 30 16:52:59 IST 2025</t>
  </si>
  <si>
    <t>5115379526</t>
  </si>
  <si>
    <t>AJI13740</t>
  </si>
  <si>
    <t>Tue Jul 01 08:07:41 IST 2025</t>
  </si>
  <si>
    <t>AF25GJ175054037</t>
  </si>
  <si>
    <t>FN4147600599</t>
  </si>
  <si>
    <t>Mon Jun 30 18:00:02 IST 2025</t>
  </si>
  <si>
    <t>5115379529</t>
  </si>
  <si>
    <t>AJI13739</t>
  </si>
  <si>
    <t>Tue Jul 01 08:07:37 IST 2025</t>
  </si>
  <si>
    <t>AF25GJ175054022</t>
  </si>
  <si>
    <t>FN2316509498</t>
  </si>
  <si>
    <t>Mon Jun 30 22:24:24 IST 2025</t>
  </si>
  <si>
    <t>5115379525</t>
  </si>
  <si>
    <t>AJI13738</t>
  </si>
  <si>
    <t>Tue Jul 01 08:07:30 IST 2025</t>
  </si>
  <si>
    <t>AF25GJ175053999</t>
  </si>
  <si>
    <t>Tue Jul 01 08:07:31 IST 2025</t>
  </si>
  <si>
    <t>FN2306603524</t>
  </si>
  <si>
    <t>Mon Jun 30 22:59:21 IST 2025</t>
  </si>
  <si>
    <t>5115379524</t>
  </si>
  <si>
    <t>AJI13737</t>
  </si>
  <si>
    <t>Tue Jul 01 08:07:20 IST 2025</t>
  </si>
  <si>
    <t>AF25GJ175053963</t>
  </si>
  <si>
    <t>FN3317604161</t>
  </si>
  <si>
    <t>Mon Jun 30 23:02:27 IST 2025</t>
  </si>
  <si>
    <t>5115379523</t>
  </si>
  <si>
    <t>AJI13736</t>
  </si>
  <si>
    <t>Tue Jul 01 08:07:15 IST 2025</t>
  </si>
  <si>
    <t>AF25GJ175053952</t>
  </si>
  <si>
    <t>Tue Jul 01 08:07:16 IST 2025</t>
  </si>
  <si>
    <t>EX0032443887</t>
  </si>
  <si>
    <t>Mon Jun 30 20:20:36 IST 2025</t>
  </si>
  <si>
    <t>5115379528</t>
  </si>
  <si>
    <t>AJI13735</t>
  </si>
  <si>
    <t>Tue Jul 01 08:07:06 IST 2025</t>
  </si>
  <si>
    <t>AF25GJ175053902</t>
  </si>
  <si>
    <t>491.86</t>
  </si>
  <si>
    <t>468.44</t>
  </si>
  <si>
    <t>FN4918604491</t>
  </si>
  <si>
    <t>Mon Jun 30 21:03:10 IST 2025</t>
  </si>
  <si>
    <t>5115379527</t>
  </si>
  <si>
    <t>AJI13734</t>
  </si>
  <si>
    <t>Tue Jul 01 08:06:55 IST 2025</t>
  </si>
  <si>
    <t>AF25GJ175053872</t>
  </si>
  <si>
    <t>Tue Jul 01 08:06:56 IST 2025</t>
  </si>
  <si>
    <t>new_parent_id</t>
  </si>
  <si>
    <t>customer_delivery_state_code</t>
  </si>
  <si>
    <t>loyalty_amount</t>
  </si>
  <si>
    <t>invoiceamount</t>
  </si>
  <si>
    <t>base_value</t>
  </si>
  <si>
    <t>seller_price</t>
  </si>
  <si>
    <t>mrp</t>
  </si>
  <si>
    <t>discount</t>
  </si>
  <si>
    <t>tax_user_rec</t>
  </si>
  <si>
    <t>giftcard</t>
  </si>
  <si>
    <t>vat_refund</t>
  </si>
  <si>
    <t>mynts_used</t>
  </si>
  <si>
    <t>instant_cashback</t>
  </si>
  <si>
    <t>value_shipping</t>
  </si>
  <si>
    <t>tcs</t>
  </si>
  <si>
    <t>net_amount</t>
  </si>
  <si>
    <t>certificatenumber</t>
  </si>
  <si>
    <t>seller_gstin</t>
  </si>
  <si>
    <t>tax_seller_gstin</t>
  </si>
  <si>
    <t>3% (45645)</t>
  </si>
  <si>
    <t>C:\Users\AT\Desktop\Ecommerce\ecommerce statement\mytra\part-00031-tid-885408879097544410-7e854b9f-c433-4aa4-9278-cd0756ca343e-28-110.c000.xlsx</t>
  </si>
  <si>
    <t>ECom IGST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</si>
</sst>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20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63" fillId="2" borderId="32" xfId="0" applyFont="1" applyFill="1" applyBorder="1"/>
    <xf numFmtId="0" fontId="63" fillId="2" borderId="0" xfId="0" applyFont="1" applyFill="1"/>
    <xf numFmtId="164" fontId="0" fillId="0" borderId="0" xfId="0" applyNumberFormat="1" applyAlignment="1" applyProtection="1">
      <alignment wrapText="1"/>
      <protection hidden="1"/>
    </xf>
    <xf numFmtId="2" fontId="13" fillId="0" borderId="0" xfId="0" applyNumberFormat="1" applyFont="1" applyAlignment="1" applyProtection="1">
      <alignment horizontal="right"/>
      <protection locked="0" hidden="1"/>
    </xf>
    <xf numFmtId="164" fontId="16" fillId="0" borderId="0" xfId="0" quotePrefix="1" applyNumberFormat="1" applyFont="1"/>
    <xf numFmtId="0" fontId="16" fillId="17" borderId="1" xfId="3" applyFont="1" applyFill="1" applyBorder="1" applyAlignment="1">
      <alignment horizontal="center" vertical="center"/>
    </xf>
    <xf numFmtId="2" fontId="13" fillId="0" borderId="0" xfId="0" applyNumberFormat="1" applyFont="1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/>
      <protection locked="0" hidden="1"/>
    </xf>
    <xf numFmtId="0" fontId="16" fillId="0" borderId="0" xfId="0" quotePrefix="1" applyFont="1" applyAlignment="1" applyProtection="1">
      <alignment horizontal="center"/>
      <protection locked="0" hidden="1"/>
    </xf>
    <xf numFmtId="164" fontId="16" fillId="0" borderId="0" xfId="0" applyNumberFormat="1" applyFont="1" applyAlignment="1" applyProtection="1">
      <alignment horizontal="center"/>
      <protection locked="0" hidden="1"/>
    </xf>
    <xf numFmtId="1" fontId="16" fillId="0" borderId="0" xfId="0" applyNumberFormat="1" applyFont="1" applyAlignment="1" applyProtection="1">
      <alignment horizontal="center"/>
      <protection locked="0" hidden="1"/>
    </xf>
    <xf numFmtId="2" fontId="16" fillId="0" borderId="0" xfId="0" applyNumberFormat="1" applyFont="1" applyProtection="1">
      <protection locked="0" hidden="1"/>
    </xf>
    <xf numFmtId="0" fontId="16" fillId="0" borderId="0" xfId="0" quotePrefix="1" applyFont="1" applyProtection="1">
      <protection locked="0" hidden="1"/>
    </xf>
    <xf numFmtId="165" fontId="0" fillId="0" borderId="0" xfId="0" applyNumberFormat="1" applyAlignment="1" applyProtection="1">
      <alignment horizontal="right"/>
      <protection locked="0" hidden="1"/>
    </xf>
    <xf numFmtId="164" fontId="0" fillId="0" borderId="0" xfId="0" applyNumberFormat="1" applyAlignment="1" applyProtection="1">
      <alignment wrapText="1"/>
      <protection locked="0" hidden="1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3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checked="Checked" fmlaLink="M20" lockText="1" noThreeD="1"/>
</file>

<file path=xl/ctrlProps/ctrlProp13.xml><?xml version="1.0" encoding="utf-8"?>
<formControlPr xmlns="http://schemas.microsoft.com/office/spreadsheetml/2009/9/main" objectType="CheckBox" checked="Checked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723900</xdr:colOff>
      <xdr:row>3</xdr:row>
      <xdr:rowOff>95250</xdr:rowOff>
    </xdr:from>
    <xdr:to>
      <xdr:col>9</xdr:col>
      <xdr:colOff>438150</xdr:colOff>
      <xdr:row>4</xdr:row>
      <xdr:rowOff>200175</xdr:rowOff>
    </xdr:to>
    <xdr:sp macro="[0]!patchsetform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>
          <a:spLocks/>
        </xdr:cNvSpPr>
      </xdr:nvSpPr>
      <xdr:spPr>
        <a:xfrm>
          <a:off x="12725400" y="83820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Path</a:t>
          </a:r>
          <a:r>
            <a:rPr lang="en-US" sz="1100" b="1" baseline="0">
              <a:solidFill>
                <a:schemeClr val="tx1"/>
              </a:solidFill>
            </a:rPr>
            <a:t> Set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714375</xdr:colOff>
      <xdr:row>1</xdr:row>
      <xdr:rowOff>85725</xdr:rowOff>
    </xdr:from>
    <xdr:to>
      <xdr:col>9</xdr:col>
      <xdr:colOff>428625</xdr:colOff>
      <xdr:row>2</xdr:row>
      <xdr:rowOff>190650</xdr:rowOff>
    </xdr:to>
    <xdr:sp macro="[0]!OpenCompListBtn_Click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>
          <a:spLocks/>
        </xdr:cNvSpPr>
      </xdr:nvSpPr>
      <xdr:spPr>
        <a:xfrm>
          <a:off x="12715875" y="390525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836" name="MSH_CheckBox" hidden="1">
              <a:extLst>
                <a:ext uri="{63B3BB69-23CF-44E3-9099-C40C66FF867C}">
                  <a14:compatExt spid="_x0000_s25836"/>
                </a:ext>
                <a:ext uri="{FF2B5EF4-FFF2-40B4-BE49-F238E27FC236}">
                  <a16:creationId xmlns:a16="http://schemas.microsoft.com/office/drawing/2014/main" id="{00000000-0008-0000-1600-0000E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837" name="MSH (2)_CheckBox" hidden="1">
              <a:extLst>
                <a:ext uri="{63B3BB69-23CF-44E3-9099-C40C66FF867C}">
                  <a14:compatExt spid="_x0000_s25837"/>
                </a:ext>
                <a:ext uri="{FF2B5EF4-FFF2-40B4-BE49-F238E27FC236}">
                  <a16:creationId xmlns:a16="http://schemas.microsoft.com/office/drawing/2014/main" id="{00000000-0008-0000-1600-0000E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838" name="MSH (3)_CheckBox" hidden="1">
              <a:extLst>
                <a:ext uri="{63B3BB69-23CF-44E3-9099-C40C66FF867C}">
                  <a14:compatExt spid="_x0000_s25838"/>
                </a:ext>
                <a:ext uri="{FF2B5EF4-FFF2-40B4-BE49-F238E27FC236}">
                  <a16:creationId xmlns:a16="http://schemas.microsoft.com/office/drawing/2014/main" id="{00000000-0008-0000-1600-0000E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839" name="AMZ_CheckBox" hidden="1">
              <a:extLst>
                <a:ext uri="{63B3BB69-23CF-44E3-9099-C40C66FF867C}">
                  <a14:compatExt spid="_x0000_s25839"/>
                </a:ext>
                <a:ext uri="{FF2B5EF4-FFF2-40B4-BE49-F238E27FC236}">
                  <a16:creationId xmlns:a16="http://schemas.microsoft.com/office/drawing/2014/main" id="{00000000-0008-0000-1600-0000E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840" name="AMZ (2)_CheckBox" hidden="1">
              <a:extLst>
                <a:ext uri="{63B3BB69-23CF-44E3-9099-C40C66FF867C}">
                  <a14:compatExt spid="_x0000_s25840"/>
                </a:ext>
                <a:ext uri="{FF2B5EF4-FFF2-40B4-BE49-F238E27FC236}">
                  <a16:creationId xmlns:a16="http://schemas.microsoft.com/office/drawing/2014/main" id="{00000000-0008-0000-1600-0000F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841" name="FLC_CheckBox" hidden="1">
              <a:extLst>
                <a:ext uri="{63B3BB69-23CF-44E3-9099-C40C66FF867C}">
                  <a14:compatExt spid="_x0000_s25841"/>
                </a:ext>
                <a:ext uri="{FF2B5EF4-FFF2-40B4-BE49-F238E27FC236}">
                  <a16:creationId xmlns:a16="http://schemas.microsoft.com/office/drawing/2014/main" id="{00000000-0008-0000-1600-0000F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842" name="FLC (C)_CheckBox" hidden="1">
              <a:extLst>
                <a:ext uri="{63B3BB69-23CF-44E3-9099-C40C66FF867C}">
                  <a14:compatExt spid="_x0000_s25842"/>
                </a:ext>
                <a:ext uri="{FF2B5EF4-FFF2-40B4-BE49-F238E27FC236}">
                  <a16:creationId xmlns:a16="http://schemas.microsoft.com/office/drawing/2014/main" id="{00000000-0008-0000-1600-0000F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843" name="SND_CheckBox" hidden="1">
              <a:extLst>
                <a:ext uri="{63B3BB69-23CF-44E3-9099-C40C66FF867C}">
                  <a14:compatExt spid="_x0000_s25843"/>
                </a:ext>
                <a:ext uri="{FF2B5EF4-FFF2-40B4-BE49-F238E27FC236}">
                  <a16:creationId xmlns:a16="http://schemas.microsoft.com/office/drawing/2014/main" id="{00000000-0008-0000-1600-0000F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844" name="JIO_CheckBox" hidden="1">
              <a:extLst>
                <a:ext uri="{63B3BB69-23CF-44E3-9099-C40C66FF867C}">
                  <a14:compatExt spid="_x0000_s25844"/>
                </a:ext>
                <a:ext uri="{FF2B5EF4-FFF2-40B4-BE49-F238E27FC236}">
                  <a16:creationId xmlns:a16="http://schemas.microsoft.com/office/drawing/2014/main" id="{00000000-0008-0000-1600-0000F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845" name="AJIO_CheckBox" hidden="1">
              <a:extLst>
                <a:ext uri="{63B3BB69-23CF-44E3-9099-C40C66FF867C}">
                  <a14:compatExt spid="_x0000_s25845"/>
                </a:ext>
                <a:ext uri="{FF2B5EF4-FFF2-40B4-BE49-F238E27FC236}">
                  <a16:creationId xmlns:a16="http://schemas.microsoft.com/office/drawing/2014/main" id="{00000000-0008-0000-1600-0000F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846" name="GLR_CheckBox" hidden="1">
              <a:extLst>
                <a:ext uri="{63B3BB69-23CF-44E3-9099-C40C66FF867C}">
                  <a14:compatExt spid="_x0000_s25846"/>
                </a:ext>
                <a:ext uri="{FF2B5EF4-FFF2-40B4-BE49-F238E27FC236}">
                  <a16:creationId xmlns:a16="http://schemas.microsoft.com/office/drawing/2014/main" id="{00000000-0008-0000-1600-0000F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847" name="MYR_CheckBox" hidden="1">
              <a:extLst>
                <a:ext uri="{63B3BB69-23CF-44E3-9099-C40C66FF867C}">
                  <a14:compatExt spid="_x0000_s25847"/>
                </a:ext>
                <a:ext uri="{FF2B5EF4-FFF2-40B4-BE49-F238E27FC236}">
                  <a16:creationId xmlns:a16="http://schemas.microsoft.com/office/drawing/2014/main" id="{00000000-0008-0000-1600-0000F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848" name="MYR (2)_CheckBox" hidden="1">
              <a:extLst>
                <a:ext uri="{63B3BB69-23CF-44E3-9099-C40C66FF867C}">
                  <a14:compatExt spid="_x0000_s25848"/>
                </a:ext>
                <a:ext uri="{FF2B5EF4-FFF2-40B4-BE49-F238E27FC236}">
                  <a16:creationId xmlns:a16="http://schemas.microsoft.com/office/drawing/2014/main" id="{00000000-0008-0000-1600-0000F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849" name="NPTL_CheckBox" hidden="1">
              <a:extLst>
                <a:ext uri="{63B3BB69-23CF-44E3-9099-C40C66FF867C}">
                  <a14:compatExt spid="_x0000_s25849"/>
                </a:ext>
                <a:ext uri="{FF2B5EF4-FFF2-40B4-BE49-F238E27FC236}">
                  <a16:creationId xmlns:a16="http://schemas.microsoft.com/office/drawing/2014/main" id="{00000000-0008-0000-1600-0000F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850" name="MRW_CheckBox" hidden="1">
              <a:extLst>
                <a:ext uri="{63B3BB69-23CF-44E3-9099-C40C66FF867C}">
                  <a14:compatExt spid="_x0000_s25850"/>
                </a:ext>
                <a:ext uri="{FF2B5EF4-FFF2-40B4-BE49-F238E27FC236}">
                  <a16:creationId xmlns:a16="http://schemas.microsoft.com/office/drawing/2014/main" id="{00000000-0008-0000-1600-0000F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851" name="S101_CheckBox" hidden="1">
              <a:extLst>
                <a:ext uri="{63B3BB69-23CF-44E3-9099-C40C66FF867C}">
                  <a14:compatExt spid="_x0000_s25851"/>
                </a:ext>
                <a:ext uri="{FF2B5EF4-FFF2-40B4-BE49-F238E27FC236}">
                  <a16:creationId xmlns:a16="http://schemas.microsoft.com/office/drawing/2014/main" id="{00000000-0008-0000-1600-0000F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852" name="S101 (2)_CheckBox" hidden="1">
              <a:extLst>
                <a:ext uri="{63B3BB69-23CF-44E3-9099-C40C66FF867C}">
                  <a14:compatExt spid="_x0000_s25852"/>
                </a:ext>
                <a:ext uri="{FF2B5EF4-FFF2-40B4-BE49-F238E27FC236}">
                  <a16:creationId xmlns:a16="http://schemas.microsoft.com/office/drawing/2014/main" id="{00000000-0008-0000-1600-0000F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853" name="S101 (3)_CheckBox" hidden="1">
              <a:extLst>
                <a:ext uri="{63B3BB69-23CF-44E3-9099-C40C66FF867C}">
                  <a14:compatExt spid="_x0000_s25853"/>
                </a:ext>
                <a:ext uri="{FF2B5EF4-FFF2-40B4-BE49-F238E27FC236}">
                  <a16:creationId xmlns:a16="http://schemas.microsoft.com/office/drawing/2014/main" id="{00000000-0008-0000-1600-0000F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854" name="VMT_CheckBox" hidden="1">
              <a:extLst>
                <a:ext uri="{63B3BB69-23CF-44E3-9099-C40C66FF867C}">
                  <a14:compatExt spid="_x0000_s25854"/>
                </a:ext>
                <a:ext uri="{FF2B5EF4-FFF2-40B4-BE49-F238E27FC236}">
                  <a16:creationId xmlns:a16="http://schemas.microsoft.com/office/drawing/2014/main" id="{00000000-0008-0000-1600-0000F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855" name="UNI_CheckBox" hidden="1">
              <a:extLst>
                <a:ext uri="{63B3BB69-23CF-44E3-9099-C40C66FF867C}">
                  <a14:compatExt spid="_x0000_s25855"/>
                </a:ext>
                <a:ext uri="{FF2B5EF4-FFF2-40B4-BE49-F238E27FC236}">
                  <a16:creationId xmlns:a16="http://schemas.microsoft.com/office/drawing/2014/main" id="{00000000-0008-0000-1600-0000F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856" name="AMZ TR_CheckBox" hidden="1">
              <a:extLst>
                <a:ext uri="{63B3BB69-23CF-44E3-9099-C40C66FF867C}">
                  <a14:compatExt spid="_x0000_s25856"/>
                </a:ext>
                <a:ext uri="{FF2B5EF4-FFF2-40B4-BE49-F238E27FC236}">
                  <a16:creationId xmlns:a16="http://schemas.microsoft.com/office/drawing/2014/main" id="{00000000-0008-0000-1600-0000006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29</xdr:row>
          <xdr:rowOff>0</xdr:rowOff>
        </xdr:from>
        <xdr:to>
          <xdr:col>9</xdr:col>
          <xdr:colOff>419100</xdr:colOff>
          <xdr:row>29</xdr:row>
          <xdr:rowOff>209550</xdr:rowOff>
        </xdr:to>
        <xdr:sp macro="" textlink="">
          <xdr:nvSpPr>
            <xdr:cNvPr id="25857" name="GSTR2B_CheckBox" hidden="1">
              <a:extLst>
                <a:ext uri="{63B3BB69-23CF-44E3-9099-C40C66FF867C}">
                  <a14:compatExt spid="_x0000_s25857"/>
                </a:ext>
                <a:ext uri="{FF2B5EF4-FFF2-40B4-BE49-F238E27FC236}">
                  <a16:creationId xmlns:a16="http://schemas.microsoft.com/office/drawing/2014/main" id="{00000000-0008-0000-1600-0000016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B38" sqref="B38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13" t="s">
        <v>235</v>
      </c>
      <c r="P1" s="414"/>
      <c r="AB1" s="16">
        <v>0</v>
      </c>
      <c r="AD1" s="277" t="s">
        <v>775</v>
      </c>
      <c r="AE1" s="277" t="s">
        <v>770</v>
      </c>
      <c r="AF1" s="277" t="s">
        <v>54</v>
      </c>
      <c r="AG1" s="277" t="s">
        <v>728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+IF(O2=2,COUNTIF(DD:DE,"+++++++++")-2,(COUNTIF(DD:DE,"+++++++++")-1)+(COUNTIF(DL:DL,"Error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774</v>
      </c>
      <c r="AF2" s="85" t="s">
        <v>772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857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901</v>
      </c>
      <c r="E3" s="73"/>
      <c r="F3" s="62"/>
      <c r="G3" s="74"/>
      <c r="H3" s="75"/>
      <c r="I3" s="62"/>
      <c r="J3" s="62"/>
      <c r="K3" s="62"/>
      <c r="L3" s="62" t="s">
        <v>913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8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4">
        <f>IFERROR(VALUE(IF($R$2="nullremove",IF(ISBLANK(AI3),IF(H3="null",0,AC3),IF(G3="null",0,-AE3)),IF(ISBLANK(AI3),AC3,-AE3))),"Error in Amount")</f>
        <v>0</v>
      </c>
      <c r="DM3" s="72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4" customFormat="1" ht="26.25" customHeight="1" x14ac:dyDescent="0.25">
      <c r="A4" s="394" t="s">
        <v>111</v>
      </c>
      <c r="B4" s="394" t="s">
        <v>112</v>
      </c>
      <c r="C4" s="394" t="s">
        <v>113</v>
      </c>
      <c r="D4" s="394" t="s">
        <v>114</v>
      </c>
      <c r="E4" s="394" t="s">
        <v>115</v>
      </c>
      <c r="F4" s="394" t="s">
        <v>116</v>
      </c>
      <c r="G4" s="394" t="s">
        <v>117</v>
      </c>
      <c r="H4" s="394" t="s">
        <v>118</v>
      </c>
      <c r="I4" s="394" t="s">
        <v>119</v>
      </c>
      <c r="J4" s="394" t="s">
        <v>120</v>
      </c>
      <c r="K4" s="394" t="s">
        <v>121</v>
      </c>
      <c r="L4" s="394" t="s">
        <v>122</v>
      </c>
      <c r="M4" s="394" t="s">
        <v>123</v>
      </c>
      <c r="N4" s="394" t="s">
        <v>124</v>
      </c>
      <c r="O4" s="394" t="s">
        <v>125</v>
      </c>
      <c r="P4" s="394" t="s">
        <v>126</v>
      </c>
      <c r="Q4" s="394" t="s">
        <v>127</v>
      </c>
      <c r="R4" s="394" t="s">
        <v>128</v>
      </c>
      <c r="S4" s="394" t="s">
        <v>129</v>
      </c>
      <c r="T4" s="394" t="s">
        <v>130</v>
      </c>
      <c r="U4" s="394" t="s">
        <v>131</v>
      </c>
      <c r="V4" s="394" t="s">
        <v>132</v>
      </c>
      <c r="W4" s="394" t="s">
        <v>884</v>
      </c>
      <c r="X4" s="394" t="s">
        <v>885</v>
      </c>
      <c r="Y4" s="394" t="s">
        <v>886</v>
      </c>
      <c r="Z4" s="394" t="s">
        <v>887</v>
      </c>
      <c r="AA4" s="394" t="s">
        <v>133</v>
      </c>
      <c r="AB4" s="394" t="s">
        <v>134</v>
      </c>
      <c r="AC4" s="394" t="s">
        <v>135</v>
      </c>
      <c r="AD4" s="394" t="s">
        <v>136</v>
      </c>
      <c r="AE4" s="394" t="s">
        <v>137</v>
      </c>
      <c r="AF4" s="394" t="s">
        <v>138</v>
      </c>
      <c r="AG4" s="394" t="s">
        <v>888</v>
      </c>
      <c r="AH4" s="394" t="s">
        <v>139</v>
      </c>
      <c r="AI4" s="394" t="s">
        <v>140</v>
      </c>
      <c r="AJ4" s="394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U5EOt3/5fGwhDLgMMi3k3gh9Fi48xS1v9cY238uKF2CoLZgfSut+DS+qY5VFlWdUn5UzLx0FywOxxN2Ild5ZHg==" saltValue="jJ8d+dF03WWleH2DkgoODQ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303" priority="17" operator="equal">
      <formula>#N/A</formula>
    </cfRule>
  </conditionalFormatting>
  <conditionalFormatting sqref="H1:H2">
    <cfRule type="cellIs" dxfId="302" priority="16" operator="equal">
      <formula>#N/A</formula>
    </cfRule>
  </conditionalFormatting>
  <conditionalFormatting sqref="E1">
    <cfRule type="cellIs" dxfId="301" priority="10" operator="equal">
      <formula>#N/A</formula>
    </cfRule>
  </conditionalFormatting>
  <conditionalFormatting sqref="I1:I2">
    <cfRule type="cellIs" dxfId="300" priority="9" operator="equal">
      <formula>#N/A</formula>
    </cfRule>
  </conditionalFormatting>
  <conditionalFormatting sqref="J1:J2">
    <cfRule type="cellIs" dxfId="299" priority="8" operator="equal">
      <formula>#N/A</formula>
    </cfRule>
  </conditionalFormatting>
  <conditionalFormatting sqref="J1">
    <cfRule type="containsText" dxfId="298" priority="6" operator="containsText" text="All Data Import Successfully">
      <formula>NOT(ISERROR(SEARCH("All Data Import Successfully",J1)))</formula>
    </cfRule>
    <cfRule type="containsText" dxfId="297" priority="7" operator="containsText" text="Difference Entry">
      <formula>NOT(ISERROR(SEARCH("Difference Entry",J1)))</formula>
    </cfRule>
  </conditionalFormatting>
  <conditionalFormatting sqref="J2">
    <cfRule type="cellIs" dxfId="296" priority="5" operator="equal">
      <formula>0</formula>
    </cfRule>
  </conditionalFormatting>
  <conditionalFormatting sqref="K2">
    <cfRule type="cellIs" dxfId="295" priority="4" operator="equal">
      <formula>#N/A</formula>
    </cfRule>
  </conditionalFormatting>
  <conditionalFormatting sqref="E4">
    <cfRule type="cellIs" dxfId="29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H13" sqref="H13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13" t="s">
        <v>235</v>
      </c>
      <c r="P1" s="414"/>
      <c r="AB1" s="16">
        <v>0</v>
      </c>
      <c r="AD1" s="277" t="s">
        <v>775</v>
      </c>
      <c r="AE1" s="277" t="s">
        <v>770</v>
      </c>
      <c r="AF1" s="277" t="s">
        <v>54</v>
      </c>
      <c r="AG1" s="277" t="s">
        <v>728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+(COUNTIF(DE:DE,"StateERROR"))+(COUNTIF(DD:DD,"ProductERROR")-1)+(COUNTIF(DL:DL,"AmountERROR"))</f>
        <v>0</v>
      </c>
      <c r="O2" s="93">
        <v>1</v>
      </c>
      <c r="P2" s="94" t="s">
        <v>296</v>
      </c>
      <c r="S2" s="2"/>
      <c r="AD2" s="85" t="s">
        <v>325</v>
      </c>
      <c r="AE2" s="85" t="s">
        <v>774</v>
      </c>
      <c r="AF2" s="85" t="s">
        <v>772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857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904</v>
      </c>
      <c r="E3" s="73"/>
      <c r="F3" s="62"/>
      <c r="G3" s="74"/>
      <c r="H3" s="75"/>
      <c r="I3" s="62"/>
      <c r="J3" s="62"/>
      <c r="K3" s="62"/>
      <c r="L3" s="62" t="s">
        <v>913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2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2" t="s">
        <v>85</v>
      </c>
      <c r="DG3" s="28" t="e">
        <f>+VALUE(B3)</f>
        <v>#VALUE!</v>
      </c>
      <c r="DH3" s="29" t="str">
        <f>+D3</f>
        <v>D:\All Sharing\Ecom Setup\Devlop\ecomm statment\tcs_sales meesho.xlsx</v>
      </c>
      <c r="DI3" s="113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6">
        <f>IFERROR(VALUE(IF($R$2="nullremove",IF(ISBLANK(AL3),IF(H3="null",0,AE3),IF(G3="null",0,-AG3)),IF(ISBLANK(AL3),AE3,-AG3))),"AmountERROR")</f>
        <v>0</v>
      </c>
      <c r="DM3" s="395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4" customFormat="1" ht="26.25" customHeight="1" x14ac:dyDescent="0.25">
      <c r="A4" s="394" t="s">
        <v>111</v>
      </c>
      <c r="B4" s="394" t="s">
        <v>112</v>
      </c>
      <c r="C4" s="394" t="s">
        <v>113</v>
      </c>
      <c r="D4" s="394" t="s">
        <v>114</v>
      </c>
      <c r="E4" s="394" t="s">
        <v>115</v>
      </c>
      <c r="F4" s="394" t="s">
        <v>116</v>
      </c>
      <c r="G4" s="394" t="s">
        <v>117</v>
      </c>
      <c r="H4" s="394" t="s">
        <v>118</v>
      </c>
      <c r="I4" s="394" t="s">
        <v>119</v>
      </c>
      <c r="J4" s="394" t="s">
        <v>120</v>
      </c>
      <c r="K4" s="394" t="s">
        <v>121</v>
      </c>
      <c r="L4" s="394" t="s">
        <v>122</v>
      </c>
      <c r="M4" s="394" t="s">
        <v>123</v>
      </c>
      <c r="N4" s="394" t="s">
        <v>124</v>
      </c>
      <c r="O4" s="394" t="s">
        <v>125</v>
      </c>
      <c r="P4" s="394" t="s">
        <v>126</v>
      </c>
      <c r="Q4" s="394" t="s">
        <v>127</v>
      </c>
      <c r="R4" s="394" t="s">
        <v>128</v>
      </c>
      <c r="S4" s="394" t="s">
        <v>129</v>
      </c>
      <c r="T4" s="394" t="s">
        <v>130</v>
      </c>
      <c r="U4" s="394" t="s">
        <v>131</v>
      </c>
      <c r="V4" s="394" t="s">
        <v>132</v>
      </c>
      <c r="W4" s="394" t="s">
        <v>884</v>
      </c>
      <c r="X4" s="394" t="s">
        <v>885</v>
      </c>
      <c r="Y4" s="394" t="s">
        <v>886</v>
      </c>
      <c r="Z4" s="394" t="s">
        <v>887</v>
      </c>
      <c r="AA4" s="394" t="s">
        <v>133</v>
      </c>
      <c r="AB4" s="394" t="s">
        <v>134</v>
      </c>
      <c r="AC4" s="394" t="s">
        <v>135</v>
      </c>
      <c r="AD4" s="394" t="s">
        <v>136</v>
      </c>
      <c r="AE4" s="394" t="s">
        <v>137</v>
      </c>
      <c r="AF4" s="394" t="s">
        <v>138</v>
      </c>
      <c r="AG4" s="394" t="s">
        <v>888</v>
      </c>
      <c r="AH4" s="394" t="s">
        <v>139</v>
      </c>
      <c r="AI4" s="394" t="s">
        <v>140</v>
      </c>
      <c r="AJ4" s="394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RHZQlnnZt4fjVicye8eqGbjCVEYE7RTJiH2bpoQA4ZtoFJ7xyLeaTllONKciqG5zB6qFFc90MYYtTWuN/PosXg==" saltValue="PFGbJInO6GSRSSk7ZCgsNQ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93" priority="10" operator="equal">
      <formula>#N/A</formula>
    </cfRule>
  </conditionalFormatting>
  <conditionalFormatting sqref="H1:H2">
    <cfRule type="cellIs" dxfId="292" priority="9" operator="equal">
      <formula>#N/A</formula>
    </cfRule>
  </conditionalFormatting>
  <conditionalFormatting sqref="E1">
    <cfRule type="cellIs" dxfId="291" priority="8" operator="equal">
      <formula>#N/A</formula>
    </cfRule>
  </conditionalFormatting>
  <conditionalFormatting sqref="I1:I2">
    <cfRule type="cellIs" dxfId="290" priority="7" operator="equal">
      <formula>#N/A</formula>
    </cfRule>
  </conditionalFormatting>
  <conditionalFormatting sqref="J1:J2">
    <cfRule type="cellIs" dxfId="289" priority="6" operator="equal">
      <formula>#N/A</formula>
    </cfRule>
  </conditionalFormatting>
  <conditionalFormatting sqref="J1">
    <cfRule type="containsText" dxfId="288" priority="4" operator="containsText" text="All Data Import Successfully">
      <formula>NOT(ISERROR(SEARCH("All Data Import Successfully",J1)))</formula>
    </cfRule>
    <cfRule type="containsText" dxfId="287" priority="5" operator="containsText" text="Difference Entry">
      <formula>NOT(ISERROR(SEARCH("Difference Entry",J1)))</formula>
    </cfRule>
  </conditionalFormatting>
  <conditionalFormatting sqref="J2">
    <cfRule type="cellIs" dxfId="286" priority="3" operator="equal">
      <formula>0</formula>
    </cfRule>
  </conditionalFormatting>
  <conditionalFormatting sqref="K2">
    <cfRule type="cellIs" dxfId="285" priority="2" operator="equal">
      <formula>#N/A</formula>
    </cfRule>
  </conditionalFormatting>
  <conditionalFormatting sqref="E4">
    <cfRule type="cellIs" dxfId="284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04B9-E16B-4AC4-BB91-E32CC26A8B35}">
  <sheetPr codeName="Sheet25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4" width="9.140625" style="16"/>
    <col min="115" max="115" width="10.42578125" style="16" bestFit="1" customWidth="1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13" t="s">
        <v>235</v>
      </c>
      <c r="P1" s="414"/>
      <c r="AB1" s="16">
        <v>0</v>
      </c>
      <c r="AD1" s="277" t="s">
        <v>775</v>
      </c>
      <c r="AE1" s="277" t="s">
        <v>770</v>
      </c>
      <c r="AF1" s="277" t="s">
        <v>54</v>
      </c>
      <c r="AG1" s="277" t="s">
        <v>728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774</v>
      </c>
      <c r="AF2" s="85" t="s">
        <v>772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857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907</v>
      </c>
      <c r="E3" s="73"/>
      <c r="F3" s="62"/>
      <c r="G3" s="74"/>
      <c r="H3" s="75"/>
      <c r="I3" s="62"/>
      <c r="J3" s="62"/>
      <c r="K3" s="62"/>
      <c r="L3" s="62" t="s">
        <v>913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 t="e">
        <f>VLOOKUP(VALUE(LEFT(C3,2)),Help!$E$2:$F$45,2,0)</f>
        <v>#VALUE!</v>
      </c>
      <c r="DB3" s="26" t="str">
        <f>+$B$3</f>
        <v>Meesho</v>
      </c>
      <c r="DC3" s="27" t="s">
        <v>85</v>
      </c>
      <c r="DD3" s="57" t="str">
        <f>+CONCATENATE(DJ3,"%",," ","(",DI3,")")</f>
        <v>0% (0)</v>
      </c>
      <c r="DE3" s="26" t="e">
        <f>VLOOKUP(TRIM(M3),Help!$A$2:$B$250,2,0)</f>
        <v>#N/A</v>
      </c>
      <c r="DF3" s="27" t="s">
        <v>85</v>
      </c>
      <c r="DG3" s="78">
        <f>+IF(ISBLANK(R3),VALUE(E3),TEXT(DATE(P3,Q3,1),"dd-mm-yyyy"))</f>
        <v>0</v>
      </c>
      <c r="DH3" s="26" t="str">
        <f>+D3</f>
        <v>C:\Users\AT\Desktop\tcs_sales_return.xlsx</v>
      </c>
      <c r="DI3" s="26">
        <f>+VALUE(F3)</f>
        <v>0</v>
      </c>
      <c r="DJ3" s="26">
        <f>+VALUE(H3)</f>
        <v>0</v>
      </c>
      <c r="DK3" s="59">
        <f>+VALUE(G3)</f>
        <v>0</v>
      </c>
      <c r="DL3" s="400">
        <f>IF(ISBLANK(R3),ROUND(I3, 2),ROUND(-I3, 2))</f>
        <v>0</v>
      </c>
      <c r="DM3" s="72">
        <f>+DL3*0.005</f>
        <v>0</v>
      </c>
      <c r="DN3" s="26" t="e">
        <f>CONCATENATE(IF(DE3="+++++++++","State",""),IF(DD3="+++++++++","PrctName",""),,IF(DL3="Error in Amount","Error in Amount",""))</f>
        <v>#N/A</v>
      </c>
      <c r="DO3" s="26" t="e">
        <f>IF(DE3="+++++++++", IF(OR(ISBLANK(AD3), ISBLANK(AF3)), "", IF(ISBLANK(AI3), AD3, AF3)), "")</f>
        <v>#N/A</v>
      </c>
    </row>
    <row r="4" spans="1:119" s="114" customFormat="1" ht="26.25" customHeight="1" x14ac:dyDescent="0.25">
      <c r="A4" s="402" t="s">
        <v>113</v>
      </c>
      <c r="B4" s="402" t="s">
        <v>119</v>
      </c>
      <c r="C4" s="402" t="s">
        <v>126</v>
      </c>
      <c r="D4" s="402" t="s">
        <v>115</v>
      </c>
      <c r="E4" s="402" t="s">
        <v>112</v>
      </c>
      <c r="F4" s="402" t="s">
        <v>127</v>
      </c>
      <c r="G4" s="402" t="s">
        <v>116</v>
      </c>
      <c r="H4" s="402" t="s">
        <v>129</v>
      </c>
      <c r="I4" s="402" t="s">
        <v>905</v>
      </c>
      <c r="J4" s="402" t="s">
        <v>572</v>
      </c>
      <c r="K4" s="402" t="s">
        <v>906</v>
      </c>
      <c r="L4" s="402" t="s">
        <v>134</v>
      </c>
      <c r="M4" s="402" t="s">
        <v>138</v>
      </c>
      <c r="N4" s="402" t="s">
        <v>888</v>
      </c>
      <c r="O4" s="402" t="s">
        <v>139</v>
      </c>
      <c r="P4" s="402" t="s">
        <v>140</v>
      </c>
      <c r="Q4" s="402" t="s">
        <v>141</v>
      </c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+VxC6JDo0cJF8kstUnBB3dMPuI5xfSxIQgSZqzwEcfwE6s/UNO/sQpmiozD7GGC9otEKveNZIWEckXGcNDOrUQ==" saltValue="FUoedYdraMngOx4pxxx69w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83" priority="10" operator="equal">
      <formula>#N/A</formula>
    </cfRule>
  </conditionalFormatting>
  <conditionalFormatting sqref="H1:H2">
    <cfRule type="cellIs" dxfId="282" priority="9" operator="equal">
      <formula>#N/A</formula>
    </cfRule>
  </conditionalFormatting>
  <conditionalFormatting sqref="E1">
    <cfRule type="cellIs" dxfId="281" priority="8" operator="equal">
      <formula>#N/A</formula>
    </cfRule>
  </conditionalFormatting>
  <conditionalFormatting sqref="I1:I2">
    <cfRule type="cellIs" dxfId="280" priority="7" operator="equal">
      <formula>#N/A</formula>
    </cfRule>
  </conditionalFormatting>
  <conditionalFormatting sqref="J1:J2">
    <cfRule type="cellIs" dxfId="279" priority="6" operator="equal">
      <formula>#N/A</formula>
    </cfRule>
  </conditionalFormatting>
  <conditionalFormatting sqref="J1">
    <cfRule type="containsText" dxfId="278" priority="4" operator="containsText" text="All Data Import Successfully">
      <formula>NOT(ISERROR(SEARCH("All Data Import Successfully",J1)))</formula>
    </cfRule>
    <cfRule type="containsText" dxfId="277" priority="5" operator="containsText" text="Difference Entry">
      <formula>NOT(ISERROR(SEARCH("Difference Entry",J1)))</formula>
    </cfRule>
  </conditionalFormatting>
  <conditionalFormatting sqref="J2">
    <cfRule type="cellIs" dxfId="276" priority="3" operator="equal">
      <formula>0</formula>
    </cfRule>
  </conditionalFormatting>
  <conditionalFormatting sqref="K2">
    <cfRule type="cellIs" dxfId="275" priority="2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P2" xr:uid="{96D8CBE4-CDA1-4604-8156-2A2E812D716D}">
      <formula1>"HSN+%"</formula1>
    </dataValidation>
    <dataValidation type="list" allowBlank="1" showInputMessage="1" showErrorMessage="1" sqref="B1" xr:uid="{CB40F3E2-62BE-41B5-A3D6-DC5AED00D820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9"/>
  <sheetViews>
    <sheetView showRuler="0" workbookViewId="0">
      <selection activeCell="C11" sqref="C11"/>
    </sheetView>
  </sheetViews>
  <sheetFormatPr defaultRowHeight="15" x14ac:dyDescent="0.25"/>
  <cols>
    <col min="1" max="2" width="17.5703125" style="16" customWidth="1"/>
    <col min="3" max="3" width="17.5703125" style="201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645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1"/>
      <c r="L1" s="18"/>
      <c r="M1" s="3"/>
      <c r="N1" s="83" t="s">
        <v>245</v>
      </c>
      <c r="O1" s="413" t="s">
        <v>235</v>
      </c>
      <c r="P1" s="414"/>
      <c r="AB1">
        <v>0</v>
      </c>
      <c r="AD1" s="277" t="s">
        <v>775</v>
      </c>
      <c r="AE1" s="277" t="s">
        <v>770</v>
      </c>
      <c r="AF1" s="277" t="s">
        <v>54</v>
      </c>
      <c r="AG1" s="277" t="s">
        <v>728</v>
      </c>
      <c r="AH1" s="5" t="str">
        <f>+IF(ISBLANK(DO3),TRIM(DN3),DO3)</f>
        <v>State</v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3</v>
      </c>
      <c r="P2" s="94" t="s">
        <v>775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774</v>
      </c>
      <c r="AF2" s="85" t="s">
        <v>772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857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79" t="s">
        <v>244</v>
      </c>
      <c r="DP2" s="378" t="s">
        <v>297</v>
      </c>
    </row>
    <row r="3" spans="1:124" customFormat="1" x14ac:dyDescent="0.25">
      <c r="A3" s="370"/>
      <c r="B3" s="63" t="s">
        <v>86</v>
      </c>
      <c r="C3" s="110"/>
      <c r="D3" s="8" t="s">
        <v>883</v>
      </c>
      <c r="E3" s="8"/>
      <c r="F3" s="8"/>
      <c r="G3" s="8"/>
      <c r="H3" s="8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3" t="e">
        <f>VLOOKUP(VALUE(LEFT(A3,2)),Help!$E$2:$F$45,2,0)</f>
        <v>#VALUE!</v>
      </c>
      <c r="DB3" s="113" t="str">
        <f>+$B$3</f>
        <v>Amazon</v>
      </c>
      <c r="DC3" s="113">
        <f>+IF(ISBLANK(CE3),X3,CE3)</f>
        <v>0</v>
      </c>
      <c r="DD3" s="113" t="str">
        <f>IF($O$2=2,IFERROR(VLOOKUP(L3,Help!T$3:Z$50000,7,0),"+++++++++"),IF($O$2=3,L3,CONCATENATE(DJ3,"%",," ","(",DI3,")")))</f>
        <v>500 - KETAN</v>
      </c>
      <c r="DE3" s="113" t="str">
        <f>IFERROR(VLOOKUP(Y3,Help!$A$2:$B$500,2,0),"+++++++++")</f>
        <v>+++++++++</v>
      </c>
      <c r="DF3" s="113" t="str">
        <f>+IF(ISBLANK(CC3),"",CC3)</f>
        <v/>
      </c>
      <c r="DG3" s="364">
        <f>VALUE((IF(D3="refund",IF(LEN(DF3)=15,LEFT(VALUE(CG3),10),VALUE(BZ3)),LEFT(VALUE(C3),10))))</f>
        <v>0</v>
      </c>
      <c r="DH3" s="113" t="str">
        <f>IF(D3="Refund",IF(ISBLANK(CF3),BY3,CF3),B3)</f>
        <v>Amazon</v>
      </c>
      <c r="DI3" s="113" t="str">
        <f>IFERROR(IF(ISBLANK($M3),"",$M3),"")</f>
        <v/>
      </c>
      <c r="DJ3" s="365">
        <f>VALUE(IF(AH3=0,SUM(AE3:AG3),AH3)*100)</f>
        <v>0</v>
      </c>
      <c r="DK3" s="113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8" t="s">
        <v>85</v>
      </c>
      <c r="DS3" s="88" t="s">
        <v>85</v>
      </c>
      <c r="DT3" s="88" t="s">
        <v>85</v>
      </c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165</v>
      </c>
      <c r="P4" s="81" t="s">
        <v>166</v>
      </c>
      <c r="Q4" s="81" t="s">
        <v>167</v>
      </c>
      <c r="R4" s="81" t="s">
        <v>168</v>
      </c>
      <c r="S4" s="81" t="s">
        <v>169</v>
      </c>
      <c r="T4" s="81" t="s">
        <v>170</v>
      </c>
      <c r="U4" s="81" t="s">
        <v>171</v>
      </c>
      <c r="V4" s="81" t="s">
        <v>172</v>
      </c>
      <c r="W4" s="81" t="s">
        <v>173</v>
      </c>
      <c r="X4" s="81" t="s">
        <v>174</v>
      </c>
      <c r="Y4" s="81" t="s">
        <v>175</v>
      </c>
      <c r="Z4" s="81" t="s">
        <v>176</v>
      </c>
      <c r="AA4" s="81" t="s">
        <v>177</v>
      </c>
      <c r="AB4" s="81" t="s">
        <v>178</v>
      </c>
      <c r="AC4" s="81" t="s">
        <v>179</v>
      </c>
      <c r="AD4" s="81" t="s">
        <v>180</v>
      </c>
      <c r="AE4" s="81" t="s">
        <v>181</v>
      </c>
      <c r="AF4" s="81" t="s">
        <v>182</v>
      </c>
      <c r="AG4" s="81" t="s">
        <v>183</v>
      </c>
      <c r="AH4" s="81" t="s">
        <v>184</v>
      </c>
      <c r="AI4" s="81" t="s">
        <v>185</v>
      </c>
      <c r="AJ4" s="81" t="s">
        <v>186</v>
      </c>
      <c r="AK4" s="81" t="s">
        <v>187</v>
      </c>
      <c r="AL4" s="81" t="s">
        <v>188</v>
      </c>
      <c r="AM4" s="81" t="s">
        <v>189</v>
      </c>
      <c r="AN4" s="81" t="s">
        <v>190</v>
      </c>
      <c r="AO4" s="81" t="s">
        <v>191</v>
      </c>
      <c r="AP4" s="81" t="s">
        <v>192</v>
      </c>
      <c r="AQ4" s="81" t="s">
        <v>193</v>
      </c>
      <c r="AR4" s="81" t="s">
        <v>194</v>
      </c>
      <c r="AS4" s="81" t="s">
        <v>195</v>
      </c>
      <c r="AT4" s="81" t="s">
        <v>196</v>
      </c>
      <c r="AU4" s="81" t="s">
        <v>197</v>
      </c>
      <c r="AV4" s="81" t="s">
        <v>198</v>
      </c>
      <c r="AW4" s="81" t="s">
        <v>877</v>
      </c>
      <c r="AX4" s="81" t="s">
        <v>199</v>
      </c>
      <c r="AY4" s="81" t="s">
        <v>200</v>
      </c>
      <c r="AZ4" s="81" t="s">
        <v>201</v>
      </c>
      <c r="BA4" s="81" t="s">
        <v>202</v>
      </c>
      <c r="BB4" s="81" t="s">
        <v>203</v>
      </c>
      <c r="BC4" s="81" t="s">
        <v>204</v>
      </c>
      <c r="BD4" s="81" t="s">
        <v>205</v>
      </c>
      <c r="BE4" s="81" t="s">
        <v>206</v>
      </c>
      <c r="BF4" s="81" t="s">
        <v>207</v>
      </c>
      <c r="BG4" s="81" t="s">
        <v>874</v>
      </c>
      <c r="BH4" s="81" t="s">
        <v>208</v>
      </c>
      <c r="BI4" s="81" t="s">
        <v>209</v>
      </c>
      <c r="BJ4" s="81" t="s">
        <v>875</v>
      </c>
      <c r="BK4" s="81" t="s">
        <v>210</v>
      </c>
      <c r="BL4" s="81" t="s">
        <v>211</v>
      </c>
      <c r="BM4" s="81" t="s">
        <v>876</v>
      </c>
      <c r="BN4" s="81" t="s">
        <v>212</v>
      </c>
      <c r="BO4" s="81" t="s">
        <v>213</v>
      </c>
      <c r="BP4" s="81" t="s">
        <v>214</v>
      </c>
      <c r="BQ4" s="81" t="s">
        <v>215</v>
      </c>
      <c r="BR4" s="81" t="s">
        <v>216</v>
      </c>
      <c r="BS4" s="81" t="s">
        <v>217</v>
      </c>
      <c r="BT4" s="81" t="s">
        <v>218</v>
      </c>
      <c r="BU4" s="81" t="s">
        <v>219</v>
      </c>
      <c r="BV4" s="81" t="s">
        <v>220</v>
      </c>
      <c r="BW4" s="81" t="s">
        <v>221</v>
      </c>
      <c r="BX4" s="81" t="s">
        <v>222</v>
      </c>
      <c r="BY4" s="81" t="s">
        <v>223</v>
      </c>
      <c r="BZ4" s="383" t="s">
        <v>224</v>
      </c>
      <c r="CA4" s="81" t="s">
        <v>225</v>
      </c>
      <c r="CB4" s="81" t="s">
        <v>226</v>
      </c>
      <c r="CC4" s="81" t="s">
        <v>227</v>
      </c>
      <c r="CD4" s="81" t="s">
        <v>878</v>
      </c>
      <c r="CE4" s="81" t="s">
        <v>228</v>
      </c>
      <c r="CF4" s="81" t="s">
        <v>229</v>
      </c>
      <c r="CG4" s="81" t="s">
        <v>230</v>
      </c>
      <c r="CH4" s="81" t="s">
        <v>231</v>
      </c>
      <c r="CI4" s="81" t="s">
        <v>232</v>
      </c>
      <c r="CJ4" s="107" t="s">
        <v>233</v>
      </c>
      <c r="CK4" s="81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  <row r="9" spans="1:124" x14ac:dyDescent="0.25">
      <c r="DE9" s="404"/>
    </row>
  </sheetData>
  <sheetProtection algorithmName="SHA-512" hashValue="Kn11uiFAPW8zL7g0teDI94hMe/V+dQq1hW1k5eZuR/3KdX0QGpmCgqr6BDLCTeVwA6vLCqywfGIF4dKPLUOUYA==" saltValue="k7U07TT0ENuwkYHcBjIk0w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1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645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1"/>
      <c r="L1" s="18"/>
      <c r="M1" s="3"/>
      <c r="N1" s="83" t="s">
        <v>245</v>
      </c>
      <c r="O1" s="413" t="s">
        <v>235</v>
      </c>
      <c r="P1" s="414"/>
      <c r="AB1">
        <v>0</v>
      </c>
      <c r="AD1" s="277" t="s">
        <v>775</v>
      </c>
      <c r="AE1" s="277" t="s">
        <v>770</v>
      </c>
      <c r="AF1" s="277" t="s">
        <v>54</v>
      </c>
      <c r="AG1" s="277" t="s">
        <v>728</v>
      </c>
      <c r="AH1" s="5" t="str">
        <f>+IF(ISBLANK(DO3),TRIM(DN3),DO3)</f>
        <v/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774</v>
      </c>
      <c r="AF2" s="85" t="s">
        <v>772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>
        <f>+A3</f>
        <v>0</v>
      </c>
      <c r="DB2" s="90" t="str">
        <f>+B3</f>
        <v>Amazon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79" t="s">
        <v>244</v>
      </c>
      <c r="DP2" s="378" t="s">
        <v>297</v>
      </c>
    </row>
    <row r="3" spans="1:124" customFormat="1" x14ac:dyDescent="0.25">
      <c r="A3" s="370"/>
      <c r="B3" s="63" t="s">
        <v>86</v>
      </c>
      <c r="C3" s="110"/>
      <c r="D3" s="8" t="s">
        <v>881</v>
      </c>
      <c r="E3" s="8"/>
      <c r="F3" s="8"/>
      <c r="G3" s="8"/>
      <c r="H3" s="8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3" t="e">
        <f>VLOOKUP(VALUE(LEFT(A3,2)),Help!$E$2:$F$45,2,0)</f>
        <v>#VALUE!</v>
      </c>
      <c r="DB3" s="113" t="str">
        <f>+DB2</f>
        <v>Amazon</v>
      </c>
      <c r="DC3" s="113" t="str">
        <f>+IF(LEFT(TRIM(DP3),3)="B2B",CK3,"")</f>
        <v/>
      </c>
      <c r="DD3" s="113" t="str">
        <f>IF($O$2=2,IFERROR(VLOOKUP(L3,Help!T$3:Z$50000,7,0),"+++++++++"),IF($O$2=3,L3,CONCATENATE(DJ3,"%",," ","(",DI3,")")))</f>
        <v>0% ()</v>
      </c>
      <c r="DE3" s="113" t="str">
        <f>IFERROR(VLOOKUP(Z3,Help!$A$2:$B$500,2,0),"+++++++++")</f>
        <v>+++++++++</v>
      </c>
      <c r="DF3" s="113" t="str">
        <f>+IF(ISBLANK(CJ3),"",CJ3)</f>
        <v/>
      </c>
      <c r="DG3" s="364">
        <f>VALUE((IF(RIGHT(DP3,2)="-R",LEFT(VALUE(CA3),10),LEFT(VALUE(C3),10))))</f>
        <v>0</v>
      </c>
      <c r="DH3" s="113" t="str">
        <f>(IF(RIGHT(DP3)="-R",BZ3,B3))</f>
        <v>Amazon</v>
      </c>
      <c r="DI3" s="113" t="str">
        <f>IFERROR(IF(ISBLANK($M3),"",$M3),"")</f>
        <v/>
      </c>
      <c r="DJ3" s="365">
        <f>VALUE(SUM(AF3:AI3)*100)</f>
        <v>0</v>
      </c>
      <c r="DK3" s="113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7"/>
      <c r="DR3" s="118"/>
      <c r="DS3" s="118"/>
      <c r="DT3" s="118"/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860</v>
      </c>
      <c r="P4" s="81" t="s">
        <v>165</v>
      </c>
      <c r="Q4" s="81" t="s">
        <v>166</v>
      </c>
      <c r="R4" s="81" t="s">
        <v>167</v>
      </c>
      <c r="S4" s="81" t="s">
        <v>168</v>
      </c>
      <c r="T4" s="81" t="s">
        <v>169</v>
      </c>
      <c r="U4" s="81" t="s">
        <v>170</v>
      </c>
      <c r="V4" s="81" t="s">
        <v>171</v>
      </c>
      <c r="W4" s="81" t="s">
        <v>172</v>
      </c>
      <c r="X4" s="81" t="s">
        <v>173</v>
      </c>
      <c r="Y4" s="81" t="s">
        <v>174</v>
      </c>
      <c r="Z4" s="81" t="s">
        <v>175</v>
      </c>
      <c r="AA4" s="81" t="s">
        <v>176</v>
      </c>
      <c r="AB4" s="81" t="s">
        <v>177</v>
      </c>
      <c r="AC4" s="81" t="s">
        <v>178</v>
      </c>
      <c r="AD4" s="81" t="s">
        <v>179</v>
      </c>
      <c r="AE4" s="81" t="s">
        <v>180</v>
      </c>
      <c r="AF4" s="81" t="s">
        <v>181</v>
      </c>
      <c r="AG4" s="81" t="s">
        <v>182</v>
      </c>
      <c r="AH4" s="81" t="s">
        <v>183</v>
      </c>
      <c r="AI4" s="81" t="s">
        <v>184</v>
      </c>
      <c r="AJ4" s="81" t="s">
        <v>185</v>
      </c>
      <c r="AK4" s="81" t="s">
        <v>186</v>
      </c>
      <c r="AL4" s="81" t="s">
        <v>187</v>
      </c>
      <c r="AM4" s="81" t="s">
        <v>188</v>
      </c>
      <c r="AN4" s="81" t="s">
        <v>189</v>
      </c>
      <c r="AO4" s="81" t="s">
        <v>191</v>
      </c>
      <c r="AP4" s="81" t="s">
        <v>190</v>
      </c>
      <c r="AQ4" s="81" t="s">
        <v>192</v>
      </c>
      <c r="AR4" s="81" t="s">
        <v>193</v>
      </c>
      <c r="AS4" s="81" t="s">
        <v>194</v>
      </c>
      <c r="AT4" s="81" t="s">
        <v>195</v>
      </c>
      <c r="AU4" s="81" t="s">
        <v>196</v>
      </c>
      <c r="AV4" s="81" t="s">
        <v>197</v>
      </c>
      <c r="AW4" s="81" t="s">
        <v>198</v>
      </c>
      <c r="AX4" s="81" t="s">
        <v>861</v>
      </c>
      <c r="AY4" s="81" t="s">
        <v>199</v>
      </c>
      <c r="AZ4" s="81" t="s">
        <v>200</v>
      </c>
      <c r="BA4" s="81" t="s">
        <v>201</v>
      </c>
      <c r="BB4" s="81" t="s">
        <v>202</v>
      </c>
      <c r="BC4" s="81" t="s">
        <v>203</v>
      </c>
      <c r="BD4" s="81" t="s">
        <v>204</v>
      </c>
      <c r="BE4" s="81" t="s">
        <v>205</v>
      </c>
      <c r="BF4" s="81" t="s">
        <v>206</v>
      </c>
      <c r="BG4" s="81" t="s">
        <v>207</v>
      </c>
      <c r="BH4" s="81" t="s">
        <v>862</v>
      </c>
      <c r="BI4" s="81" t="s">
        <v>208</v>
      </c>
      <c r="BJ4" s="81" t="s">
        <v>209</v>
      </c>
      <c r="BK4" s="81" t="s">
        <v>863</v>
      </c>
      <c r="BL4" s="81" t="s">
        <v>210</v>
      </c>
      <c r="BM4" s="81" t="s">
        <v>211</v>
      </c>
      <c r="BN4" s="81" t="s">
        <v>864</v>
      </c>
      <c r="BO4" s="81" t="s">
        <v>212</v>
      </c>
      <c r="BP4" s="81" t="s">
        <v>213</v>
      </c>
      <c r="BQ4" s="81" t="s">
        <v>214</v>
      </c>
      <c r="BR4" s="81" t="s">
        <v>215</v>
      </c>
      <c r="BS4" s="81" t="s">
        <v>216</v>
      </c>
      <c r="BT4" s="81" t="s">
        <v>217</v>
      </c>
      <c r="BU4" s="81" t="s">
        <v>218</v>
      </c>
      <c r="BV4" s="81" t="s">
        <v>219</v>
      </c>
      <c r="BW4" s="81" t="s">
        <v>220</v>
      </c>
      <c r="BX4" s="81" t="s">
        <v>221</v>
      </c>
      <c r="BY4" s="81" t="s">
        <v>222</v>
      </c>
      <c r="BZ4" s="81" t="s">
        <v>229</v>
      </c>
      <c r="CA4" s="81" t="s">
        <v>230</v>
      </c>
      <c r="CB4" s="81" t="s">
        <v>231</v>
      </c>
      <c r="CC4" s="81" t="s">
        <v>232</v>
      </c>
      <c r="CD4" s="81" t="s">
        <v>233</v>
      </c>
      <c r="CE4" s="81" t="s">
        <v>234</v>
      </c>
      <c r="CF4" s="81" t="s">
        <v>223</v>
      </c>
      <c r="CG4" s="81" t="s">
        <v>224</v>
      </c>
      <c r="CH4" s="81" t="s">
        <v>225</v>
      </c>
      <c r="CI4" s="81" t="s">
        <v>226</v>
      </c>
      <c r="CJ4" s="81" t="s">
        <v>227</v>
      </c>
      <c r="CK4" s="81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oaRsEkEVMmrw2AYuFvsH0VSGQUqCKk/p/iiLCCeY3KFFxnuFC6ftfJfJKXTBCP1IQY57hRLuv+Cw1fvUTdsg3A==" saltValue="sGIVSdWt6zjTNz/xbFE/sw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B16" sqref="B16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4" width="9.140625" style="16"/>
    <col min="105" max="105" width="14.85546875" style="16" customWidth="1"/>
    <col min="10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79" t="s">
        <v>142</v>
      </c>
      <c r="B1" s="80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3" t="s">
        <v>868</v>
      </c>
      <c r="O1" s="413" t="s">
        <v>235</v>
      </c>
      <c r="P1" s="414"/>
      <c r="Q1" s="2"/>
      <c r="R1" s="2"/>
      <c r="S1" s="2"/>
      <c r="AB1">
        <v>0</v>
      </c>
      <c r="AD1" s="277" t="s">
        <v>775</v>
      </c>
      <c r="AE1" s="277" t="s">
        <v>770</v>
      </c>
      <c r="AF1" s="277" t="s">
        <v>54</v>
      </c>
      <c r="AG1" s="277" t="s">
        <v>728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AD2" s="85" t="s">
        <v>325</v>
      </c>
      <c r="AE2" s="85" t="s">
        <v>774</v>
      </c>
      <c r="AF2" s="85" t="s">
        <v>772</v>
      </c>
      <c r="AG2" s="85">
        <v>116</v>
      </c>
      <c r="AU2" s="11"/>
      <c r="AV2" s="11"/>
      <c r="AW2" s="11"/>
      <c r="AX2" s="11"/>
      <c r="AY2" s="11"/>
      <c r="AZ2" s="11"/>
      <c r="DA2" s="89" t="s">
        <v>848</v>
      </c>
      <c r="DB2" s="90" t="s">
        <v>909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3" customFormat="1" ht="15.75" thickBot="1" x14ac:dyDescent="0.3">
      <c r="A3" s="370"/>
      <c r="B3" s="63" t="s">
        <v>84</v>
      </c>
      <c r="C3" s="8"/>
      <c r="D3" s="8" t="s">
        <v>910</v>
      </c>
      <c r="E3" s="8"/>
      <c r="F3" s="8"/>
      <c r="G3" s="9"/>
      <c r="H3" s="10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4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58">
        <f>ROUND(Y3,2)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401" t="str">
        <f>+DI3</f>
        <v/>
      </c>
      <c r="DQ3" s="12"/>
      <c r="DR3" s="12"/>
      <c r="DS3" s="12"/>
    </row>
    <row r="4" spans="1:123" s="131" customFormat="1" ht="15.75" thickBot="1" x14ac:dyDescent="0.3">
      <c r="A4" s="167" t="s">
        <v>246</v>
      </c>
      <c r="B4" s="168" t="s">
        <v>247</v>
      </c>
      <c r="C4" s="168" t="s">
        <v>248</v>
      </c>
      <c r="D4" s="168" t="s">
        <v>249</v>
      </c>
      <c r="E4" s="168" t="s">
        <v>250</v>
      </c>
      <c r="F4" s="168" t="s">
        <v>251</v>
      </c>
      <c r="G4" s="168" t="s">
        <v>55</v>
      </c>
      <c r="H4" s="168" t="s">
        <v>252</v>
      </c>
      <c r="I4" s="168" t="s">
        <v>253</v>
      </c>
      <c r="J4" s="168" t="s">
        <v>254</v>
      </c>
      <c r="K4" s="168" t="s">
        <v>255</v>
      </c>
      <c r="L4" s="168" t="s">
        <v>158</v>
      </c>
      <c r="M4" s="168" t="s">
        <v>256</v>
      </c>
      <c r="N4" s="168" t="s">
        <v>257</v>
      </c>
      <c r="O4" s="168" t="s">
        <v>258</v>
      </c>
      <c r="P4" s="168" t="s">
        <v>532</v>
      </c>
      <c r="Q4" s="168" t="s">
        <v>259</v>
      </c>
      <c r="R4" s="168" t="s">
        <v>260</v>
      </c>
      <c r="S4" s="168" t="s">
        <v>261</v>
      </c>
      <c r="T4" s="168" t="s">
        <v>262</v>
      </c>
      <c r="U4" s="168" t="s">
        <v>263</v>
      </c>
      <c r="V4" s="168" t="s">
        <v>264</v>
      </c>
      <c r="W4" s="168" t="s">
        <v>265</v>
      </c>
      <c r="X4" s="168" t="s">
        <v>266</v>
      </c>
      <c r="Y4" s="168" t="s">
        <v>267</v>
      </c>
      <c r="Z4" s="168" t="s">
        <v>295</v>
      </c>
      <c r="AA4" s="168" t="s">
        <v>268</v>
      </c>
      <c r="AB4" s="168" t="s">
        <v>269</v>
      </c>
      <c r="AC4" s="168" t="s">
        <v>270</v>
      </c>
      <c r="AD4" s="168" t="s">
        <v>271</v>
      </c>
      <c r="AE4" s="168" t="s">
        <v>272</v>
      </c>
      <c r="AF4" s="168" t="s">
        <v>273</v>
      </c>
      <c r="AG4" s="168" t="s">
        <v>274</v>
      </c>
      <c r="AH4" s="168" t="s">
        <v>275</v>
      </c>
      <c r="AI4" s="168" t="s">
        <v>276</v>
      </c>
      <c r="AJ4" s="168" t="s">
        <v>277</v>
      </c>
      <c r="AK4" s="168" t="s">
        <v>278</v>
      </c>
      <c r="AL4" s="168" t="s">
        <v>279</v>
      </c>
      <c r="AM4" s="168" t="s">
        <v>280</v>
      </c>
      <c r="AN4" s="168" t="s">
        <v>281</v>
      </c>
      <c r="AO4" s="168" t="s">
        <v>282</v>
      </c>
      <c r="AP4" s="168" t="s">
        <v>283</v>
      </c>
      <c r="AQ4" s="168" t="s">
        <v>284</v>
      </c>
      <c r="AR4" s="168" t="s">
        <v>285</v>
      </c>
      <c r="AS4" s="168" t="s">
        <v>286</v>
      </c>
      <c r="AT4" s="168" t="s">
        <v>287</v>
      </c>
      <c r="AU4" s="168" t="s">
        <v>288</v>
      </c>
      <c r="AV4" s="168" t="s">
        <v>289</v>
      </c>
      <c r="AW4" s="168" t="s">
        <v>290</v>
      </c>
      <c r="AX4" s="168" t="s">
        <v>291</v>
      </c>
      <c r="AY4" s="168" t="s">
        <v>292</v>
      </c>
      <c r="AZ4" s="168" t="s">
        <v>293</v>
      </c>
      <c r="BA4" s="168" t="s">
        <v>294</v>
      </c>
      <c r="BB4" s="168" t="s">
        <v>360</v>
      </c>
      <c r="BC4" s="169" t="s">
        <v>361</v>
      </c>
    </row>
  </sheetData>
  <sheetProtection algorithmName="SHA-512" hashValue="WPSulCln84MxrAJqG03v6q0eBVxVmQIQPAKngnrlTsUIphjheNeDllfKaWWDjRqfZiQbyngYdkzzvwIhq98iEQ==" saltValue="6RyWS0FDLitNdZoPg0+Rhg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13" t="s">
        <v>235</v>
      </c>
      <c r="P1" s="41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775</v>
      </c>
      <c r="AE1" s="277" t="s">
        <v>770</v>
      </c>
      <c r="AF1" s="277" t="s">
        <v>54</v>
      </c>
      <c r="AG1" s="277" t="s">
        <v>728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4">
        <f ca="1">+IF(O2=2,COUNTIF(DD:DE,"+++++++++")-2,COUNTIF(DD:DE,"+++++++++")-2)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774</v>
      </c>
      <c r="AF2" s="85" t="s">
        <v>772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5</v>
      </c>
      <c r="DB2" s="90" t="s">
        <v>84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24"/>
      <c r="B3" s="16" t="s">
        <v>84</v>
      </c>
      <c r="D3" s="16" t="s">
        <v>910</v>
      </c>
      <c r="L3" s="16" t="s">
        <v>913</v>
      </c>
      <c r="DA3" s="143" t="e">
        <f>VLOOKUP(VALUE(LEFT(A3,2)),Help!$E$2:$F$45,2,0)</f>
        <v>#VALUE!</v>
      </c>
      <c r="DB3" s="143" t="str">
        <f>+B$3</f>
        <v>Flipcart</v>
      </c>
      <c r="DC3" s="144" t="s">
        <v>85</v>
      </c>
      <c r="DD3" s="143" t="str">
        <f ca="1">IFERROR(CONCATENATE(DJ3,"%",," ","(",DI3,")"),"+++++++++")</f>
        <v>+++++++++</v>
      </c>
      <c r="DE3" s="143" t="str">
        <f>IFERROR(VLOOKUP(Y3,Help!$A$2:B$170,2,0),"+++++++++")</f>
        <v>+++++++++</v>
      </c>
      <c r="DF3" s="144" t="s">
        <v>85</v>
      </c>
      <c r="DG3" s="145" t="e">
        <f>VALUE(SUBSTITUTE(LEFT(H3,10),"-","/"))</f>
        <v>#VALUE!</v>
      </c>
      <c r="DH3" s="143">
        <f>+F3</f>
        <v>0</v>
      </c>
      <c r="DI3" s="146" t="str">
        <f ca="1">IFERROR(VLOOKUP(DJ3,INDIRECT("FLC!$DJ$5:$DP$75000"),7,FALSE),"")</f>
        <v/>
      </c>
      <c r="DJ3" s="143" t="e">
        <f>+L3+N3+P3</f>
        <v>#VALUE!</v>
      </c>
      <c r="DK3" s="147" t="s">
        <v>85</v>
      </c>
      <c r="DL3" s="151">
        <f>+VALUE(I3)</f>
        <v>0</v>
      </c>
      <c r="DM3" s="151">
        <f>+VALUE(X3)</f>
        <v>0</v>
      </c>
      <c r="DN3" s="143" t="str">
        <f ca="1">CONCATENATE(IF(DE3="+++++++++","State",""),IF(DD3="+++++++++","HSN CODE",""))</f>
        <v>StateHSN CODE</v>
      </c>
      <c r="DO3" s="143" t="str">
        <f ca="1">CONCATENATE(IF(DE3="+++++++++",Y3,""),IF(DD3="+++++++++","HSN Code Req.",""))</f>
        <v>HSN Code Req.</v>
      </c>
    </row>
    <row r="4" spans="1:119" x14ac:dyDescent="0.25">
      <c r="A4" s="170" t="s">
        <v>246</v>
      </c>
      <c r="B4" s="170" t="s">
        <v>247</v>
      </c>
      <c r="C4" s="170" t="s">
        <v>248</v>
      </c>
      <c r="D4" s="170" t="s">
        <v>534</v>
      </c>
      <c r="E4" s="170" t="s">
        <v>535</v>
      </c>
      <c r="F4" s="170" t="s">
        <v>536</v>
      </c>
      <c r="G4" s="170" t="s">
        <v>178</v>
      </c>
      <c r="H4" s="170" t="s">
        <v>153</v>
      </c>
      <c r="I4" s="170" t="s">
        <v>537</v>
      </c>
      <c r="J4" s="170" t="s">
        <v>271</v>
      </c>
      <c r="K4" s="170" t="s">
        <v>272</v>
      </c>
      <c r="L4" s="170" t="s">
        <v>273</v>
      </c>
      <c r="M4" s="170" t="s">
        <v>274</v>
      </c>
      <c r="N4" s="170" t="s">
        <v>275</v>
      </c>
      <c r="O4" s="170" t="s">
        <v>276</v>
      </c>
      <c r="P4" s="170" t="s">
        <v>277</v>
      </c>
      <c r="Q4" s="170" t="s">
        <v>278</v>
      </c>
      <c r="R4" s="170" t="s">
        <v>279</v>
      </c>
      <c r="S4" s="170" t="s">
        <v>280</v>
      </c>
      <c r="T4" s="170" t="s">
        <v>281</v>
      </c>
      <c r="U4" s="170" t="s">
        <v>282</v>
      </c>
      <c r="V4" s="170" t="s">
        <v>283</v>
      </c>
      <c r="W4" s="170" t="s">
        <v>284</v>
      </c>
      <c r="X4" s="170" t="s">
        <v>285</v>
      </c>
      <c r="Y4" s="170" t="s">
        <v>292</v>
      </c>
      <c r="Z4" s="170" t="s">
        <v>294</v>
      </c>
      <c r="AA4" s="170" t="s">
        <v>360</v>
      </c>
      <c r="AB4" s="170" t="s">
        <v>361</v>
      </c>
    </row>
  </sheetData>
  <sheetProtection algorithmName="SHA-512" hashValue="jPXXj+Xb/oztiOi8QINUkZ44tw+Rni5gNkhjTk3HLn9lctojs0jzQyEyd7jJ6NZdur742RkOeK5toKEe9ZFa2A==" saltValue="HyeOW+kdkrPshoU/R0EvA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showRuler="0" workbookViewId="0">
      <selection activeCell="F15" sqref="F15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5" width="9.140625" style="16"/>
    <col min="116" max="116" width="10.5703125" style="16" bestFit="1" customWidth="1"/>
    <col min="117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13" t="s">
        <v>235</v>
      </c>
      <c r="P1" s="41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775</v>
      </c>
      <c r="AE1" s="277" t="s">
        <v>770</v>
      </c>
      <c r="AF1" s="277" t="s">
        <v>54</v>
      </c>
      <c r="AG1" s="277" t="s">
        <v>728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774</v>
      </c>
      <c r="AF2" s="85" t="s">
        <v>772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Snepdeal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854</v>
      </c>
      <c r="C3" s="8"/>
      <c r="D3" s="8" t="s">
        <v>908</v>
      </c>
      <c r="E3" s="8"/>
      <c r="F3" s="8"/>
      <c r="G3" s="9"/>
      <c r="H3" s="10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+CONCATENATE(TEXT(A3,"DD"),"/",TEXT(A3,"MM"),"/",TEXT(A3,"YYYY"))</f>
        <v>Gujarat/Gujarat/Gujarat</v>
      </c>
      <c r="DH3" s="26" t="str">
        <f>+D3</f>
        <v>C:\Users\AT\Downloads\R.xlsx</v>
      </c>
      <c r="DI3" s="29" t="str">
        <f>+(IF(ISBLANK(G3),"",VALUE(G3)))</f>
        <v/>
      </c>
      <c r="DJ3" s="26">
        <f>+K3+M3+O3+Q3</f>
        <v>0</v>
      </c>
      <c r="DK3" s="26">
        <v>1</v>
      </c>
      <c r="DL3" s="72">
        <f>+ROUND(Y3,"0.00")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2" t="s">
        <v>721</v>
      </c>
      <c r="B4" s="223" t="s">
        <v>154</v>
      </c>
      <c r="C4" s="223" t="s">
        <v>722</v>
      </c>
      <c r="D4" s="223" t="s">
        <v>152</v>
      </c>
      <c r="E4" s="223" t="s">
        <v>723</v>
      </c>
      <c r="F4" s="223" t="s">
        <v>724</v>
      </c>
      <c r="G4" s="223" t="s">
        <v>725</v>
      </c>
      <c r="H4" s="223" t="s">
        <v>726</v>
      </c>
      <c r="I4" s="223" t="s">
        <v>727</v>
      </c>
      <c r="J4" s="223" t="s">
        <v>728</v>
      </c>
      <c r="K4" s="223" t="s">
        <v>440</v>
      </c>
      <c r="L4" s="223" t="s">
        <v>410</v>
      </c>
      <c r="M4" s="223" t="s">
        <v>275</v>
      </c>
      <c r="N4" s="223" t="s">
        <v>409</v>
      </c>
      <c r="O4" s="223" t="s">
        <v>273</v>
      </c>
      <c r="P4" s="223" t="s">
        <v>412</v>
      </c>
      <c r="Q4" s="223" t="s">
        <v>441</v>
      </c>
      <c r="R4" s="223" t="s">
        <v>411</v>
      </c>
      <c r="S4" s="223" t="s">
        <v>729</v>
      </c>
      <c r="T4" s="223" t="s">
        <v>730</v>
      </c>
      <c r="U4" s="223" t="s">
        <v>731</v>
      </c>
      <c r="V4" s="223" t="s">
        <v>732</v>
      </c>
      <c r="W4" s="223" t="s">
        <v>733</v>
      </c>
      <c r="X4" s="223" t="s">
        <v>521</v>
      </c>
      <c r="Y4" s="223" t="s">
        <v>734</v>
      </c>
      <c r="Z4" s="224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403"/>
      <c r="DM4" s="60"/>
    </row>
  </sheetData>
  <sheetProtection algorithmName="SHA-512" hashValue="aa+8FxFo6fdQXyw1d5094UJ8+sp/Bh0Ugr7iDgij1wvPp+YeGO5Wa3PNEZcit4FH3ub/4t3Q+CDYJObEJkrG0w==" saltValue="oi2gdTx8fnR4RrIvF1/GCw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showRuler="0" workbookViewId="0">
      <pane ySplit="4" topLeftCell="A5" activePane="bottomLeft" state="frozen"/>
      <selection activeCell="G24" sqref="G24"/>
      <selection pane="bottomLeft" activeCell="H12" sqref="H12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24" width="9.140625" style="16"/>
  </cols>
  <sheetData>
    <row r="1" spans="1:124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L1" s="18"/>
      <c r="M1" s="3"/>
      <c r="N1" s="83" t="s">
        <v>245</v>
      </c>
      <c r="O1" s="413" t="s">
        <v>235</v>
      </c>
      <c r="P1" s="414"/>
      <c r="Q1"/>
      <c r="R1"/>
      <c r="S1"/>
      <c r="T1"/>
      <c r="U1"/>
      <c r="V1"/>
      <c r="W1"/>
      <c r="X1"/>
      <c r="Y1"/>
      <c r="Z1"/>
      <c r="AA1"/>
      <c r="AB1">
        <v>0</v>
      </c>
      <c r="AC1"/>
      <c r="AD1" s="277" t="s">
        <v>775</v>
      </c>
      <c r="AE1" s="277" t="s">
        <v>770</v>
      </c>
      <c r="AF1" s="277" t="s">
        <v>54</v>
      </c>
      <c r="AG1" s="277" t="s">
        <v>728</v>
      </c>
      <c r="AH1" s="5" t="str">
        <f>+IF(ISBLANK(DO3),TRIM(DN3),DO3)</f>
        <v/>
      </c>
      <c r="AI1"/>
      <c r="AJ1"/>
      <c r="AK1"/>
      <c r="AL1" s="5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 s="6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>
        <v>1818</v>
      </c>
      <c r="DJ1"/>
      <c r="DK1"/>
      <c r="DL1"/>
      <c r="DM1"/>
      <c r="DN1"/>
      <c r="DO1"/>
      <c r="DP1"/>
      <c r="DQ1"/>
      <c r="DR1"/>
      <c r="DS1"/>
      <c r="DT1"/>
    </row>
    <row r="2" spans="1:124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774</v>
      </c>
      <c r="AF2" s="85" t="s">
        <v>772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873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  <c r="DP2"/>
      <c r="DQ2"/>
      <c r="DR2"/>
      <c r="DS2"/>
      <c r="DT2"/>
    </row>
    <row r="3" spans="1:124" x14ac:dyDescent="0.25">
      <c r="A3" s="62"/>
      <c r="B3" s="63" t="s">
        <v>239</v>
      </c>
      <c r="C3" s="8"/>
      <c r="D3" s="8" t="s">
        <v>912</v>
      </c>
      <c r="E3" s="8"/>
      <c r="F3" s="8"/>
      <c r="G3" s="8"/>
      <c r="H3" s="8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IFERROR(VLOOKUP(AB3,Help!$A$2:$B$200,2,0),"+++++++++")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+AK3+AM3+AO3</f>
        <v>0</v>
      </c>
      <c r="DK3" s="26">
        <f>+S3</f>
        <v>0</v>
      </c>
      <c r="DL3" s="26">
        <f>VALUE(AJ3)</f>
        <v>0</v>
      </c>
      <c r="DM3" s="26">
        <f>+AR3+AT3+AV3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7"/>
      <c r="DQ3" s="117"/>
      <c r="DR3" s="118"/>
      <c r="DS3" s="118"/>
      <c r="DT3" s="118"/>
    </row>
    <row r="4" spans="1:124" x14ac:dyDescent="0.25">
      <c r="A4" s="393" t="s">
        <v>246</v>
      </c>
      <c r="B4" s="393" t="s">
        <v>247</v>
      </c>
      <c r="C4" s="393" t="s">
        <v>248</v>
      </c>
      <c r="D4" s="393" t="s">
        <v>254</v>
      </c>
      <c r="E4" s="393" t="s">
        <v>158</v>
      </c>
      <c r="F4" s="393" t="s">
        <v>641</v>
      </c>
      <c r="G4" s="393" t="s">
        <v>297</v>
      </c>
      <c r="H4" s="393" t="s">
        <v>298</v>
      </c>
      <c r="I4" s="393" t="s">
        <v>642</v>
      </c>
      <c r="J4" s="393" t="s">
        <v>362</v>
      </c>
      <c r="K4" s="393" t="s">
        <v>869</v>
      </c>
      <c r="L4" s="393" t="s">
        <v>249</v>
      </c>
      <c r="M4" s="393" t="s">
        <v>299</v>
      </c>
      <c r="N4" s="393" t="s">
        <v>251</v>
      </c>
      <c r="O4" s="393" t="s">
        <v>55</v>
      </c>
      <c r="P4" s="393" t="s">
        <v>300</v>
      </c>
      <c r="Q4" s="393" t="s">
        <v>252</v>
      </c>
      <c r="R4" s="393" t="s">
        <v>253</v>
      </c>
      <c r="S4" s="393" t="s">
        <v>257</v>
      </c>
      <c r="T4" s="393" t="s">
        <v>286</v>
      </c>
      <c r="U4" s="393" t="s">
        <v>486</v>
      </c>
      <c r="V4" s="393" t="s">
        <v>287</v>
      </c>
      <c r="W4" s="393" t="s">
        <v>643</v>
      </c>
      <c r="X4" s="393" t="s">
        <v>644</v>
      </c>
      <c r="Y4" s="393" t="s">
        <v>258</v>
      </c>
      <c r="Z4" s="393" t="s">
        <v>911</v>
      </c>
      <c r="AA4" s="393" t="s">
        <v>289</v>
      </c>
      <c r="AB4" s="393" t="s">
        <v>290</v>
      </c>
      <c r="AC4" s="393" t="s">
        <v>291</v>
      </c>
      <c r="AD4" s="393" t="s">
        <v>292</v>
      </c>
      <c r="AE4" s="393" t="s">
        <v>872</v>
      </c>
      <c r="AF4" s="393" t="s">
        <v>870</v>
      </c>
      <c r="AG4" s="393" t="s">
        <v>871</v>
      </c>
      <c r="AH4" s="393" t="s">
        <v>882</v>
      </c>
      <c r="AI4" s="393" t="s">
        <v>266</v>
      </c>
      <c r="AJ4" s="393" t="s">
        <v>267</v>
      </c>
      <c r="AK4" s="393" t="s">
        <v>273</v>
      </c>
      <c r="AL4" s="393" t="s">
        <v>274</v>
      </c>
      <c r="AM4" s="393" t="s">
        <v>275</v>
      </c>
      <c r="AN4" s="393" t="s">
        <v>276</v>
      </c>
      <c r="AO4" s="393" t="s">
        <v>277</v>
      </c>
      <c r="AP4" s="393" t="s">
        <v>278</v>
      </c>
      <c r="AQ4" s="393" t="s">
        <v>279</v>
      </c>
      <c r="AR4" s="393" t="s">
        <v>280</v>
      </c>
      <c r="AS4" s="393" t="s">
        <v>281</v>
      </c>
      <c r="AT4" s="393" t="s">
        <v>282</v>
      </c>
      <c r="AU4" s="393" t="s">
        <v>283</v>
      </c>
      <c r="AV4" s="393" t="s">
        <v>284</v>
      </c>
      <c r="AW4" s="393" t="s">
        <v>285</v>
      </c>
      <c r="AX4" s="393" t="s">
        <v>487</v>
      </c>
      <c r="AY4" s="393" t="s">
        <v>488</v>
      </c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/>
      <c r="DO4"/>
      <c r="DP4"/>
      <c r="DQ4"/>
      <c r="DR4"/>
      <c r="DS4"/>
      <c r="DT4"/>
    </row>
  </sheetData>
  <sheetProtection algorithmName="SHA-512" hashValue="N6zidh2OcE3uQr6H3jiP3DsoRrgCoBxbfJWgK9Z4dNrxgq3HaIJPFrA7WHlf6L1doyPcyJLiU0nAW4ju2YePNw==" saltValue="8WV9cd7kw6Ni3KMZ8UeLww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1420"/>
  <sheetViews>
    <sheetView showRuler="0" workbookViewId="0"/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13" t="s">
        <v>235</v>
      </c>
      <c r="P1" s="414"/>
      <c r="AB1">
        <v>0</v>
      </c>
      <c r="AD1" s="277" t="s">
        <v>775</v>
      </c>
      <c r="AE1" s="277" t="s">
        <v>770</v>
      </c>
      <c r="AF1" s="277" t="s">
        <v>54</v>
      </c>
      <c r="AG1" s="277" t="s">
        <v>728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1411</v>
      </c>
      <c r="F2" s="50">
        <f>+COUNTIF($DL:$DL,"&gt;"&amp;0)</f>
        <v>1411</v>
      </c>
      <c r="G2" s="51">
        <f>+COUNTIF($DL:$DL,"&lt;"&amp;0)</f>
        <v>0</v>
      </c>
      <c r="H2" s="52">
        <f>+F2+G2</f>
        <v>1411</v>
      </c>
      <c r="I2" s="53">
        <f>+SUM(DL:DL)</f>
        <v>519650.37999999366</v>
      </c>
      <c r="J2" s="52">
        <f>+(E2-H2)-COUNTIF(AK:AK,"0")</f>
        <v>0</v>
      </c>
      <c r="K2" s="30" t="s">
        <v>717</v>
      </c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774</v>
      </c>
      <c r="AF2" s="85" t="s">
        <v>772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Jio Sallers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919</v>
      </c>
      <c r="E3" s="8"/>
      <c r="F3" s="8"/>
      <c r="G3" s="8"/>
      <c r="H3" s="8"/>
      <c r="I3" s="8"/>
      <c r="J3" s="8"/>
      <c r="K3" s="73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2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2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2" t="s">
        <v>85</v>
      </c>
      <c r="DJ3" s="184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2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116" t="s">
        <v>364</v>
      </c>
      <c r="B4" s="116" t="s">
        <v>365</v>
      </c>
      <c r="C4" s="116" t="s">
        <v>366</v>
      </c>
      <c r="D4" s="116" t="s">
        <v>367</v>
      </c>
      <c r="E4" s="116" t="s">
        <v>368</v>
      </c>
      <c r="F4" s="116" t="s">
        <v>369</v>
      </c>
      <c r="G4" s="116" t="s">
        <v>370</v>
      </c>
      <c r="H4" s="116" t="s">
        <v>371</v>
      </c>
      <c r="I4" s="116" t="s">
        <v>372</v>
      </c>
      <c r="J4" s="116" t="s">
        <v>373</v>
      </c>
      <c r="K4" s="116" t="s">
        <v>374</v>
      </c>
      <c r="L4" s="116" t="s">
        <v>375</v>
      </c>
      <c r="M4" s="116" t="s">
        <v>376</v>
      </c>
      <c r="N4" s="116" t="s">
        <v>377</v>
      </c>
      <c r="O4" s="116" t="s">
        <v>378</v>
      </c>
      <c r="P4" s="116" t="s">
        <v>379</v>
      </c>
      <c r="Q4" s="116" t="s">
        <v>380</v>
      </c>
      <c r="R4" s="116" t="s">
        <v>381</v>
      </c>
      <c r="S4" s="116" t="s">
        <v>382</v>
      </c>
      <c r="T4" s="116" t="s">
        <v>383</v>
      </c>
      <c r="U4" s="116" t="s">
        <v>384</v>
      </c>
      <c r="V4" s="116" t="s">
        <v>385</v>
      </c>
      <c r="W4" s="116" t="s">
        <v>386</v>
      </c>
      <c r="X4" s="116" t="s">
        <v>387</v>
      </c>
      <c r="Y4" s="116" t="s">
        <v>388</v>
      </c>
      <c r="Z4" s="116" t="s">
        <v>389</v>
      </c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 t="str">
        <f>+DA3</f>
        <v>Gujarat</v>
      </c>
      <c r="DB4" s="123" t="str">
        <f>+DB3</f>
        <v>Jio Sallers</v>
      </c>
      <c r="DC4" s="350"/>
      <c r="DD4" s="123"/>
      <c r="DE4" s="123"/>
      <c r="DF4" s="350"/>
      <c r="DG4" s="352"/>
      <c r="DH4" s="123"/>
      <c r="DI4" s="123"/>
      <c r="DJ4" s="351"/>
      <c r="DK4" s="123"/>
      <c r="DL4" s="119"/>
      <c r="DM4" s="125"/>
      <c r="DN4" s="119"/>
      <c r="DO4" s="119"/>
      <c r="DP4" s="120"/>
    </row>
    <row r="5" spans="1:124" x14ac:dyDescent="0.25">
      <c r="A5" s="16" t="s">
        <v>9516</v>
      </c>
      <c r="B5" s="16" t="s">
        <v>9517</v>
      </c>
      <c r="C5" s="16" t="s">
        <v>9518</v>
      </c>
      <c r="D5" s="16" t="s">
        <v>9519</v>
      </c>
      <c r="E5" s="16" t="s">
        <v>9520</v>
      </c>
      <c r="F5" s="16" t="s">
        <v>9521</v>
      </c>
      <c r="G5" s="16" t="s">
        <v>9522</v>
      </c>
      <c r="H5" s="16" t="s">
        <v>9521</v>
      </c>
      <c r="I5" s="16" t="s">
        <v>3013</v>
      </c>
      <c r="J5" s="16" t="s">
        <v>943</v>
      </c>
      <c r="K5" s="16" t="s">
        <v>3014</v>
      </c>
      <c r="L5" s="16" t="s">
        <v>85</v>
      </c>
      <c r="M5" s="16" t="s">
        <v>984</v>
      </c>
      <c r="N5" s="16" t="s">
        <v>914</v>
      </c>
      <c r="O5" s="16" t="s">
        <v>985</v>
      </c>
      <c r="P5" s="16" t="s">
        <v>914</v>
      </c>
      <c r="Q5" s="16" t="s">
        <v>985</v>
      </c>
      <c r="R5" s="16" t="s">
        <v>915</v>
      </c>
      <c r="S5" s="16" t="s">
        <v>915</v>
      </c>
      <c r="T5" s="16" t="s">
        <v>986</v>
      </c>
      <c r="U5" s="16" t="s">
        <v>987</v>
      </c>
      <c r="V5" s="16" t="s">
        <v>916</v>
      </c>
      <c r="W5" s="16" t="s">
        <v>987</v>
      </c>
      <c r="X5" s="16" t="s">
        <v>934</v>
      </c>
      <c r="Y5" s="16" t="s">
        <v>934</v>
      </c>
      <c r="Z5" s="16" t="s">
        <v>935</v>
      </c>
      <c r="DA5" s="405" t="s">
        <v>5</v>
      </c>
      <c r="DB5" s="405" t="s">
        <v>363</v>
      </c>
      <c r="DC5" s="406" t="s">
        <v>85</v>
      </c>
      <c r="DD5" s="405" t="s">
        <v>917</v>
      </c>
      <c r="DE5" s="405" t="s">
        <v>5</v>
      </c>
      <c r="DF5" s="406" t="s">
        <v>85</v>
      </c>
      <c r="DG5" s="407">
        <v>45839</v>
      </c>
      <c r="DH5" s="405" t="s">
        <v>9520</v>
      </c>
      <c r="DI5" s="406">
        <v>465455</v>
      </c>
      <c r="DJ5" s="408">
        <v>5</v>
      </c>
      <c r="DK5" s="405">
        <v>1</v>
      </c>
      <c r="DL5" s="82">
        <v>340.55</v>
      </c>
      <c r="DM5" s="409">
        <v>1.70275</v>
      </c>
      <c r="DN5" s="82" t="s">
        <v>85</v>
      </c>
      <c r="DO5" s="82" t="s">
        <v>85</v>
      </c>
      <c r="DP5" s="410" t="s">
        <v>85</v>
      </c>
    </row>
    <row r="6" spans="1:124" x14ac:dyDescent="0.25">
      <c r="A6" s="16" t="s">
        <v>9523</v>
      </c>
      <c r="B6" s="16" t="s">
        <v>9524</v>
      </c>
      <c r="C6" s="16" t="s">
        <v>9525</v>
      </c>
      <c r="D6" s="16" t="s">
        <v>9519</v>
      </c>
      <c r="E6" s="16" t="s">
        <v>9526</v>
      </c>
      <c r="F6" s="16" t="s">
        <v>9527</v>
      </c>
      <c r="G6" s="16" t="s">
        <v>9528</v>
      </c>
      <c r="H6" s="16" t="s">
        <v>9527</v>
      </c>
      <c r="I6" s="16" t="s">
        <v>2690</v>
      </c>
      <c r="J6" s="16" t="s">
        <v>1123</v>
      </c>
      <c r="K6" s="16" t="s">
        <v>2691</v>
      </c>
      <c r="L6" s="16" t="s">
        <v>85</v>
      </c>
      <c r="M6" s="16" t="s">
        <v>1238</v>
      </c>
      <c r="N6" s="16" t="s">
        <v>914</v>
      </c>
      <c r="O6" s="16" t="s">
        <v>1239</v>
      </c>
      <c r="P6" s="16" t="s">
        <v>914</v>
      </c>
      <c r="Q6" s="16" t="s">
        <v>1239</v>
      </c>
      <c r="R6" s="16" t="s">
        <v>915</v>
      </c>
      <c r="S6" s="16" t="s">
        <v>915</v>
      </c>
      <c r="T6" s="16" t="s">
        <v>1238</v>
      </c>
      <c r="U6" s="16" t="s">
        <v>1240</v>
      </c>
      <c r="V6" s="16" t="s">
        <v>916</v>
      </c>
      <c r="W6" s="16" t="s">
        <v>1240</v>
      </c>
      <c r="X6" s="16" t="s">
        <v>934</v>
      </c>
      <c r="Y6" s="16" t="s">
        <v>934</v>
      </c>
      <c r="Z6" s="16" t="s">
        <v>935</v>
      </c>
      <c r="DA6" s="405" t="s">
        <v>5</v>
      </c>
      <c r="DB6" s="405" t="s">
        <v>363</v>
      </c>
      <c r="DC6" s="406" t="s">
        <v>85</v>
      </c>
      <c r="DD6" s="405" t="s">
        <v>917</v>
      </c>
      <c r="DE6" s="405" t="s">
        <v>5</v>
      </c>
      <c r="DF6" s="406" t="s">
        <v>85</v>
      </c>
      <c r="DG6" s="407">
        <v>45839</v>
      </c>
      <c r="DH6" s="405" t="s">
        <v>9526</v>
      </c>
      <c r="DI6" s="406">
        <v>465455</v>
      </c>
      <c r="DJ6" s="408">
        <v>5</v>
      </c>
      <c r="DK6" s="405">
        <v>1</v>
      </c>
      <c r="DL6" s="82">
        <v>383.16</v>
      </c>
      <c r="DM6" s="409">
        <v>1.9158000000000002</v>
      </c>
      <c r="DN6" s="82" t="s">
        <v>85</v>
      </c>
      <c r="DO6" s="82" t="s">
        <v>85</v>
      </c>
      <c r="DP6" s="410" t="s">
        <v>85</v>
      </c>
    </row>
    <row r="7" spans="1:124" x14ac:dyDescent="0.25">
      <c r="A7" s="16" t="s">
        <v>9529</v>
      </c>
      <c r="B7" s="16" t="s">
        <v>9530</v>
      </c>
      <c r="C7" s="16" t="s">
        <v>9531</v>
      </c>
      <c r="D7" s="16" t="s">
        <v>9519</v>
      </c>
      <c r="E7" s="16" t="s">
        <v>9532</v>
      </c>
      <c r="F7" s="16" t="s">
        <v>9533</v>
      </c>
      <c r="G7" s="16" t="s">
        <v>9534</v>
      </c>
      <c r="H7" s="16" t="s">
        <v>9533</v>
      </c>
      <c r="I7" s="16" t="s">
        <v>1937</v>
      </c>
      <c r="J7" s="16" t="s">
        <v>1036</v>
      </c>
      <c r="K7" s="16" t="s">
        <v>1938</v>
      </c>
      <c r="L7" s="16" t="s">
        <v>85</v>
      </c>
      <c r="M7" s="16" t="s">
        <v>1216</v>
      </c>
      <c r="N7" s="16" t="s">
        <v>914</v>
      </c>
      <c r="O7" s="16" t="s">
        <v>946</v>
      </c>
      <c r="P7" s="16" t="s">
        <v>914</v>
      </c>
      <c r="Q7" s="16" t="s">
        <v>946</v>
      </c>
      <c r="R7" s="16" t="s">
        <v>915</v>
      </c>
      <c r="S7" s="16" t="s">
        <v>915</v>
      </c>
      <c r="T7" s="16" t="s">
        <v>1216</v>
      </c>
      <c r="U7" s="16" t="s">
        <v>1217</v>
      </c>
      <c r="V7" s="16" t="s">
        <v>916</v>
      </c>
      <c r="W7" s="16" t="s">
        <v>1217</v>
      </c>
      <c r="X7" s="16" t="s">
        <v>934</v>
      </c>
      <c r="Y7" s="16" t="s">
        <v>934</v>
      </c>
      <c r="Z7" s="16" t="s">
        <v>935</v>
      </c>
      <c r="DA7" s="405" t="s">
        <v>5</v>
      </c>
      <c r="DB7" s="405" t="s">
        <v>363</v>
      </c>
      <c r="DC7" s="406" t="s">
        <v>85</v>
      </c>
      <c r="DD7" s="405" t="s">
        <v>917</v>
      </c>
      <c r="DE7" s="405" t="s">
        <v>5</v>
      </c>
      <c r="DF7" s="406" t="s">
        <v>85</v>
      </c>
      <c r="DG7" s="407">
        <v>45839</v>
      </c>
      <c r="DH7" s="405" t="s">
        <v>9532</v>
      </c>
      <c r="DI7" s="406">
        <v>465455</v>
      </c>
      <c r="DJ7" s="408">
        <v>5</v>
      </c>
      <c r="DK7" s="405">
        <v>1</v>
      </c>
      <c r="DL7" s="82">
        <v>319.22000000000003</v>
      </c>
      <c r="DM7" s="409">
        <v>1.5961000000000001</v>
      </c>
      <c r="DN7" s="82" t="s">
        <v>85</v>
      </c>
      <c r="DO7" s="82" t="s">
        <v>85</v>
      </c>
      <c r="DP7" s="410" t="s">
        <v>85</v>
      </c>
    </row>
    <row r="8" spans="1:124" x14ac:dyDescent="0.25">
      <c r="A8" s="16" t="s">
        <v>9535</v>
      </c>
      <c r="B8" s="16" t="s">
        <v>9536</v>
      </c>
      <c r="C8" s="16" t="s">
        <v>9537</v>
      </c>
      <c r="D8" s="16" t="s">
        <v>9519</v>
      </c>
      <c r="E8" s="16" t="s">
        <v>9538</v>
      </c>
      <c r="F8" s="16" t="s">
        <v>9539</v>
      </c>
      <c r="G8" s="16" t="s">
        <v>9540</v>
      </c>
      <c r="H8" s="16" t="s">
        <v>9539</v>
      </c>
      <c r="I8" s="16" t="s">
        <v>1090</v>
      </c>
      <c r="J8" s="16" t="s">
        <v>943</v>
      </c>
      <c r="K8" s="16" t="s">
        <v>1091</v>
      </c>
      <c r="L8" s="16" t="s">
        <v>85</v>
      </c>
      <c r="M8" s="16" t="s">
        <v>984</v>
      </c>
      <c r="N8" s="16" t="s">
        <v>914</v>
      </c>
      <c r="O8" s="16" t="s">
        <v>985</v>
      </c>
      <c r="P8" s="16" t="s">
        <v>914</v>
      </c>
      <c r="Q8" s="16" t="s">
        <v>985</v>
      </c>
      <c r="R8" s="16" t="s">
        <v>915</v>
      </c>
      <c r="S8" s="16" t="s">
        <v>915</v>
      </c>
      <c r="T8" s="16" t="s">
        <v>986</v>
      </c>
      <c r="U8" s="16" t="s">
        <v>987</v>
      </c>
      <c r="V8" s="16" t="s">
        <v>916</v>
      </c>
      <c r="W8" s="16" t="s">
        <v>987</v>
      </c>
      <c r="X8" s="16" t="s">
        <v>934</v>
      </c>
      <c r="Y8" s="16" t="s">
        <v>934</v>
      </c>
      <c r="Z8" s="16" t="s">
        <v>935</v>
      </c>
      <c r="DA8" s="405" t="s">
        <v>5</v>
      </c>
      <c r="DB8" s="405" t="s">
        <v>363</v>
      </c>
      <c r="DC8" s="406" t="s">
        <v>85</v>
      </c>
      <c r="DD8" s="405" t="s">
        <v>917</v>
      </c>
      <c r="DE8" s="405" t="s">
        <v>5</v>
      </c>
      <c r="DF8" s="406" t="s">
        <v>85</v>
      </c>
      <c r="DG8" s="407">
        <v>45839</v>
      </c>
      <c r="DH8" s="405" t="s">
        <v>9538</v>
      </c>
      <c r="DI8" s="406">
        <v>465455</v>
      </c>
      <c r="DJ8" s="408">
        <v>5</v>
      </c>
      <c r="DK8" s="405">
        <v>1</v>
      </c>
      <c r="DL8" s="82">
        <v>340.55</v>
      </c>
      <c r="DM8" s="409">
        <v>1.70275</v>
      </c>
      <c r="DN8" s="82" t="s">
        <v>85</v>
      </c>
      <c r="DO8" s="82" t="s">
        <v>85</v>
      </c>
      <c r="DP8" s="410" t="s">
        <v>85</v>
      </c>
    </row>
    <row r="9" spans="1:124" x14ac:dyDescent="0.25">
      <c r="A9" s="16" t="s">
        <v>9541</v>
      </c>
      <c r="B9" s="16" t="s">
        <v>9542</v>
      </c>
      <c r="C9" s="16" t="s">
        <v>9543</v>
      </c>
      <c r="D9" s="16" t="s">
        <v>9519</v>
      </c>
      <c r="E9" s="16" t="s">
        <v>9544</v>
      </c>
      <c r="F9" s="16" t="s">
        <v>9545</v>
      </c>
      <c r="G9" s="16" t="s">
        <v>9546</v>
      </c>
      <c r="H9" s="16" t="s">
        <v>9547</v>
      </c>
      <c r="I9" s="16" t="s">
        <v>1432</v>
      </c>
      <c r="J9" s="16" t="s">
        <v>956</v>
      </c>
      <c r="K9" s="16" t="s">
        <v>1433</v>
      </c>
      <c r="L9" s="16" t="s">
        <v>85</v>
      </c>
      <c r="M9" s="16" t="s">
        <v>1396</v>
      </c>
      <c r="N9" s="16" t="s">
        <v>914</v>
      </c>
      <c r="O9" s="16" t="s">
        <v>1397</v>
      </c>
      <c r="P9" s="16" t="s">
        <v>914</v>
      </c>
      <c r="Q9" s="16" t="s">
        <v>1397</v>
      </c>
      <c r="R9" s="16" t="s">
        <v>915</v>
      </c>
      <c r="S9" s="16" t="s">
        <v>915</v>
      </c>
      <c r="T9" s="16" t="s">
        <v>1396</v>
      </c>
      <c r="U9" s="16" t="s">
        <v>1398</v>
      </c>
      <c r="V9" s="16" t="s">
        <v>916</v>
      </c>
      <c r="W9" s="16" t="s">
        <v>1398</v>
      </c>
      <c r="X9" s="16" t="s">
        <v>934</v>
      </c>
      <c r="Y9" s="16" t="s">
        <v>934</v>
      </c>
      <c r="Z9" s="16" t="s">
        <v>935</v>
      </c>
      <c r="DA9" s="405" t="s">
        <v>5</v>
      </c>
      <c r="DB9" s="405" t="s">
        <v>363</v>
      </c>
      <c r="DC9" s="406" t="s">
        <v>85</v>
      </c>
      <c r="DD9" s="405" t="s">
        <v>917</v>
      </c>
      <c r="DE9" s="405" t="s">
        <v>5</v>
      </c>
      <c r="DF9" s="406" t="s">
        <v>85</v>
      </c>
      <c r="DG9" s="407">
        <v>45839</v>
      </c>
      <c r="DH9" s="405" t="s">
        <v>9544</v>
      </c>
      <c r="DI9" s="406">
        <v>465455</v>
      </c>
      <c r="DJ9" s="408">
        <v>5</v>
      </c>
      <c r="DK9" s="405">
        <v>1</v>
      </c>
      <c r="DL9" s="82">
        <v>265.92</v>
      </c>
      <c r="DM9" s="409">
        <v>1.3296000000000001</v>
      </c>
      <c r="DN9" s="82" t="s">
        <v>85</v>
      </c>
      <c r="DO9" s="82" t="s">
        <v>85</v>
      </c>
      <c r="DP9" s="410" t="s">
        <v>85</v>
      </c>
    </row>
    <row r="10" spans="1:124" x14ac:dyDescent="0.25">
      <c r="A10" s="16" t="s">
        <v>9548</v>
      </c>
      <c r="B10" s="16" t="s">
        <v>9549</v>
      </c>
      <c r="C10" s="16" t="s">
        <v>9550</v>
      </c>
      <c r="D10" s="16" t="s">
        <v>9519</v>
      </c>
      <c r="E10" s="16" t="s">
        <v>9551</v>
      </c>
      <c r="F10" s="16" t="s">
        <v>9552</v>
      </c>
      <c r="G10" s="16" t="s">
        <v>9553</v>
      </c>
      <c r="H10" s="16" t="s">
        <v>9552</v>
      </c>
      <c r="I10" s="16" t="s">
        <v>1035</v>
      </c>
      <c r="J10" s="16" t="s">
        <v>1036</v>
      </c>
      <c r="K10" s="16" t="s">
        <v>1037</v>
      </c>
      <c r="L10" s="16" t="s">
        <v>85</v>
      </c>
      <c r="M10" s="16" t="s">
        <v>1216</v>
      </c>
      <c r="N10" s="16" t="s">
        <v>914</v>
      </c>
      <c r="O10" s="16" t="s">
        <v>946</v>
      </c>
      <c r="P10" s="16" t="s">
        <v>914</v>
      </c>
      <c r="Q10" s="16" t="s">
        <v>946</v>
      </c>
      <c r="R10" s="16" t="s">
        <v>915</v>
      </c>
      <c r="S10" s="16" t="s">
        <v>915</v>
      </c>
      <c r="T10" s="16" t="s">
        <v>1216</v>
      </c>
      <c r="U10" s="16" t="s">
        <v>1217</v>
      </c>
      <c r="V10" s="16" t="s">
        <v>916</v>
      </c>
      <c r="W10" s="16" t="s">
        <v>1217</v>
      </c>
      <c r="X10" s="16" t="s">
        <v>934</v>
      </c>
      <c r="Y10" s="16" t="s">
        <v>934</v>
      </c>
      <c r="Z10" s="16" t="s">
        <v>935</v>
      </c>
      <c r="DA10" s="405" t="s">
        <v>5</v>
      </c>
      <c r="DB10" s="405" t="s">
        <v>363</v>
      </c>
      <c r="DC10" s="406" t="s">
        <v>85</v>
      </c>
      <c r="DD10" s="405" t="s">
        <v>917</v>
      </c>
      <c r="DE10" s="405" t="s">
        <v>5</v>
      </c>
      <c r="DF10" s="406" t="s">
        <v>85</v>
      </c>
      <c r="DG10" s="407">
        <v>45839</v>
      </c>
      <c r="DH10" s="405" t="s">
        <v>9551</v>
      </c>
      <c r="DI10" s="406">
        <v>465455</v>
      </c>
      <c r="DJ10" s="408">
        <v>5</v>
      </c>
      <c r="DK10" s="405">
        <v>1</v>
      </c>
      <c r="DL10" s="82">
        <v>319.22000000000003</v>
      </c>
      <c r="DM10" s="409">
        <v>1.5961000000000001</v>
      </c>
      <c r="DN10" s="82" t="s">
        <v>85</v>
      </c>
      <c r="DO10" s="82" t="s">
        <v>85</v>
      </c>
      <c r="DP10" s="410" t="s">
        <v>85</v>
      </c>
    </row>
    <row r="11" spans="1:124" x14ac:dyDescent="0.25">
      <c r="A11" s="16" t="s">
        <v>9554</v>
      </c>
      <c r="B11" s="16" t="s">
        <v>9555</v>
      </c>
      <c r="C11" s="16" t="s">
        <v>9556</v>
      </c>
      <c r="D11" s="16" t="s">
        <v>9519</v>
      </c>
      <c r="E11" s="16" t="s">
        <v>9557</v>
      </c>
      <c r="F11" s="16" t="s">
        <v>9558</v>
      </c>
      <c r="G11" s="16" t="s">
        <v>9559</v>
      </c>
      <c r="H11" s="16" t="s">
        <v>9558</v>
      </c>
      <c r="I11" s="16" t="s">
        <v>2425</v>
      </c>
      <c r="J11" s="16" t="s">
        <v>928</v>
      </c>
      <c r="K11" s="16" t="s">
        <v>2426</v>
      </c>
      <c r="L11" s="16" t="s">
        <v>85</v>
      </c>
      <c r="M11" s="16" t="s">
        <v>1322</v>
      </c>
      <c r="N11" s="16" t="s">
        <v>914</v>
      </c>
      <c r="O11" s="16" t="s">
        <v>1323</v>
      </c>
      <c r="P11" s="16" t="s">
        <v>914</v>
      </c>
      <c r="Q11" s="16" t="s">
        <v>1323</v>
      </c>
      <c r="R11" s="16" t="s">
        <v>915</v>
      </c>
      <c r="S11" s="16" t="s">
        <v>915</v>
      </c>
      <c r="T11" s="16" t="s">
        <v>1322</v>
      </c>
      <c r="U11" s="16" t="s">
        <v>1324</v>
      </c>
      <c r="V11" s="16" t="s">
        <v>916</v>
      </c>
      <c r="W11" s="16" t="s">
        <v>1324</v>
      </c>
      <c r="X11" s="16" t="s">
        <v>934</v>
      </c>
      <c r="Y11" s="16" t="s">
        <v>934</v>
      </c>
      <c r="Z11" s="16" t="s">
        <v>935</v>
      </c>
      <c r="DA11" s="405" t="s">
        <v>5</v>
      </c>
      <c r="DB11" s="405" t="s">
        <v>363</v>
      </c>
      <c r="DC11" s="406" t="s">
        <v>85</v>
      </c>
      <c r="DD11" s="405" t="s">
        <v>917</v>
      </c>
      <c r="DE11" s="405" t="s">
        <v>5</v>
      </c>
      <c r="DF11" s="406" t="s">
        <v>85</v>
      </c>
      <c r="DG11" s="407">
        <v>45839</v>
      </c>
      <c r="DH11" s="405" t="s">
        <v>9557</v>
      </c>
      <c r="DI11" s="406">
        <v>465455</v>
      </c>
      <c r="DJ11" s="408">
        <v>5</v>
      </c>
      <c r="DK11" s="405">
        <v>1</v>
      </c>
      <c r="DL11" s="82">
        <v>332.47</v>
      </c>
      <c r="DM11" s="409">
        <v>1.6623500000000002</v>
      </c>
      <c r="DN11" s="82" t="s">
        <v>85</v>
      </c>
      <c r="DO11" s="82" t="s">
        <v>85</v>
      </c>
      <c r="DP11" s="410" t="s">
        <v>85</v>
      </c>
    </row>
    <row r="12" spans="1:124" x14ac:dyDescent="0.25">
      <c r="A12" s="16" t="s">
        <v>9560</v>
      </c>
      <c r="B12" s="16" t="s">
        <v>9561</v>
      </c>
      <c r="C12" s="16" t="s">
        <v>9562</v>
      </c>
      <c r="D12" s="16" t="s">
        <v>9519</v>
      </c>
      <c r="E12" s="16" t="s">
        <v>9563</v>
      </c>
      <c r="F12" s="16" t="s">
        <v>9564</v>
      </c>
      <c r="G12" s="16" t="s">
        <v>9565</v>
      </c>
      <c r="H12" s="16" t="s">
        <v>9566</v>
      </c>
      <c r="I12" s="16" t="s">
        <v>7054</v>
      </c>
      <c r="J12" s="16" t="s">
        <v>1520</v>
      </c>
      <c r="K12" s="16" t="s">
        <v>7055</v>
      </c>
      <c r="L12" s="16" t="s">
        <v>85</v>
      </c>
      <c r="M12" s="16" t="s">
        <v>1522</v>
      </c>
      <c r="N12" s="16" t="s">
        <v>914</v>
      </c>
      <c r="O12" s="16" t="s">
        <v>1523</v>
      </c>
      <c r="P12" s="16" t="s">
        <v>914</v>
      </c>
      <c r="Q12" s="16" t="s">
        <v>1523</v>
      </c>
      <c r="R12" s="16" t="s">
        <v>915</v>
      </c>
      <c r="S12" s="16" t="s">
        <v>915</v>
      </c>
      <c r="T12" s="16" t="s">
        <v>1524</v>
      </c>
      <c r="U12" s="16" t="s">
        <v>1525</v>
      </c>
      <c r="V12" s="16" t="s">
        <v>916</v>
      </c>
      <c r="W12" s="16" t="s">
        <v>1525</v>
      </c>
      <c r="X12" s="16" t="s">
        <v>934</v>
      </c>
      <c r="Y12" s="16" t="s">
        <v>934</v>
      </c>
      <c r="Z12" s="16" t="s">
        <v>935</v>
      </c>
      <c r="DA12" s="405" t="s">
        <v>5</v>
      </c>
      <c r="DB12" s="405" t="s">
        <v>363</v>
      </c>
      <c r="DC12" s="406" t="s">
        <v>85</v>
      </c>
      <c r="DD12" s="405" t="s">
        <v>917</v>
      </c>
      <c r="DE12" s="405" t="s">
        <v>5</v>
      </c>
      <c r="DF12" s="406" t="s">
        <v>85</v>
      </c>
      <c r="DG12" s="407">
        <v>45839</v>
      </c>
      <c r="DH12" s="405" t="s">
        <v>9563</v>
      </c>
      <c r="DI12" s="406">
        <v>465455</v>
      </c>
      <c r="DJ12" s="408">
        <v>5</v>
      </c>
      <c r="DK12" s="405">
        <v>1</v>
      </c>
      <c r="DL12" s="82">
        <v>186.15</v>
      </c>
      <c r="DM12" s="409">
        <v>0.93075000000000008</v>
      </c>
      <c r="DN12" s="82" t="s">
        <v>85</v>
      </c>
      <c r="DO12" s="82" t="s">
        <v>85</v>
      </c>
      <c r="DP12" s="410" t="s">
        <v>85</v>
      </c>
    </row>
    <row r="13" spans="1:124" x14ac:dyDescent="0.25">
      <c r="A13" s="16" t="s">
        <v>9567</v>
      </c>
      <c r="B13" s="16" t="s">
        <v>9568</v>
      </c>
      <c r="C13" s="16" t="s">
        <v>9569</v>
      </c>
      <c r="D13" s="16" t="s">
        <v>9519</v>
      </c>
      <c r="E13" s="16" t="s">
        <v>9570</v>
      </c>
      <c r="F13" s="16" t="s">
        <v>9571</v>
      </c>
      <c r="G13" s="16" t="s">
        <v>9572</v>
      </c>
      <c r="H13" s="16" t="s">
        <v>9571</v>
      </c>
      <c r="I13" s="16" t="s">
        <v>2118</v>
      </c>
      <c r="J13" s="16" t="s">
        <v>928</v>
      </c>
      <c r="K13" s="16" t="s">
        <v>2119</v>
      </c>
      <c r="L13" s="16" t="s">
        <v>85</v>
      </c>
      <c r="M13" s="16" t="s">
        <v>1322</v>
      </c>
      <c r="N13" s="16" t="s">
        <v>914</v>
      </c>
      <c r="O13" s="16" t="s">
        <v>1323</v>
      </c>
      <c r="P13" s="16" t="s">
        <v>914</v>
      </c>
      <c r="Q13" s="16" t="s">
        <v>1323</v>
      </c>
      <c r="R13" s="16" t="s">
        <v>915</v>
      </c>
      <c r="S13" s="16" t="s">
        <v>915</v>
      </c>
      <c r="T13" s="16" t="s">
        <v>1322</v>
      </c>
      <c r="U13" s="16" t="s">
        <v>1324</v>
      </c>
      <c r="V13" s="16" t="s">
        <v>916</v>
      </c>
      <c r="W13" s="16" t="s">
        <v>1324</v>
      </c>
      <c r="X13" s="16" t="s">
        <v>934</v>
      </c>
      <c r="Y13" s="16" t="s">
        <v>934</v>
      </c>
      <c r="Z13" s="16" t="s">
        <v>935</v>
      </c>
      <c r="DA13" s="405" t="s">
        <v>5</v>
      </c>
      <c r="DB13" s="405" t="s">
        <v>363</v>
      </c>
      <c r="DC13" s="406" t="s">
        <v>85</v>
      </c>
      <c r="DD13" s="405" t="s">
        <v>917</v>
      </c>
      <c r="DE13" s="405" t="s">
        <v>5</v>
      </c>
      <c r="DF13" s="406" t="s">
        <v>85</v>
      </c>
      <c r="DG13" s="407">
        <v>45839</v>
      </c>
      <c r="DH13" s="405" t="s">
        <v>9570</v>
      </c>
      <c r="DI13" s="406">
        <v>465455</v>
      </c>
      <c r="DJ13" s="408">
        <v>5</v>
      </c>
      <c r="DK13" s="405">
        <v>1</v>
      </c>
      <c r="DL13" s="82">
        <v>332.47</v>
      </c>
      <c r="DM13" s="409">
        <v>1.6623500000000002</v>
      </c>
      <c r="DN13" s="82" t="s">
        <v>85</v>
      </c>
      <c r="DO13" s="82" t="s">
        <v>85</v>
      </c>
      <c r="DP13" s="410" t="s">
        <v>85</v>
      </c>
    </row>
    <row r="14" spans="1:124" x14ac:dyDescent="0.25">
      <c r="A14" s="16" t="s">
        <v>9573</v>
      </c>
      <c r="B14" s="16" t="s">
        <v>9574</v>
      </c>
      <c r="C14" s="16" t="s">
        <v>9575</v>
      </c>
      <c r="D14" s="16" t="s">
        <v>9519</v>
      </c>
      <c r="E14" s="16" t="s">
        <v>9576</v>
      </c>
      <c r="F14" s="16" t="s">
        <v>9577</v>
      </c>
      <c r="G14" s="16" t="s">
        <v>9578</v>
      </c>
      <c r="H14" s="16" t="s">
        <v>9577</v>
      </c>
      <c r="I14" s="16" t="s">
        <v>9579</v>
      </c>
      <c r="J14" s="16" t="s">
        <v>4221</v>
      </c>
      <c r="K14" s="16" t="s">
        <v>9580</v>
      </c>
      <c r="L14" s="16" t="s">
        <v>85</v>
      </c>
      <c r="M14" s="16" t="s">
        <v>4223</v>
      </c>
      <c r="N14" s="16" t="s">
        <v>914</v>
      </c>
      <c r="O14" s="16" t="s">
        <v>4224</v>
      </c>
      <c r="P14" s="16" t="s">
        <v>914</v>
      </c>
      <c r="Q14" s="16" t="s">
        <v>4224</v>
      </c>
      <c r="R14" s="16" t="s">
        <v>915</v>
      </c>
      <c r="S14" s="16" t="s">
        <v>915</v>
      </c>
      <c r="T14" s="16" t="s">
        <v>4223</v>
      </c>
      <c r="U14" s="16" t="s">
        <v>4225</v>
      </c>
      <c r="V14" s="16" t="s">
        <v>916</v>
      </c>
      <c r="W14" s="16" t="s">
        <v>4225</v>
      </c>
      <c r="X14" s="16" t="s">
        <v>934</v>
      </c>
      <c r="Y14" s="16" t="s">
        <v>934</v>
      </c>
      <c r="Z14" s="16" t="s">
        <v>935</v>
      </c>
      <c r="DA14" s="405" t="s">
        <v>5</v>
      </c>
      <c r="DB14" s="405" t="s">
        <v>363</v>
      </c>
      <c r="DC14" s="406" t="s">
        <v>85</v>
      </c>
      <c r="DD14" s="405" t="s">
        <v>917</v>
      </c>
      <c r="DE14" s="405" t="s">
        <v>5</v>
      </c>
      <c r="DF14" s="406" t="s">
        <v>85</v>
      </c>
      <c r="DG14" s="407">
        <v>45839</v>
      </c>
      <c r="DH14" s="405" t="s">
        <v>9576</v>
      </c>
      <c r="DI14" s="406">
        <v>465455</v>
      </c>
      <c r="DJ14" s="408">
        <v>5</v>
      </c>
      <c r="DK14" s="405">
        <v>1</v>
      </c>
      <c r="DL14" s="82">
        <v>372.48</v>
      </c>
      <c r="DM14" s="409">
        <v>1.8624000000000001</v>
      </c>
      <c r="DN14" s="82" t="s">
        <v>85</v>
      </c>
      <c r="DO14" s="82" t="s">
        <v>85</v>
      </c>
      <c r="DP14" s="410" t="s">
        <v>85</v>
      </c>
    </row>
    <row r="15" spans="1:124" x14ac:dyDescent="0.25">
      <c r="A15" s="16" t="s">
        <v>9581</v>
      </c>
      <c r="B15" s="16" t="s">
        <v>9582</v>
      </c>
      <c r="C15" s="16" t="s">
        <v>9583</v>
      </c>
      <c r="D15" s="16" t="s">
        <v>9519</v>
      </c>
      <c r="E15" s="16" t="s">
        <v>9584</v>
      </c>
      <c r="F15" s="16" t="s">
        <v>9585</v>
      </c>
      <c r="G15" s="16" t="s">
        <v>9586</v>
      </c>
      <c r="H15" s="16" t="s">
        <v>9585</v>
      </c>
      <c r="I15" s="16" t="s">
        <v>1765</v>
      </c>
      <c r="J15" s="16" t="s">
        <v>943</v>
      </c>
      <c r="K15" s="16" t="s">
        <v>1766</v>
      </c>
      <c r="L15" s="16" t="s">
        <v>85</v>
      </c>
      <c r="M15" s="16" t="s">
        <v>984</v>
      </c>
      <c r="N15" s="16" t="s">
        <v>914</v>
      </c>
      <c r="O15" s="16" t="s">
        <v>985</v>
      </c>
      <c r="P15" s="16" t="s">
        <v>914</v>
      </c>
      <c r="Q15" s="16" t="s">
        <v>985</v>
      </c>
      <c r="R15" s="16" t="s">
        <v>915</v>
      </c>
      <c r="S15" s="16" t="s">
        <v>915</v>
      </c>
      <c r="T15" s="16" t="s">
        <v>986</v>
      </c>
      <c r="U15" s="16" t="s">
        <v>987</v>
      </c>
      <c r="V15" s="16" t="s">
        <v>916</v>
      </c>
      <c r="W15" s="16" t="s">
        <v>987</v>
      </c>
      <c r="X15" s="16" t="s">
        <v>934</v>
      </c>
      <c r="Y15" s="16" t="s">
        <v>934</v>
      </c>
      <c r="Z15" s="16" t="s">
        <v>935</v>
      </c>
      <c r="DA15" s="405" t="s">
        <v>5</v>
      </c>
      <c r="DB15" s="405" t="s">
        <v>363</v>
      </c>
      <c r="DC15" s="406" t="s">
        <v>85</v>
      </c>
      <c r="DD15" s="405" t="s">
        <v>917</v>
      </c>
      <c r="DE15" s="405" t="s">
        <v>5</v>
      </c>
      <c r="DF15" s="406" t="s">
        <v>85</v>
      </c>
      <c r="DG15" s="407">
        <v>45839</v>
      </c>
      <c r="DH15" s="405" t="s">
        <v>9584</v>
      </c>
      <c r="DI15" s="406">
        <v>465455</v>
      </c>
      <c r="DJ15" s="408">
        <v>5</v>
      </c>
      <c r="DK15" s="405">
        <v>1</v>
      </c>
      <c r="DL15" s="82">
        <v>340.55</v>
      </c>
      <c r="DM15" s="409">
        <v>1.70275</v>
      </c>
      <c r="DN15" s="82" t="s">
        <v>85</v>
      </c>
      <c r="DO15" s="82" t="s">
        <v>85</v>
      </c>
      <c r="DP15" s="410" t="s">
        <v>85</v>
      </c>
    </row>
    <row r="16" spans="1:124" x14ac:dyDescent="0.25">
      <c r="A16" s="16" t="s">
        <v>9587</v>
      </c>
      <c r="B16" s="16" t="s">
        <v>9588</v>
      </c>
      <c r="C16" s="16" t="s">
        <v>9589</v>
      </c>
      <c r="D16" s="16" t="s">
        <v>9519</v>
      </c>
      <c r="E16" s="16" t="s">
        <v>9590</v>
      </c>
      <c r="F16" s="16" t="s">
        <v>9591</v>
      </c>
      <c r="G16" s="16" t="s">
        <v>9592</v>
      </c>
      <c r="H16" s="16" t="s">
        <v>9591</v>
      </c>
      <c r="I16" s="16" t="s">
        <v>1772</v>
      </c>
      <c r="J16" s="16" t="s">
        <v>1036</v>
      </c>
      <c r="K16" s="16" t="s">
        <v>1773</v>
      </c>
      <c r="L16" s="16" t="s">
        <v>85</v>
      </c>
      <c r="M16" s="16" t="s">
        <v>1216</v>
      </c>
      <c r="N16" s="16" t="s">
        <v>914</v>
      </c>
      <c r="O16" s="16" t="s">
        <v>946</v>
      </c>
      <c r="P16" s="16" t="s">
        <v>914</v>
      </c>
      <c r="Q16" s="16" t="s">
        <v>946</v>
      </c>
      <c r="R16" s="16" t="s">
        <v>915</v>
      </c>
      <c r="S16" s="16" t="s">
        <v>915</v>
      </c>
      <c r="T16" s="16" t="s">
        <v>1216</v>
      </c>
      <c r="U16" s="16" t="s">
        <v>1217</v>
      </c>
      <c r="V16" s="16" t="s">
        <v>916</v>
      </c>
      <c r="W16" s="16" t="s">
        <v>1217</v>
      </c>
      <c r="X16" s="16" t="s">
        <v>934</v>
      </c>
      <c r="Y16" s="16" t="s">
        <v>934</v>
      </c>
      <c r="Z16" s="16" t="s">
        <v>935</v>
      </c>
      <c r="DA16" s="405" t="s">
        <v>5</v>
      </c>
      <c r="DB16" s="405" t="s">
        <v>363</v>
      </c>
      <c r="DC16" s="406" t="s">
        <v>85</v>
      </c>
      <c r="DD16" s="405" t="s">
        <v>917</v>
      </c>
      <c r="DE16" s="405" t="s">
        <v>5</v>
      </c>
      <c r="DF16" s="406" t="s">
        <v>85</v>
      </c>
      <c r="DG16" s="407">
        <v>45839</v>
      </c>
      <c r="DH16" s="405" t="s">
        <v>9590</v>
      </c>
      <c r="DI16" s="406">
        <v>465455</v>
      </c>
      <c r="DJ16" s="408">
        <v>5</v>
      </c>
      <c r="DK16" s="405">
        <v>1</v>
      </c>
      <c r="DL16" s="82">
        <v>319.22000000000003</v>
      </c>
      <c r="DM16" s="409">
        <v>1.5961000000000001</v>
      </c>
      <c r="DN16" s="82" t="s">
        <v>85</v>
      </c>
      <c r="DO16" s="82" t="s">
        <v>85</v>
      </c>
      <c r="DP16" s="410" t="s">
        <v>85</v>
      </c>
    </row>
    <row r="17" spans="1:120" x14ac:dyDescent="0.25">
      <c r="A17" s="16" t="s">
        <v>9593</v>
      </c>
      <c r="B17" s="16" t="s">
        <v>9594</v>
      </c>
      <c r="C17" s="16" t="s">
        <v>9595</v>
      </c>
      <c r="D17" s="16" t="s">
        <v>9519</v>
      </c>
      <c r="E17" s="16" t="s">
        <v>9596</v>
      </c>
      <c r="F17" s="16" t="s">
        <v>9597</v>
      </c>
      <c r="G17" s="16" t="s">
        <v>9598</v>
      </c>
      <c r="H17" s="16" t="s">
        <v>9597</v>
      </c>
      <c r="I17" s="16" t="s">
        <v>1456</v>
      </c>
      <c r="J17" s="16" t="s">
        <v>928</v>
      </c>
      <c r="K17" s="16" t="s">
        <v>1457</v>
      </c>
      <c r="L17" s="16" t="s">
        <v>85</v>
      </c>
      <c r="M17" s="16" t="s">
        <v>1322</v>
      </c>
      <c r="N17" s="16" t="s">
        <v>914</v>
      </c>
      <c r="O17" s="16" t="s">
        <v>1323</v>
      </c>
      <c r="P17" s="16" t="s">
        <v>914</v>
      </c>
      <c r="Q17" s="16" t="s">
        <v>1323</v>
      </c>
      <c r="R17" s="16" t="s">
        <v>915</v>
      </c>
      <c r="S17" s="16" t="s">
        <v>915</v>
      </c>
      <c r="T17" s="16" t="s">
        <v>1322</v>
      </c>
      <c r="U17" s="16" t="s">
        <v>1324</v>
      </c>
      <c r="V17" s="16" t="s">
        <v>916</v>
      </c>
      <c r="W17" s="16" t="s">
        <v>1324</v>
      </c>
      <c r="X17" s="16" t="s">
        <v>934</v>
      </c>
      <c r="Y17" s="16" t="s">
        <v>934</v>
      </c>
      <c r="Z17" s="16" t="s">
        <v>935</v>
      </c>
      <c r="DA17" s="405" t="s">
        <v>5</v>
      </c>
      <c r="DB17" s="405" t="s">
        <v>363</v>
      </c>
      <c r="DC17" s="406" t="s">
        <v>85</v>
      </c>
      <c r="DD17" s="405" t="s">
        <v>917</v>
      </c>
      <c r="DE17" s="405" t="s">
        <v>5</v>
      </c>
      <c r="DF17" s="406" t="s">
        <v>85</v>
      </c>
      <c r="DG17" s="407">
        <v>45839</v>
      </c>
      <c r="DH17" s="405" t="s">
        <v>9596</v>
      </c>
      <c r="DI17" s="406">
        <v>465455</v>
      </c>
      <c r="DJ17" s="408">
        <v>5</v>
      </c>
      <c r="DK17" s="405">
        <v>1</v>
      </c>
      <c r="DL17" s="82">
        <v>332.47</v>
      </c>
      <c r="DM17" s="409">
        <v>1.6623500000000002</v>
      </c>
      <c r="DN17" s="82" t="s">
        <v>85</v>
      </c>
      <c r="DO17" s="82" t="s">
        <v>85</v>
      </c>
      <c r="DP17" s="410" t="s">
        <v>85</v>
      </c>
    </row>
    <row r="18" spans="1:120" x14ac:dyDescent="0.25">
      <c r="A18" s="16" t="s">
        <v>9599</v>
      </c>
      <c r="B18" s="16" t="s">
        <v>9600</v>
      </c>
      <c r="C18" s="16" t="s">
        <v>9601</v>
      </c>
      <c r="D18" s="16" t="s">
        <v>9519</v>
      </c>
      <c r="E18" s="16" t="s">
        <v>9602</v>
      </c>
      <c r="F18" s="16" t="s">
        <v>9603</v>
      </c>
      <c r="G18" s="16" t="s">
        <v>9604</v>
      </c>
      <c r="H18" s="16" t="s">
        <v>9605</v>
      </c>
      <c r="I18" s="16" t="s">
        <v>1090</v>
      </c>
      <c r="J18" s="16" t="s">
        <v>943</v>
      </c>
      <c r="K18" s="16" t="s">
        <v>1091</v>
      </c>
      <c r="L18" s="16" t="s">
        <v>85</v>
      </c>
      <c r="M18" s="16" t="s">
        <v>984</v>
      </c>
      <c r="N18" s="16" t="s">
        <v>914</v>
      </c>
      <c r="O18" s="16" t="s">
        <v>985</v>
      </c>
      <c r="P18" s="16" t="s">
        <v>914</v>
      </c>
      <c r="Q18" s="16" t="s">
        <v>985</v>
      </c>
      <c r="R18" s="16" t="s">
        <v>915</v>
      </c>
      <c r="S18" s="16" t="s">
        <v>915</v>
      </c>
      <c r="T18" s="16" t="s">
        <v>986</v>
      </c>
      <c r="U18" s="16" t="s">
        <v>987</v>
      </c>
      <c r="V18" s="16" t="s">
        <v>916</v>
      </c>
      <c r="W18" s="16" t="s">
        <v>987</v>
      </c>
      <c r="X18" s="16" t="s">
        <v>934</v>
      </c>
      <c r="Y18" s="16" t="s">
        <v>934</v>
      </c>
      <c r="Z18" s="16" t="s">
        <v>935</v>
      </c>
      <c r="DA18" s="405" t="s">
        <v>5</v>
      </c>
      <c r="DB18" s="405" t="s">
        <v>363</v>
      </c>
      <c r="DC18" s="406" t="s">
        <v>85</v>
      </c>
      <c r="DD18" s="405" t="s">
        <v>917</v>
      </c>
      <c r="DE18" s="405" t="s">
        <v>5</v>
      </c>
      <c r="DF18" s="406" t="s">
        <v>85</v>
      </c>
      <c r="DG18" s="407">
        <v>45839</v>
      </c>
      <c r="DH18" s="405" t="s">
        <v>9602</v>
      </c>
      <c r="DI18" s="406">
        <v>465455</v>
      </c>
      <c r="DJ18" s="408">
        <v>5</v>
      </c>
      <c r="DK18" s="405">
        <v>1</v>
      </c>
      <c r="DL18" s="82">
        <v>340.55</v>
      </c>
      <c r="DM18" s="409">
        <v>1.70275</v>
      </c>
      <c r="DN18" s="82" t="s">
        <v>85</v>
      </c>
      <c r="DO18" s="82" t="s">
        <v>85</v>
      </c>
      <c r="DP18" s="410" t="s">
        <v>85</v>
      </c>
    </row>
    <row r="19" spans="1:120" x14ac:dyDescent="0.25">
      <c r="A19" s="16" t="s">
        <v>9606</v>
      </c>
      <c r="B19" s="16" t="s">
        <v>9607</v>
      </c>
      <c r="C19" s="16" t="s">
        <v>9608</v>
      </c>
      <c r="D19" s="16" t="s">
        <v>9519</v>
      </c>
      <c r="E19" s="16" t="s">
        <v>9609</v>
      </c>
      <c r="F19" s="16" t="s">
        <v>9610</v>
      </c>
      <c r="G19" s="16" t="s">
        <v>9611</v>
      </c>
      <c r="H19" s="16" t="s">
        <v>9612</v>
      </c>
      <c r="I19" s="16" t="s">
        <v>5822</v>
      </c>
      <c r="J19" s="16" t="s">
        <v>1354</v>
      </c>
      <c r="K19" s="16" t="s">
        <v>5823</v>
      </c>
      <c r="L19" s="16" t="s">
        <v>85</v>
      </c>
      <c r="M19" s="16" t="s">
        <v>945</v>
      </c>
      <c r="N19" s="16" t="s">
        <v>914</v>
      </c>
      <c r="O19" s="16" t="s">
        <v>946</v>
      </c>
      <c r="P19" s="16" t="s">
        <v>914</v>
      </c>
      <c r="Q19" s="16" t="s">
        <v>946</v>
      </c>
      <c r="R19" s="16" t="s">
        <v>915</v>
      </c>
      <c r="S19" s="16" t="s">
        <v>915</v>
      </c>
      <c r="T19" s="16" t="s">
        <v>945</v>
      </c>
      <c r="U19" s="16" t="s">
        <v>947</v>
      </c>
      <c r="V19" s="16" t="s">
        <v>916</v>
      </c>
      <c r="W19" s="16" t="s">
        <v>947</v>
      </c>
      <c r="X19" s="16" t="s">
        <v>934</v>
      </c>
      <c r="Y19" s="16" t="s">
        <v>934</v>
      </c>
      <c r="Z19" s="16" t="s">
        <v>935</v>
      </c>
      <c r="DA19" s="405" t="s">
        <v>5</v>
      </c>
      <c r="DB19" s="405" t="s">
        <v>363</v>
      </c>
      <c r="DC19" s="406" t="s">
        <v>85</v>
      </c>
      <c r="DD19" s="405" t="s">
        <v>917</v>
      </c>
      <c r="DE19" s="405" t="s">
        <v>5</v>
      </c>
      <c r="DF19" s="406" t="s">
        <v>85</v>
      </c>
      <c r="DG19" s="407">
        <v>45839</v>
      </c>
      <c r="DH19" s="405" t="s">
        <v>9609</v>
      </c>
      <c r="DI19" s="406">
        <v>465455</v>
      </c>
      <c r="DJ19" s="408">
        <v>5</v>
      </c>
      <c r="DK19" s="405">
        <v>1</v>
      </c>
      <c r="DL19" s="82">
        <v>319.27</v>
      </c>
      <c r="DM19" s="409">
        <v>1.5963499999999999</v>
      </c>
      <c r="DN19" s="82" t="s">
        <v>85</v>
      </c>
      <c r="DO19" s="82" t="s">
        <v>85</v>
      </c>
      <c r="DP19" s="410" t="s">
        <v>85</v>
      </c>
    </row>
    <row r="20" spans="1:120" x14ac:dyDescent="0.25">
      <c r="A20" s="16" t="s">
        <v>9613</v>
      </c>
      <c r="B20" s="16" t="s">
        <v>9614</v>
      </c>
      <c r="C20" s="16" t="s">
        <v>9615</v>
      </c>
      <c r="D20" s="16" t="s">
        <v>9519</v>
      </c>
      <c r="E20" s="16" t="s">
        <v>9616</v>
      </c>
      <c r="F20" s="16" t="s">
        <v>9617</v>
      </c>
      <c r="G20" s="16" t="s">
        <v>9618</v>
      </c>
      <c r="H20" s="16" t="s">
        <v>9617</v>
      </c>
      <c r="I20" s="16" t="s">
        <v>1007</v>
      </c>
      <c r="J20" s="16" t="s">
        <v>928</v>
      </c>
      <c r="K20" s="16" t="s">
        <v>1008</v>
      </c>
      <c r="L20" s="16" t="s">
        <v>85</v>
      </c>
      <c r="M20" s="16" t="s">
        <v>2035</v>
      </c>
      <c r="N20" s="16" t="s">
        <v>914</v>
      </c>
      <c r="O20" s="16" t="s">
        <v>1323</v>
      </c>
      <c r="P20" s="16" t="s">
        <v>914</v>
      </c>
      <c r="Q20" s="16" t="s">
        <v>1323</v>
      </c>
      <c r="R20" s="16" t="s">
        <v>915</v>
      </c>
      <c r="S20" s="16" t="s">
        <v>915</v>
      </c>
      <c r="T20" s="16" t="s">
        <v>1322</v>
      </c>
      <c r="U20" s="16" t="s">
        <v>1324</v>
      </c>
      <c r="V20" s="16" t="s">
        <v>1763</v>
      </c>
      <c r="W20" s="16" t="s">
        <v>2036</v>
      </c>
      <c r="X20" s="16" t="s">
        <v>934</v>
      </c>
      <c r="Y20" s="16" t="s">
        <v>934</v>
      </c>
      <c r="Z20" s="16" t="s">
        <v>935</v>
      </c>
      <c r="DA20" s="405" t="s">
        <v>5</v>
      </c>
      <c r="DB20" s="405" t="s">
        <v>363</v>
      </c>
      <c r="DC20" s="406" t="s">
        <v>85</v>
      </c>
      <c r="DD20" s="405" t="s">
        <v>917</v>
      </c>
      <c r="DE20" s="405" t="s">
        <v>5</v>
      </c>
      <c r="DF20" s="406" t="s">
        <v>85</v>
      </c>
      <c r="DG20" s="407">
        <v>45839</v>
      </c>
      <c r="DH20" s="405" t="s">
        <v>9616</v>
      </c>
      <c r="DI20" s="406">
        <v>465455</v>
      </c>
      <c r="DJ20" s="408">
        <v>5</v>
      </c>
      <c r="DK20" s="405">
        <v>2</v>
      </c>
      <c r="DL20" s="82">
        <v>332.47</v>
      </c>
      <c r="DM20" s="409">
        <v>1.6623500000000002</v>
      </c>
      <c r="DN20" s="82" t="s">
        <v>85</v>
      </c>
      <c r="DO20" s="82" t="s">
        <v>85</v>
      </c>
      <c r="DP20" s="410" t="s">
        <v>85</v>
      </c>
    </row>
    <row r="21" spans="1:120" x14ac:dyDescent="0.25">
      <c r="A21" s="16" t="s">
        <v>9619</v>
      </c>
      <c r="B21" s="16" t="s">
        <v>9620</v>
      </c>
      <c r="C21" s="16" t="s">
        <v>9621</v>
      </c>
      <c r="D21" s="16" t="s">
        <v>9519</v>
      </c>
      <c r="E21" s="16" t="s">
        <v>9622</v>
      </c>
      <c r="F21" s="16" t="s">
        <v>9623</v>
      </c>
      <c r="G21" s="16" t="s">
        <v>9624</v>
      </c>
      <c r="H21" s="16" t="s">
        <v>9625</v>
      </c>
      <c r="I21" s="16" t="s">
        <v>1937</v>
      </c>
      <c r="J21" s="16" t="s">
        <v>1036</v>
      </c>
      <c r="K21" s="16" t="s">
        <v>1938</v>
      </c>
      <c r="L21" s="16" t="s">
        <v>85</v>
      </c>
      <c r="M21" s="16" t="s">
        <v>1216</v>
      </c>
      <c r="N21" s="16" t="s">
        <v>914</v>
      </c>
      <c r="O21" s="16" t="s">
        <v>946</v>
      </c>
      <c r="P21" s="16" t="s">
        <v>914</v>
      </c>
      <c r="Q21" s="16" t="s">
        <v>946</v>
      </c>
      <c r="R21" s="16" t="s">
        <v>915</v>
      </c>
      <c r="S21" s="16" t="s">
        <v>915</v>
      </c>
      <c r="T21" s="16" t="s">
        <v>1216</v>
      </c>
      <c r="U21" s="16" t="s">
        <v>1217</v>
      </c>
      <c r="V21" s="16" t="s">
        <v>916</v>
      </c>
      <c r="W21" s="16" t="s">
        <v>1217</v>
      </c>
      <c r="X21" s="16" t="s">
        <v>934</v>
      </c>
      <c r="Y21" s="16" t="s">
        <v>934</v>
      </c>
      <c r="Z21" s="16" t="s">
        <v>935</v>
      </c>
      <c r="DA21" s="405" t="s">
        <v>5</v>
      </c>
      <c r="DB21" s="405" t="s">
        <v>363</v>
      </c>
      <c r="DC21" s="406" t="s">
        <v>85</v>
      </c>
      <c r="DD21" s="405" t="s">
        <v>917</v>
      </c>
      <c r="DE21" s="405" t="s">
        <v>5</v>
      </c>
      <c r="DF21" s="406" t="s">
        <v>85</v>
      </c>
      <c r="DG21" s="407">
        <v>45839</v>
      </c>
      <c r="DH21" s="405" t="s">
        <v>9622</v>
      </c>
      <c r="DI21" s="406">
        <v>465455</v>
      </c>
      <c r="DJ21" s="408">
        <v>5</v>
      </c>
      <c r="DK21" s="405">
        <v>1</v>
      </c>
      <c r="DL21" s="82">
        <v>319.22000000000003</v>
      </c>
      <c r="DM21" s="409">
        <v>1.5961000000000001</v>
      </c>
      <c r="DN21" s="82" t="s">
        <v>85</v>
      </c>
      <c r="DO21" s="82" t="s">
        <v>85</v>
      </c>
      <c r="DP21" s="410" t="s">
        <v>85</v>
      </c>
    </row>
    <row r="22" spans="1:120" x14ac:dyDescent="0.25">
      <c r="A22" s="16" t="s">
        <v>9626</v>
      </c>
      <c r="B22" s="16" t="s">
        <v>9627</v>
      </c>
      <c r="C22" s="16" t="s">
        <v>9628</v>
      </c>
      <c r="D22" s="16" t="s">
        <v>9519</v>
      </c>
      <c r="E22" s="16" t="s">
        <v>9629</v>
      </c>
      <c r="F22" s="16" t="s">
        <v>9630</v>
      </c>
      <c r="G22" s="16" t="s">
        <v>9631</v>
      </c>
      <c r="H22" s="16" t="s">
        <v>9632</v>
      </c>
      <c r="I22" s="16" t="s">
        <v>1598</v>
      </c>
      <c r="J22" s="16" t="s">
        <v>995</v>
      </c>
      <c r="K22" s="16" t="s">
        <v>1599</v>
      </c>
      <c r="L22" s="16" t="s">
        <v>85</v>
      </c>
      <c r="M22" s="16" t="s">
        <v>1165</v>
      </c>
      <c r="N22" s="16" t="s">
        <v>914</v>
      </c>
      <c r="O22" s="16" t="s">
        <v>1166</v>
      </c>
      <c r="P22" s="16" t="s">
        <v>914</v>
      </c>
      <c r="Q22" s="16" t="s">
        <v>1166</v>
      </c>
      <c r="R22" s="16" t="s">
        <v>915</v>
      </c>
      <c r="S22" s="16" t="s">
        <v>915</v>
      </c>
      <c r="T22" s="16" t="s">
        <v>1167</v>
      </c>
      <c r="U22" s="16" t="s">
        <v>1168</v>
      </c>
      <c r="V22" s="16" t="s">
        <v>916</v>
      </c>
      <c r="W22" s="16" t="s">
        <v>1168</v>
      </c>
      <c r="X22" s="16" t="s">
        <v>934</v>
      </c>
      <c r="Y22" s="16" t="s">
        <v>934</v>
      </c>
      <c r="Z22" s="16" t="s">
        <v>935</v>
      </c>
      <c r="DA22" s="405" t="s">
        <v>5</v>
      </c>
      <c r="DB22" s="405" t="s">
        <v>363</v>
      </c>
      <c r="DC22" s="406" t="s">
        <v>85</v>
      </c>
      <c r="DD22" s="405" t="s">
        <v>917</v>
      </c>
      <c r="DE22" s="405" t="s">
        <v>5</v>
      </c>
      <c r="DF22" s="406" t="s">
        <v>85</v>
      </c>
      <c r="DG22" s="407">
        <v>45839</v>
      </c>
      <c r="DH22" s="405" t="s">
        <v>9629</v>
      </c>
      <c r="DI22" s="406">
        <v>465455</v>
      </c>
      <c r="DJ22" s="408">
        <v>5</v>
      </c>
      <c r="DK22" s="405">
        <v>1</v>
      </c>
      <c r="DL22" s="82">
        <v>468.28</v>
      </c>
      <c r="DM22" s="409">
        <v>2.3413999999999997</v>
      </c>
      <c r="DN22" s="82" t="s">
        <v>85</v>
      </c>
      <c r="DO22" s="82" t="s">
        <v>85</v>
      </c>
      <c r="DP22" s="410" t="s">
        <v>85</v>
      </c>
    </row>
    <row r="23" spans="1:120" x14ac:dyDescent="0.25">
      <c r="A23" s="16" t="s">
        <v>9633</v>
      </c>
      <c r="B23" s="16" t="s">
        <v>9634</v>
      </c>
      <c r="C23" s="16" t="s">
        <v>9635</v>
      </c>
      <c r="D23" s="16" t="s">
        <v>9519</v>
      </c>
      <c r="E23" s="16" t="s">
        <v>9636</v>
      </c>
      <c r="F23" s="16" t="s">
        <v>9637</v>
      </c>
      <c r="G23" s="16" t="s">
        <v>9638</v>
      </c>
      <c r="H23" s="16" t="s">
        <v>9639</v>
      </c>
      <c r="I23" s="16" t="s">
        <v>2653</v>
      </c>
      <c r="J23" s="16" t="s">
        <v>1123</v>
      </c>
      <c r="K23" s="16" t="s">
        <v>2654</v>
      </c>
      <c r="L23" s="16" t="s">
        <v>85</v>
      </c>
      <c r="M23" s="16" t="s">
        <v>1238</v>
      </c>
      <c r="N23" s="16" t="s">
        <v>914</v>
      </c>
      <c r="O23" s="16" t="s">
        <v>1239</v>
      </c>
      <c r="P23" s="16" t="s">
        <v>914</v>
      </c>
      <c r="Q23" s="16" t="s">
        <v>1239</v>
      </c>
      <c r="R23" s="16" t="s">
        <v>915</v>
      </c>
      <c r="S23" s="16" t="s">
        <v>915</v>
      </c>
      <c r="T23" s="16" t="s">
        <v>1238</v>
      </c>
      <c r="U23" s="16" t="s">
        <v>1240</v>
      </c>
      <c r="V23" s="16" t="s">
        <v>916</v>
      </c>
      <c r="W23" s="16" t="s">
        <v>1240</v>
      </c>
      <c r="X23" s="16" t="s">
        <v>934</v>
      </c>
      <c r="Y23" s="16" t="s">
        <v>934</v>
      </c>
      <c r="Z23" s="16" t="s">
        <v>935</v>
      </c>
      <c r="DA23" s="405" t="s">
        <v>5</v>
      </c>
      <c r="DB23" s="405" t="s">
        <v>363</v>
      </c>
      <c r="DC23" s="406" t="s">
        <v>85</v>
      </c>
      <c r="DD23" s="405" t="s">
        <v>917</v>
      </c>
      <c r="DE23" s="405" t="s">
        <v>5</v>
      </c>
      <c r="DF23" s="406" t="s">
        <v>85</v>
      </c>
      <c r="DG23" s="407">
        <v>45839</v>
      </c>
      <c r="DH23" s="405" t="s">
        <v>9636</v>
      </c>
      <c r="DI23" s="406">
        <v>465455</v>
      </c>
      <c r="DJ23" s="408">
        <v>5</v>
      </c>
      <c r="DK23" s="405">
        <v>1</v>
      </c>
      <c r="DL23" s="82">
        <v>383.16</v>
      </c>
      <c r="DM23" s="409">
        <v>1.9158000000000002</v>
      </c>
      <c r="DN23" s="82" t="s">
        <v>85</v>
      </c>
      <c r="DO23" s="82" t="s">
        <v>85</v>
      </c>
      <c r="DP23" s="410" t="s">
        <v>85</v>
      </c>
    </row>
    <row r="24" spans="1:120" x14ac:dyDescent="0.25">
      <c r="A24" s="16" t="s">
        <v>9640</v>
      </c>
      <c r="B24" s="16" t="s">
        <v>9641</v>
      </c>
      <c r="C24" s="16" t="s">
        <v>9642</v>
      </c>
      <c r="D24" s="16" t="s">
        <v>9519</v>
      </c>
      <c r="E24" s="16" t="s">
        <v>9643</v>
      </c>
      <c r="F24" s="16" t="s">
        <v>9644</v>
      </c>
      <c r="G24" s="16" t="s">
        <v>9645</v>
      </c>
      <c r="H24" s="16" t="s">
        <v>9646</v>
      </c>
      <c r="I24" s="16" t="s">
        <v>2830</v>
      </c>
      <c r="J24" s="16" t="s">
        <v>943</v>
      </c>
      <c r="K24" s="16" t="s">
        <v>2831</v>
      </c>
      <c r="L24" s="16" t="s">
        <v>85</v>
      </c>
      <c r="M24" s="16" t="s">
        <v>984</v>
      </c>
      <c r="N24" s="16" t="s">
        <v>914</v>
      </c>
      <c r="O24" s="16" t="s">
        <v>985</v>
      </c>
      <c r="P24" s="16" t="s">
        <v>914</v>
      </c>
      <c r="Q24" s="16" t="s">
        <v>985</v>
      </c>
      <c r="R24" s="16" t="s">
        <v>915</v>
      </c>
      <c r="S24" s="16" t="s">
        <v>915</v>
      </c>
      <c r="T24" s="16" t="s">
        <v>986</v>
      </c>
      <c r="U24" s="16" t="s">
        <v>987</v>
      </c>
      <c r="V24" s="16" t="s">
        <v>916</v>
      </c>
      <c r="W24" s="16" t="s">
        <v>987</v>
      </c>
      <c r="X24" s="16" t="s">
        <v>934</v>
      </c>
      <c r="Y24" s="16" t="s">
        <v>934</v>
      </c>
      <c r="Z24" s="16" t="s">
        <v>935</v>
      </c>
      <c r="DA24" s="405" t="s">
        <v>5</v>
      </c>
      <c r="DB24" s="405" t="s">
        <v>363</v>
      </c>
      <c r="DC24" s="406" t="s">
        <v>85</v>
      </c>
      <c r="DD24" s="405" t="s">
        <v>917</v>
      </c>
      <c r="DE24" s="405" t="s">
        <v>5</v>
      </c>
      <c r="DF24" s="406" t="s">
        <v>85</v>
      </c>
      <c r="DG24" s="407">
        <v>45839</v>
      </c>
      <c r="DH24" s="405" t="s">
        <v>9643</v>
      </c>
      <c r="DI24" s="406">
        <v>465455</v>
      </c>
      <c r="DJ24" s="408">
        <v>5</v>
      </c>
      <c r="DK24" s="405">
        <v>1</v>
      </c>
      <c r="DL24" s="82">
        <v>340.55</v>
      </c>
      <c r="DM24" s="409">
        <v>1.70275</v>
      </c>
      <c r="DN24" s="82" t="s">
        <v>85</v>
      </c>
      <c r="DO24" s="82" t="s">
        <v>85</v>
      </c>
      <c r="DP24" s="410" t="s">
        <v>85</v>
      </c>
    </row>
    <row r="25" spans="1:120" x14ac:dyDescent="0.25">
      <c r="A25" s="16" t="s">
        <v>9647</v>
      </c>
      <c r="B25" s="16" t="s">
        <v>9648</v>
      </c>
      <c r="C25" s="16" t="s">
        <v>9649</v>
      </c>
      <c r="D25" s="16" t="s">
        <v>9519</v>
      </c>
      <c r="E25" s="16" t="s">
        <v>9650</v>
      </c>
      <c r="F25" s="16" t="s">
        <v>9651</v>
      </c>
      <c r="G25" s="16" t="s">
        <v>9652</v>
      </c>
      <c r="H25" s="16" t="s">
        <v>9651</v>
      </c>
      <c r="I25" s="16" t="s">
        <v>9653</v>
      </c>
      <c r="J25" s="16" t="s">
        <v>928</v>
      </c>
      <c r="K25" s="16" t="s">
        <v>9654</v>
      </c>
      <c r="L25" s="16" t="s">
        <v>85</v>
      </c>
      <c r="M25" s="16" t="s">
        <v>1322</v>
      </c>
      <c r="N25" s="16" t="s">
        <v>914</v>
      </c>
      <c r="O25" s="16" t="s">
        <v>1323</v>
      </c>
      <c r="P25" s="16" t="s">
        <v>914</v>
      </c>
      <c r="Q25" s="16" t="s">
        <v>1323</v>
      </c>
      <c r="R25" s="16" t="s">
        <v>915</v>
      </c>
      <c r="S25" s="16" t="s">
        <v>915</v>
      </c>
      <c r="T25" s="16" t="s">
        <v>1322</v>
      </c>
      <c r="U25" s="16" t="s">
        <v>1324</v>
      </c>
      <c r="V25" s="16" t="s">
        <v>916</v>
      </c>
      <c r="W25" s="16" t="s">
        <v>1324</v>
      </c>
      <c r="X25" s="16" t="s">
        <v>934</v>
      </c>
      <c r="Y25" s="16" t="s">
        <v>934</v>
      </c>
      <c r="Z25" s="16" t="s">
        <v>935</v>
      </c>
      <c r="DA25" s="405" t="s">
        <v>5</v>
      </c>
      <c r="DB25" s="405" t="s">
        <v>363</v>
      </c>
      <c r="DC25" s="406" t="s">
        <v>85</v>
      </c>
      <c r="DD25" s="405" t="s">
        <v>917</v>
      </c>
      <c r="DE25" s="405" t="s">
        <v>5</v>
      </c>
      <c r="DF25" s="406" t="s">
        <v>85</v>
      </c>
      <c r="DG25" s="407">
        <v>45839</v>
      </c>
      <c r="DH25" s="405" t="s">
        <v>9650</v>
      </c>
      <c r="DI25" s="406">
        <v>465455</v>
      </c>
      <c r="DJ25" s="408">
        <v>5</v>
      </c>
      <c r="DK25" s="405">
        <v>1</v>
      </c>
      <c r="DL25" s="82">
        <v>332.47</v>
      </c>
      <c r="DM25" s="409">
        <v>1.6623500000000002</v>
      </c>
      <c r="DN25" s="82" t="s">
        <v>85</v>
      </c>
      <c r="DO25" s="82" t="s">
        <v>85</v>
      </c>
      <c r="DP25" s="410" t="s">
        <v>85</v>
      </c>
    </row>
    <row r="26" spans="1:120" x14ac:dyDescent="0.25">
      <c r="A26" s="16" t="s">
        <v>9655</v>
      </c>
      <c r="B26" s="16" t="s">
        <v>9656</v>
      </c>
      <c r="C26" s="16" t="s">
        <v>9657</v>
      </c>
      <c r="D26" s="16" t="s">
        <v>9519</v>
      </c>
      <c r="E26" s="16" t="s">
        <v>9658</v>
      </c>
      <c r="F26" s="16" t="s">
        <v>9659</v>
      </c>
      <c r="G26" s="16" t="s">
        <v>9660</v>
      </c>
      <c r="H26" s="16" t="s">
        <v>9659</v>
      </c>
      <c r="I26" s="16" t="s">
        <v>4273</v>
      </c>
      <c r="J26" s="16" t="s">
        <v>943</v>
      </c>
      <c r="K26" s="16" t="s">
        <v>4274</v>
      </c>
      <c r="L26" s="16" t="s">
        <v>85</v>
      </c>
      <c r="M26" s="16" t="s">
        <v>984</v>
      </c>
      <c r="N26" s="16" t="s">
        <v>914</v>
      </c>
      <c r="O26" s="16" t="s">
        <v>985</v>
      </c>
      <c r="P26" s="16" t="s">
        <v>914</v>
      </c>
      <c r="Q26" s="16" t="s">
        <v>985</v>
      </c>
      <c r="R26" s="16" t="s">
        <v>915</v>
      </c>
      <c r="S26" s="16" t="s">
        <v>915</v>
      </c>
      <c r="T26" s="16" t="s">
        <v>986</v>
      </c>
      <c r="U26" s="16" t="s">
        <v>987</v>
      </c>
      <c r="V26" s="16" t="s">
        <v>916</v>
      </c>
      <c r="W26" s="16" t="s">
        <v>987</v>
      </c>
      <c r="X26" s="16" t="s">
        <v>934</v>
      </c>
      <c r="Y26" s="16" t="s">
        <v>934</v>
      </c>
      <c r="Z26" s="16" t="s">
        <v>935</v>
      </c>
      <c r="DA26" s="405" t="s">
        <v>5</v>
      </c>
      <c r="DB26" s="405" t="s">
        <v>363</v>
      </c>
      <c r="DC26" s="406" t="s">
        <v>85</v>
      </c>
      <c r="DD26" s="405" t="s">
        <v>917</v>
      </c>
      <c r="DE26" s="405" t="s">
        <v>5</v>
      </c>
      <c r="DF26" s="406" t="s">
        <v>85</v>
      </c>
      <c r="DG26" s="407">
        <v>45839</v>
      </c>
      <c r="DH26" s="405" t="s">
        <v>9658</v>
      </c>
      <c r="DI26" s="406">
        <v>465455</v>
      </c>
      <c r="DJ26" s="408">
        <v>5</v>
      </c>
      <c r="DK26" s="405">
        <v>1</v>
      </c>
      <c r="DL26" s="82">
        <v>340.55</v>
      </c>
      <c r="DM26" s="409">
        <v>1.70275</v>
      </c>
      <c r="DN26" s="82" t="s">
        <v>85</v>
      </c>
      <c r="DO26" s="82" t="s">
        <v>85</v>
      </c>
      <c r="DP26" s="410" t="s">
        <v>85</v>
      </c>
    </row>
    <row r="27" spans="1:120" x14ac:dyDescent="0.25">
      <c r="A27" s="16" t="s">
        <v>9661</v>
      </c>
      <c r="B27" s="16" t="s">
        <v>9662</v>
      </c>
      <c r="C27" s="16" t="s">
        <v>9663</v>
      </c>
      <c r="D27" s="16" t="s">
        <v>9519</v>
      </c>
      <c r="E27" s="16" t="s">
        <v>9664</v>
      </c>
      <c r="F27" s="16" t="s">
        <v>9665</v>
      </c>
      <c r="G27" s="16" t="s">
        <v>9666</v>
      </c>
      <c r="H27" s="16" t="s">
        <v>9665</v>
      </c>
      <c r="I27" s="16" t="s">
        <v>5129</v>
      </c>
      <c r="J27" s="16" t="s">
        <v>1354</v>
      </c>
      <c r="K27" s="16" t="s">
        <v>5130</v>
      </c>
      <c r="L27" s="16" t="s">
        <v>85</v>
      </c>
      <c r="M27" s="16" t="s">
        <v>945</v>
      </c>
      <c r="N27" s="16" t="s">
        <v>914</v>
      </c>
      <c r="O27" s="16" t="s">
        <v>946</v>
      </c>
      <c r="P27" s="16" t="s">
        <v>914</v>
      </c>
      <c r="Q27" s="16" t="s">
        <v>946</v>
      </c>
      <c r="R27" s="16" t="s">
        <v>915</v>
      </c>
      <c r="S27" s="16" t="s">
        <v>915</v>
      </c>
      <c r="T27" s="16" t="s">
        <v>945</v>
      </c>
      <c r="U27" s="16" t="s">
        <v>947</v>
      </c>
      <c r="V27" s="16" t="s">
        <v>916</v>
      </c>
      <c r="W27" s="16" t="s">
        <v>947</v>
      </c>
      <c r="X27" s="16" t="s">
        <v>934</v>
      </c>
      <c r="Y27" s="16" t="s">
        <v>934</v>
      </c>
      <c r="Z27" s="16" t="s">
        <v>935</v>
      </c>
      <c r="DA27" s="405" t="s">
        <v>5</v>
      </c>
      <c r="DB27" s="405" t="s">
        <v>363</v>
      </c>
      <c r="DC27" s="406" t="s">
        <v>85</v>
      </c>
      <c r="DD27" s="405" t="s">
        <v>917</v>
      </c>
      <c r="DE27" s="405" t="s">
        <v>5</v>
      </c>
      <c r="DF27" s="406" t="s">
        <v>85</v>
      </c>
      <c r="DG27" s="407">
        <v>45839</v>
      </c>
      <c r="DH27" s="405" t="s">
        <v>9664</v>
      </c>
      <c r="DI27" s="406">
        <v>465455</v>
      </c>
      <c r="DJ27" s="408">
        <v>5</v>
      </c>
      <c r="DK27" s="405">
        <v>1</v>
      </c>
      <c r="DL27" s="82">
        <v>319.27</v>
      </c>
      <c r="DM27" s="409">
        <v>1.5963499999999999</v>
      </c>
      <c r="DN27" s="82" t="s">
        <v>85</v>
      </c>
      <c r="DO27" s="82" t="s">
        <v>85</v>
      </c>
      <c r="DP27" s="410" t="s">
        <v>85</v>
      </c>
    </row>
    <row r="28" spans="1:120" x14ac:dyDescent="0.25">
      <c r="A28" s="16" t="s">
        <v>9667</v>
      </c>
      <c r="B28" s="16" t="s">
        <v>9668</v>
      </c>
      <c r="C28" s="16" t="s">
        <v>9669</v>
      </c>
      <c r="D28" s="16" t="s">
        <v>9519</v>
      </c>
      <c r="E28" s="16" t="s">
        <v>9670</v>
      </c>
      <c r="F28" s="16" t="s">
        <v>9671</v>
      </c>
      <c r="G28" s="16" t="s">
        <v>9672</v>
      </c>
      <c r="H28" s="16" t="s">
        <v>9673</v>
      </c>
      <c r="I28" s="16" t="s">
        <v>9674</v>
      </c>
      <c r="J28" s="16" t="s">
        <v>1359</v>
      </c>
      <c r="K28" s="16" t="s">
        <v>9675</v>
      </c>
      <c r="L28" s="16" t="s">
        <v>85</v>
      </c>
      <c r="M28" s="16" t="s">
        <v>1350</v>
      </c>
      <c r="N28" s="16" t="s">
        <v>914</v>
      </c>
      <c r="O28" s="16" t="s">
        <v>1351</v>
      </c>
      <c r="P28" s="16" t="s">
        <v>914</v>
      </c>
      <c r="Q28" s="16" t="s">
        <v>1351</v>
      </c>
      <c r="R28" s="16" t="s">
        <v>915</v>
      </c>
      <c r="S28" s="16" t="s">
        <v>915</v>
      </c>
      <c r="T28" s="16" t="s">
        <v>1352</v>
      </c>
      <c r="U28" s="16" t="s">
        <v>1353</v>
      </c>
      <c r="V28" s="16" t="s">
        <v>916</v>
      </c>
      <c r="W28" s="16" t="s">
        <v>1353</v>
      </c>
      <c r="X28" s="16" t="s">
        <v>934</v>
      </c>
      <c r="Y28" s="16" t="s">
        <v>934</v>
      </c>
      <c r="Z28" s="16" t="s">
        <v>935</v>
      </c>
      <c r="DA28" s="405" t="s">
        <v>5</v>
      </c>
      <c r="DB28" s="405" t="s">
        <v>363</v>
      </c>
      <c r="DC28" s="406" t="s">
        <v>85</v>
      </c>
      <c r="DD28" s="405" t="s">
        <v>917</v>
      </c>
      <c r="DE28" s="405" t="s">
        <v>5</v>
      </c>
      <c r="DF28" s="406" t="s">
        <v>85</v>
      </c>
      <c r="DG28" s="407">
        <v>45839</v>
      </c>
      <c r="DH28" s="405" t="s">
        <v>9670</v>
      </c>
      <c r="DI28" s="406">
        <v>465455</v>
      </c>
      <c r="DJ28" s="408">
        <v>5</v>
      </c>
      <c r="DK28" s="405">
        <v>1</v>
      </c>
      <c r="DL28" s="82">
        <v>303.3</v>
      </c>
      <c r="DM28" s="409">
        <v>1.5165000000000002</v>
      </c>
      <c r="DN28" s="82" t="s">
        <v>85</v>
      </c>
      <c r="DO28" s="82" t="s">
        <v>85</v>
      </c>
      <c r="DP28" s="410" t="s">
        <v>85</v>
      </c>
    </row>
    <row r="29" spans="1:120" x14ac:dyDescent="0.25">
      <c r="A29" s="16" t="s">
        <v>9676</v>
      </c>
      <c r="B29" s="16" t="s">
        <v>9677</v>
      </c>
      <c r="C29" s="16" t="s">
        <v>9678</v>
      </c>
      <c r="D29" s="16" t="s">
        <v>9519</v>
      </c>
      <c r="E29" s="16" t="s">
        <v>9679</v>
      </c>
      <c r="F29" s="16" t="s">
        <v>9680</v>
      </c>
      <c r="G29" s="16" t="s">
        <v>9681</v>
      </c>
      <c r="H29" s="16" t="s">
        <v>9682</v>
      </c>
      <c r="I29" s="16" t="s">
        <v>1377</v>
      </c>
      <c r="J29" s="16" t="s">
        <v>943</v>
      </c>
      <c r="K29" s="16" t="s">
        <v>1378</v>
      </c>
      <c r="L29" s="16" t="s">
        <v>85</v>
      </c>
      <c r="M29" s="16" t="s">
        <v>984</v>
      </c>
      <c r="N29" s="16" t="s">
        <v>914</v>
      </c>
      <c r="O29" s="16" t="s">
        <v>985</v>
      </c>
      <c r="P29" s="16" t="s">
        <v>914</v>
      </c>
      <c r="Q29" s="16" t="s">
        <v>985</v>
      </c>
      <c r="R29" s="16" t="s">
        <v>915</v>
      </c>
      <c r="S29" s="16" t="s">
        <v>915</v>
      </c>
      <c r="T29" s="16" t="s">
        <v>986</v>
      </c>
      <c r="U29" s="16" t="s">
        <v>987</v>
      </c>
      <c r="V29" s="16" t="s">
        <v>916</v>
      </c>
      <c r="W29" s="16" t="s">
        <v>987</v>
      </c>
      <c r="X29" s="16" t="s">
        <v>934</v>
      </c>
      <c r="Y29" s="16" t="s">
        <v>934</v>
      </c>
      <c r="Z29" s="16" t="s">
        <v>935</v>
      </c>
      <c r="DA29" s="405" t="s">
        <v>5</v>
      </c>
      <c r="DB29" s="405" t="s">
        <v>363</v>
      </c>
      <c r="DC29" s="406" t="s">
        <v>85</v>
      </c>
      <c r="DD29" s="405" t="s">
        <v>917</v>
      </c>
      <c r="DE29" s="405" t="s">
        <v>5</v>
      </c>
      <c r="DF29" s="406" t="s">
        <v>85</v>
      </c>
      <c r="DG29" s="407">
        <v>45839</v>
      </c>
      <c r="DH29" s="405" t="s">
        <v>9679</v>
      </c>
      <c r="DI29" s="406">
        <v>465455</v>
      </c>
      <c r="DJ29" s="408">
        <v>5</v>
      </c>
      <c r="DK29" s="405">
        <v>1</v>
      </c>
      <c r="DL29" s="82">
        <v>340.55</v>
      </c>
      <c r="DM29" s="409">
        <v>1.70275</v>
      </c>
      <c r="DN29" s="82" t="s">
        <v>85</v>
      </c>
      <c r="DO29" s="82" t="s">
        <v>85</v>
      </c>
      <c r="DP29" s="410" t="s">
        <v>85</v>
      </c>
    </row>
    <row r="30" spans="1:120" x14ac:dyDescent="0.25">
      <c r="A30" s="16" t="s">
        <v>9683</v>
      </c>
      <c r="B30" s="16" t="s">
        <v>9684</v>
      </c>
      <c r="C30" s="16" t="s">
        <v>9685</v>
      </c>
      <c r="D30" s="16" t="s">
        <v>9519</v>
      </c>
      <c r="E30" s="16" t="s">
        <v>9686</v>
      </c>
      <c r="F30" s="16" t="s">
        <v>9687</v>
      </c>
      <c r="G30" s="16" t="s">
        <v>9688</v>
      </c>
      <c r="H30" s="16" t="s">
        <v>9687</v>
      </c>
      <c r="I30" s="16" t="s">
        <v>1638</v>
      </c>
      <c r="J30" s="16" t="s">
        <v>943</v>
      </c>
      <c r="K30" s="16" t="s">
        <v>1639</v>
      </c>
      <c r="L30" s="16" t="s">
        <v>85</v>
      </c>
      <c r="M30" s="16" t="s">
        <v>984</v>
      </c>
      <c r="N30" s="16" t="s">
        <v>914</v>
      </c>
      <c r="O30" s="16" t="s">
        <v>985</v>
      </c>
      <c r="P30" s="16" t="s">
        <v>914</v>
      </c>
      <c r="Q30" s="16" t="s">
        <v>985</v>
      </c>
      <c r="R30" s="16" t="s">
        <v>915</v>
      </c>
      <c r="S30" s="16" t="s">
        <v>915</v>
      </c>
      <c r="T30" s="16" t="s">
        <v>986</v>
      </c>
      <c r="U30" s="16" t="s">
        <v>987</v>
      </c>
      <c r="V30" s="16" t="s">
        <v>916</v>
      </c>
      <c r="W30" s="16" t="s">
        <v>987</v>
      </c>
      <c r="X30" s="16" t="s">
        <v>934</v>
      </c>
      <c r="Y30" s="16" t="s">
        <v>934</v>
      </c>
      <c r="Z30" s="16" t="s">
        <v>935</v>
      </c>
      <c r="DA30" s="405" t="s">
        <v>5</v>
      </c>
      <c r="DB30" s="405" t="s">
        <v>363</v>
      </c>
      <c r="DC30" s="406" t="s">
        <v>85</v>
      </c>
      <c r="DD30" s="405" t="s">
        <v>917</v>
      </c>
      <c r="DE30" s="405" t="s">
        <v>5</v>
      </c>
      <c r="DF30" s="406" t="s">
        <v>85</v>
      </c>
      <c r="DG30" s="407">
        <v>45839</v>
      </c>
      <c r="DH30" s="405" t="s">
        <v>9686</v>
      </c>
      <c r="DI30" s="406">
        <v>465455</v>
      </c>
      <c r="DJ30" s="408">
        <v>5</v>
      </c>
      <c r="DK30" s="405">
        <v>1</v>
      </c>
      <c r="DL30" s="82">
        <v>340.55</v>
      </c>
      <c r="DM30" s="409">
        <v>1.70275</v>
      </c>
      <c r="DN30" s="82" t="s">
        <v>85</v>
      </c>
      <c r="DO30" s="82" t="s">
        <v>85</v>
      </c>
      <c r="DP30" s="410" t="s">
        <v>85</v>
      </c>
    </row>
    <row r="31" spans="1:120" x14ac:dyDescent="0.25">
      <c r="A31" s="16" t="s">
        <v>9689</v>
      </c>
      <c r="B31" s="16" t="s">
        <v>9690</v>
      </c>
      <c r="C31" s="16" t="s">
        <v>9691</v>
      </c>
      <c r="D31" s="16" t="s">
        <v>9519</v>
      </c>
      <c r="E31" s="16" t="s">
        <v>9692</v>
      </c>
      <c r="F31" s="16" t="s">
        <v>9693</v>
      </c>
      <c r="G31" s="16" t="s">
        <v>9694</v>
      </c>
      <c r="H31" s="16" t="s">
        <v>9693</v>
      </c>
      <c r="I31" s="16" t="s">
        <v>9695</v>
      </c>
      <c r="J31" s="16" t="s">
        <v>2044</v>
      </c>
      <c r="K31" s="16" t="s">
        <v>9696</v>
      </c>
      <c r="L31" s="16" t="s">
        <v>85</v>
      </c>
      <c r="M31" s="16" t="s">
        <v>2046</v>
      </c>
      <c r="N31" s="16" t="s">
        <v>914</v>
      </c>
      <c r="O31" s="16" t="s">
        <v>1239</v>
      </c>
      <c r="P31" s="16" t="s">
        <v>914</v>
      </c>
      <c r="Q31" s="16" t="s">
        <v>1239</v>
      </c>
      <c r="R31" s="16" t="s">
        <v>915</v>
      </c>
      <c r="S31" s="16" t="s">
        <v>915</v>
      </c>
      <c r="T31" s="16" t="s">
        <v>2047</v>
      </c>
      <c r="U31" s="16" t="s">
        <v>2048</v>
      </c>
      <c r="V31" s="16" t="s">
        <v>916</v>
      </c>
      <c r="W31" s="16" t="s">
        <v>2048</v>
      </c>
      <c r="X31" s="16" t="s">
        <v>934</v>
      </c>
      <c r="Y31" s="16" t="s">
        <v>934</v>
      </c>
      <c r="Z31" s="16" t="s">
        <v>935</v>
      </c>
      <c r="DA31" s="405" t="s">
        <v>5</v>
      </c>
      <c r="DB31" s="405" t="s">
        <v>363</v>
      </c>
      <c r="DC31" s="406" t="s">
        <v>85</v>
      </c>
      <c r="DD31" s="405" t="s">
        <v>917</v>
      </c>
      <c r="DE31" s="405" t="s">
        <v>5</v>
      </c>
      <c r="DF31" s="406" t="s">
        <v>85</v>
      </c>
      <c r="DG31" s="407">
        <v>45839</v>
      </c>
      <c r="DH31" s="405" t="s">
        <v>9692</v>
      </c>
      <c r="DI31" s="406">
        <v>465455</v>
      </c>
      <c r="DJ31" s="408">
        <v>5</v>
      </c>
      <c r="DK31" s="405">
        <v>1</v>
      </c>
      <c r="DL31" s="82">
        <v>383.08</v>
      </c>
      <c r="DM31" s="409">
        <v>1.9154</v>
      </c>
      <c r="DN31" s="82" t="s">
        <v>85</v>
      </c>
      <c r="DO31" s="82" t="s">
        <v>85</v>
      </c>
      <c r="DP31" s="410" t="s">
        <v>85</v>
      </c>
    </row>
    <row r="32" spans="1:120" x14ac:dyDescent="0.25">
      <c r="A32" s="16" t="s">
        <v>9697</v>
      </c>
      <c r="B32" s="16" t="s">
        <v>9698</v>
      </c>
      <c r="C32" s="16" t="s">
        <v>9699</v>
      </c>
      <c r="D32" s="16" t="s">
        <v>9519</v>
      </c>
      <c r="E32" s="16" t="s">
        <v>9700</v>
      </c>
      <c r="F32" s="16" t="s">
        <v>9701</v>
      </c>
      <c r="G32" s="16" t="s">
        <v>9702</v>
      </c>
      <c r="H32" s="16" t="s">
        <v>9703</v>
      </c>
      <c r="I32" s="16" t="s">
        <v>1719</v>
      </c>
      <c r="J32" s="16" t="s">
        <v>943</v>
      </c>
      <c r="K32" s="16" t="s">
        <v>1720</v>
      </c>
      <c r="L32" s="16" t="s">
        <v>85</v>
      </c>
      <c r="M32" s="16" t="s">
        <v>984</v>
      </c>
      <c r="N32" s="16" t="s">
        <v>914</v>
      </c>
      <c r="O32" s="16" t="s">
        <v>985</v>
      </c>
      <c r="P32" s="16" t="s">
        <v>914</v>
      </c>
      <c r="Q32" s="16" t="s">
        <v>985</v>
      </c>
      <c r="R32" s="16" t="s">
        <v>915</v>
      </c>
      <c r="S32" s="16" t="s">
        <v>915</v>
      </c>
      <c r="T32" s="16" t="s">
        <v>986</v>
      </c>
      <c r="U32" s="16" t="s">
        <v>987</v>
      </c>
      <c r="V32" s="16" t="s">
        <v>916</v>
      </c>
      <c r="W32" s="16" t="s">
        <v>987</v>
      </c>
      <c r="X32" s="16" t="s">
        <v>934</v>
      </c>
      <c r="Y32" s="16" t="s">
        <v>934</v>
      </c>
      <c r="Z32" s="16" t="s">
        <v>935</v>
      </c>
      <c r="DA32" s="405" t="s">
        <v>5</v>
      </c>
      <c r="DB32" s="405" t="s">
        <v>363</v>
      </c>
      <c r="DC32" s="406" t="s">
        <v>85</v>
      </c>
      <c r="DD32" s="405" t="s">
        <v>917</v>
      </c>
      <c r="DE32" s="405" t="s">
        <v>5</v>
      </c>
      <c r="DF32" s="406" t="s">
        <v>85</v>
      </c>
      <c r="DG32" s="407">
        <v>45839</v>
      </c>
      <c r="DH32" s="405" t="s">
        <v>9700</v>
      </c>
      <c r="DI32" s="406">
        <v>465455</v>
      </c>
      <c r="DJ32" s="408">
        <v>5</v>
      </c>
      <c r="DK32" s="405">
        <v>1</v>
      </c>
      <c r="DL32" s="82">
        <v>340.55</v>
      </c>
      <c r="DM32" s="409">
        <v>1.70275</v>
      </c>
      <c r="DN32" s="82" t="s">
        <v>85</v>
      </c>
      <c r="DO32" s="82" t="s">
        <v>85</v>
      </c>
      <c r="DP32" s="410" t="s">
        <v>85</v>
      </c>
    </row>
    <row r="33" spans="1:120" x14ac:dyDescent="0.25">
      <c r="A33" s="16" t="s">
        <v>9704</v>
      </c>
      <c r="B33" s="16" t="s">
        <v>9705</v>
      </c>
      <c r="C33" s="16" t="s">
        <v>9706</v>
      </c>
      <c r="D33" s="16" t="s">
        <v>9519</v>
      </c>
      <c r="E33" s="16" t="s">
        <v>9707</v>
      </c>
      <c r="F33" s="16" t="s">
        <v>9708</v>
      </c>
      <c r="G33" s="16" t="s">
        <v>9709</v>
      </c>
      <c r="H33" s="16" t="s">
        <v>9710</v>
      </c>
      <c r="I33" s="16" t="s">
        <v>1937</v>
      </c>
      <c r="J33" s="16" t="s">
        <v>1036</v>
      </c>
      <c r="K33" s="16" t="s">
        <v>1938</v>
      </c>
      <c r="L33" s="16" t="s">
        <v>85</v>
      </c>
      <c r="M33" s="16" t="s">
        <v>1216</v>
      </c>
      <c r="N33" s="16" t="s">
        <v>914</v>
      </c>
      <c r="O33" s="16" t="s">
        <v>946</v>
      </c>
      <c r="P33" s="16" t="s">
        <v>914</v>
      </c>
      <c r="Q33" s="16" t="s">
        <v>946</v>
      </c>
      <c r="R33" s="16" t="s">
        <v>915</v>
      </c>
      <c r="S33" s="16" t="s">
        <v>915</v>
      </c>
      <c r="T33" s="16" t="s">
        <v>1216</v>
      </c>
      <c r="U33" s="16" t="s">
        <v>1217</v>
      </c>
      <c r="V33" s="16" t="s">
        <v>916</v>
      </c>
      <c r="W33" s="16" t="s">
        <v>1217</v>
      </c>
      <c r="X33" s="16" t="s">
        <v>934</v>
      </c>
      <c r="Y33" s="16" t="s">
        <v>934</v>
      </c>
      <c r="Z33" s="16" t="s">
        <v>935</v>
      </c>
      <c r="DA33" s="405" t="s">
        <v>5</v>
      </c>
      <c r="DB33" s="405" t="s">
        <v>363</v>
      </c>
      <c r="DC33" s="406" t="s">
        <v>85</v>
      </c>
      <c r="DD33" s="405" t="s">
        <v>917</v>
      </c>
      <c r="DE33" s="405" t="s">
        <v>5</v>
      </c>
      <c r="DF33" s="406" t="s">
        <v>85</v>
      </c>
      <c r="DG33" s="407">
        <v>45839</v>
      </c>
      <c r="DH33" s="405" t="s">
        <v>9707</v>
      </c>
      <c r="DI33" s="406">
        <v>465455</v>
      </c>
      <c r="DJ33" s="408">
        <v>5</v>
      </c>
      <c r="DK33" s="405">
        <v>1</v>
      </c>
      <c r="DL33" s="82">
        <v>319.22000000000003</v>
      </c>
      <c r="DM33" s="409">
        <v>1.5961000000000001</v>
      </c>
      <c r="DN33" s="82" t="s">
        <v>85</v>
      </c>
      <c r="DO33" s="82" t="s">
        <v>85</v>
      </c>
      <c r="DP33" s="410" t="s">
        <v>85</v>
      </c>
    </row>
    <row r="34" spans="1:120" x14ac:dyDescent="0.25">
      <c r="A34" s="16" t="s">
        <v>9711</v>
      </c>
      <c r="B34" s="16" t="s">
        <v>9712</v>
      </c>
      <c r="C34" s="16" t="s">
        <v>9713</v>
      </c>
      <c r="D34" s="16" t="s">
        <v>9519</v>
      </c>
      <c r="E34" s="16" t="s">
        <v>9714</v>
      </c>
      <c r="F34" s="16" t="s">
        <v>9715</v>
      </c>
      <c r="G34" s="16" t="s">
        <v>9716</v>
      </c>
      <c r="H34" s="16" t="s">
        <v>9717</v>
      </c>
      <c r="I34" s="16" t="s">
        <v>4858</v>
      </c>
      <c r="J34" s="16" t="s">
        <v>2600</v>
      </c>
      <c r="K34" s="16" t="s">
        <v>4859</v>
      </c>
      <c r="L34" s="16" t="s">
        <v>85</v>
      </c>
      <c r="M34" s="16" t="s">
        <v>1955</v>
      </c>
      <c r="N34" s="16" t="s">
        <v>914</v>
      </c>
      <c r="O34" s="16" t="s">
        <v>1039</v>
      </c>
      <c r="P34" s="16" t="s">
        <v>914</v>
      </c>
      <c r="Q34" s="16" t="s">
        <v>1039</v>
      </c>
      <c r="R34" s="16" t="s">
        <v>915</v>
      </c>
      <c r="S34" s="16" t="s">
        <v>915</v>
      </c>
      <c r="T34" s="16" t="s">
        <v>1955</v>
      </c>
      <c r="U34" s="16" t="s">
        <v>1956</v>
      </c>
      <c r="V34" s="16" t="s">
        <v>916</v>
      </c>
      <c r="W34" s="16" t="s">
        <v>1956</v>
      </c>
      <c r="X34" s="16" t="s">
        <v>934</v>
      </c>
      <c r="Y34" s="16" t="s">
        <v>934</v>
      </c>
      <c r="Z34" s="16" t="s">
        <v>935</v>
      </c>
      <c r="DA34" s="405" t="s">
        <v>5</v>
      </c>
      <c r="DB34" s="405" t="s">
        <v>363</v>
      </c>
      <c r="DC34" s="406" t="s">
        <v>85</v>
      </c>
      <c r="DD34" s="405" t="s">
        <v>917</v>
      </c>
      <c r="DE34" s="405" t="s">
        <v>5</v>
      </c>
      <c r="DF34" s="406" t="s">
        <v>85</v>
      </c>
      <c r="DG34" s="407">
        <v>45839</v>
      </c>
      <c r="DH34" s="405" t="s">
        <v>9714</v>
      </c>
      <c r="DI34" s="406">
        <v>465455</v>
      </c>
      <c r="DJ34" s="408">
        <v>5</v>
      </c>
      <c r="DK34" s="405">
        <v>1</v>
      </c>
      <c r="DL34" s="82">
        <v>311.2</v>
      </c>
      <c r="DM34" s="409">
        <v>1.556</v>
      </c>
      <c r="DN34" s="82" t="s">
        <v>85</v>
      </c>
      <c r="DO34" s="82" t="s">
        <v>85</v>
      </c>
      <c r="DP34" s="410" t="s">
        <v>85</v>
      </c>
    </row>
    <row r="35" spans="1:120" x14ac:dyDescent="0.25">
      <c r="A35" s="16" t="s">
        <v>9711</v>
      </c>
      <c r="B35" s="16" t="s">
        <v>9712</v>
      </c>
      <c r="C35" s="16" t="s">
        <v>9713</v>
      </c>
      <c r="D35" s="16" t="s">
        <v>9519</v>
      </c>
      <c r="E35" s="16" t="s">
        <v>9714</v>
      </c>
      <c r="F35" s="16" t="s">
        <v>9715</v>
      </c>
      <c r="G35" s="16" t="s">
        <v>9716</v>
      </c>
      <c r="H35" s="16" t="s">
        <v>9717</v>
      </c>
      <c r="I35" s="16" t="s">
        <v>9718</v>
      </c>
      <c r="J35" s="16" t="s">
        <v>9135</v>
      </c>
      <c r="K35" s="16" t="s">
        <v>9719</v>
      </c>
      <c r="L35" s="16" t="s">
        <v>85</v>
      </c>
      <c r="M35" s="16" t="s">
        <v>1955</v>
      </c>
      <c r="N35" s="16" t="s">
        <v>914</v>
      </c>
      <c r="O35" s="16" t="s">
        <v>1039</v>
      </c>
      <c r="P35" s="16" t="s">
        <v>914</v>
      </c>
      <c r="Q35" s="16" t="s">
        <v>1039</v>
      </c>
      <c r="R35" s="16" t="s">
        <v>915</v>
      </c>
      <c r="S35" s="16" t="s">
        <v>915</v>
      </c>
      <c r="T35" s="16" t="s">
        <v>1955</v>
      </c>
      <c r="U35" s="16" t="s">
        <v>1956</v>
      </c>
      <c r="V35" s="16" t="s">
        <v>916</v>
      </c>
      <c r="W35" s="16" t="s">
        <v>1956</v>
      </c>
      <c r="X35" s="16" t="s">
        <v>934</v>
      </c>
      <c r="Y35" s="16" t="s">
        <v>934</v>
      </c>
      <c r="Z35" s="16" t="s">
        <v>935</v>
      </c>
      <c r="DA35" s="405" t="s">
        <v>5</v>
      </c>
      <c r="DB35" s="405" t="s">
        <v>363</v>
      </c>
      <c r="DC35" s="406" t="s">
        <v>85</v>
      </c>
      <c r="DD35" s="405" t="s">
        <v>917</v>
      </c>
      <c r="DE35" s="405" t="s">
        <v>5</v>
      </c>
      <c r="DF35" s="406" t="s">
        <v>85</v>
      </c>
      <c r="DG35" s="407">
        <v>45839</v>
      </c>
      <c r="DH35" s="405" t="s">
        <v>9714</v>
      </c>
      <c r="DI35" s="406">
        <v>465455</v>
      </c>
      <c r="DJ35" s="408">
        <v>5</v>
      </c>
      <c r="DK35" s="405">
        <v>1</v>
      </c>
      <c r="DL35" s="82">
        <v>311.2</v>
      </c>
      <c r="DM35" s="409">
        <v>1.556</v>
      </c>
      <c r="DN35" s="82" t="s">
        <v>85</v>
      </c>
      <c r="DO35" s="82" t="s">
        <v>85</v>
      </c>
      <c r="DP35" s="410" t="s">
        <v>85</v>
      </c>
    </row>
    <row r="36" spans="1:120" x14ac:dyDescent="0.25">
      <c r="A36" s="16" t="s">
        <v>9720</v>
      </c>
      <c r="B36" s="16" t="s">
        <v>9721</v>
      </c>
      <c r="C36" s="16" t="s">
        <v>9722</v>
      </c>
      <c r="D36" s="16" t="s">
        <v>9519</v>
      </c>
      <c r="E36" s="16" t="s">
        <v>9723</v>
      </c>
      <c r="F36" s="16" t="s">
        <v>9724</v>
      </c>
      <c r="G36" s="16" t="s">
        <v>9725</v>
      </c>
      <c r="H36" s="16" t="s">
        <v>9726</v>
      </c>
      <c r="I36" s="16" t="s">
        <v>1781</v>
      </c>
      <c r="J36" s="16" t="s">
        <v>995</v>
      </c>
      <c r="K36" s="16" t="s">
        <v>1782</v>
      </c>
      <c r="L36" s="16" t="s">
        <v>85</v>
      </c>
      <c r="M36" s="16" t="s">
        <v>1165</v>
      </c>
      <c r="N36" s="16" t="s">
        <v>914</v>
      </c>
      <c r="O36" s="16" t="s">
        <v>1166</v>
      </c>
      <c r="P36" s="16" t="s">
        <v>914</v>
      </c>
      <c r="Q36" s="16" t="s">
        <v>1166</v>
      </c>
      <c r="R36" s="16" t="s">
        <v>915</v>
      </c>
      <c r="S36" s="16" t="s">
        <v>915</v>
      </c>
      <c r="T36" s="16" t="s">
        <v>1167</v>
      </c>
      <c r="U36" s="16" t="s">
        <v>1168</v>
      </c>
      <c r="V36" s="16" t="s">
        <v>916</v>
      </c>
      <c r="W36" s="16" t="s">
        <v>1168</v>
      </c>
      <c r="X36" s="16" t="s">
        <v>934</v>
      </c>
      <c r="Y36" s="16" t="s">
        <v>934</v>
      </c>
      <c r="Z36" s="16" t="s">
        <v>935</v>
      </c>
      <c r="DA36" s="405" t="s">
        <v>5</v>
      </c>
      <c r="DB36" s="405" t="s">
        <v>363</v>
      </c>
      <c r="DC36" s="406" t="s">
        <v>85</v>
      </c>
      <c r="DD36" s="405" t="s">
        <v>917</v>
      </c>
      <c r="DE36" s="405" t="s">
        <v>5</v>
      </c>
      <c r="DF36" s="406" t="s">
        <v>85</v>
      </c>
      <c r="DG36" s="407">
        <v>45839</v>
      </c>
      <c r="DH36" s="405" t="s">
        <v>9723</v>
      </c>
      <c r="DI36" s="406">
        <v>465455</v>
      </c>
      <c r="DJ36" s="408">
        <v>5</v>
      </c>
      <c r="DK36" s="405">
        <v>1</v>
      </c>
      <c r="DL36" s="82">
        <v>468.28</v>
      </c>
      <c r="DM36" s="409">
        <v>2.3413999999999997</v>
      </c>
      <c r="DN36" s="82" t="s">
        <v>85</v>
      </c>
      <c r="DO36" s="82" t="s">
        <v>85</v>
      </c>
      <c r="DP36" s="410" t="s">
        <v>85</v>
      </c>
    </row>
    <row r="37" spans="1:120" x14ac:dyDescent="0.25">
      <c r="A37" s="16" t="s">
        <v>9727</v>
      </c>
      <c r="B37" s="16" t="s">
        <v>9728</v>
      </c>
      <c r="C37" s="16" t="s">
        <v>9729</v>
      </c>
      <c r="D37" s="16" t="s">
        <v>9519</v>
      </c>
      <c r="E37" s="16" t="s">
        <v>9730</v>
      </c>
      <c r="F37" s="16" t="s">
        <v>9731</v>
      </c>
      <c r="G37" s="16" t="s">
        <v>9732</v>
      </c>
      <c r="H37" s="16" t="s">
        <v>9731</v>
      </c>
      <c r="I37" s="16" t="s">
        <v>1368</v>
      </c>
      <c r="J37" s="16" t="s">
        <v>1123</v>
      </c>
      <c r="K37" s="16" t="s">
        <v>1369</v>
      </c>
      <c r="L37" s="16" t="s">
        <v>85</v>
      </c>
      <c r="M37" s="16" t="s">
        <v>1238</v>
      </c>
      <c r="N37" s="16" t="s">
        <v>914</v>
      </c>
      <c r="O37" s="16" t="s">
        <v>1239</v>
      </c>
      <c r="P37" s="16" t="s">
        <v>914</v>
      </c>
      <c r="Q37" s="16" t="s">
        <v>1239</v>
      </c>
      <c r="R37" s="16" t="s">
        <v>915</v>
      </c>
      <c r="S37" s="16" t="s">
        <v>915</v>
      </c>
      <c r="T37" s="16" t="s">
        <v>1238</v>
      </c>
      <c r="U37" s="16" t="s">
        <v>1240</v>
      </c>
      <c r="V37" s="16" t="s">
        <v>916</v>
      </c>
      <c r="W37" s="16" t="s">
        <v>1240</v>
      </c>
      <c r="X37" s="16" t="s">
        <v>934</v>
      </c>
      <c r="Y37" s="16" t="s">
        <v>934</v>
      </c>
      <c r="Z37" s="16" t="s">
        <v>935</v>
      </c>
      <c r="DA37" s="405" t="s">
        <v>5</v>
      </c>
      <c r="DB37" s="405" t="s">
        <v>363</v>
      </c>
      <c r="DC37" s="406" t="s">
        <v>85</v>
      </c>
      <c r="DD37" s="405" t="s">
        <v>917</v>
      </c>
      <c r="DE37" s="405" t="s">
        <v>5</v>
      </c>
      <c r="DF37" s="406" t="s">
        <v>85</v>
      </c>
      <c r="DG37" s="407">
        <v>45839</v>
      </c>
      <c r="DH37" s="405" t="s">
        <v>9730</v>
      </c>
      <c r="DI37" s="406">
        <v>465455</v>
      </c>
      <c r="DJ37" s="408">
        <v>5</v>
      </c>
      <c r="DK37" s="405">
        <v>1</v>
      </c>
      <c r="DL37" s="82">
        <v>383.16</v>
      </c>
      <c r="DM37" s="409">
        <v>1.9158000000000002</v>
      </c>
      <c r="DN37" s="82" t="s">
        <v>85</v>
      </c>
      <c r="DO37" s="82" t="s">
        <v>85</v>
      </c>
      <c r="DP37" s="410" t="s">
        <v>85</v>
      </c>
    </row>
    <row r="38" spans="1:120" x14ac:dyDescent="0.25">
      <c r="A38" s="16" t="s">
        <v>9733</v>
      </c>
      <c r="B38" s="16" t="s">
        <v>9734</v>
      </c>
      <c r="C38" s="16" t="s">
        <v>9735</v>
      </c>
      <c r="D38" s="16" t="s">
        <v>9519</v>
      </c>
      <c r="E38" s="16" t="s">
        <v>9736</v>
      </c>
      <c r="F38" s="16" t="s">
        <v>9737</v>
      </c>
      <c r="G38" s="16" t="s">
        <v>9738</v>
      </c>
      <c r="H38" s="16" t="s">
        <v>9737</v>
      </c>
      <c r="I38" s="16" t="s">
        <v>1377</v>
      </c>
      <c r="J38" s="16" t="s">
        <v>943</v>
      </c>
      <c r="K38" s="16" t="s">
        <v>1378</v>
      </c>
      <c r="L38" s="16" t="s">
        <v>85</v>
      </c>
      <c r="M38" s="16" t="s">
        <v>984</v>
      </c>
      <c r="N38" s="16" t="s">
        <v>914</v>
      </c>
      <c r="O38" s="16" t="s">
        <v>985</v>
      </c>
      <c r="P38" s="16" t="s">
        <v>914</v>
      </c>
      <c r="Q38" s="16" t="s">
        <v>985</v>
      </c>
      <c r="R38" s="16" t="s">
        <v>915</v>
      </c>
      <c r="S38" s="16" t="s">
        <v>915</v>
      </c>
      <c r="T38" s="16" t="s">
        <v>986</v>
      </c>
      <c r="U38" s="16" t="s">
        <v>987</v>
      </c>
      <c r="V38" s="16" t="s">
        <v>916</v>
      </c>
      <c r="W38" s="16" t="s">
        <v>987</v>
      </c>
      <c r="X38" s="16" t="s">
        <v>934</v>
      </c>
      <c r="Y38" s="16" t="s">
        <v>934</v>
      </c>
      <c r="Z38" s="16" t="s">
        <v>935</v>
      </c>
      <c r="DA38" s="405" t="s">
        <v>5</v>
      </c>
      <c r="DB38" s="405" t="s">
        <v>363</v>
      </c>
      <c r="DC38" s="406" t="s">
        <v>85</v>
      </c>
      <c r="DD38" s="405" t="s">
        <v>917</v>
      </c>
      <c r="DE38" s="405" t="s">
        <v>5</v>
      </c>
      <c r="DF38" s="406" t="s">
        <v>85</v>
      </c>
      <c r="DG38" s="407">
        <v>45839</v>
      </c>
      <c r="DH38" s="405" t="s">
        <v>9736</v>
      </c>
      <c r="DI38" s="406">
        <v>465455</v>
      </c>
      <c r="DJ38" s="408">
        <v>5</v>
      </c>
      <c r="DK38" s="405">
        <v>1</v>
      </c>
      <c r="DL38" s="82">
        <v>340.55</v>
      </c>
      <c r="DM38" s="409">
        <v>1.70275</v>
      </c>
      <c r="DN38" s="82" t="s">
        <v>85</v>
      </c>
      <c r="DO38" s="82" t="s">
        <v>85</v>
      </c>
      <c r="DP38" s="410" t="s">
        <v>85</v>
      </c>
    </row>
    <row r="39" spans="1:120" x14ac:dyDescent="0.25">
      <c r="A39" s="16" t="s">
        <v>9739</v>
      </c>
      <c r="B39" s="16" t="s">
        <v>9740</v>
      </c>
      <c r="C39" s="16" t="s">
        <v>9741</v>
      </c>
      <c r="D39" s="16" t="s">
        <v>9519</v>
      </c>
      <c r="E39" s="16" t="s">
        <v>9742</v>
      </c>
      <c r="F39" s="16" t="s">
        <v>9743</v>
      </c>
      <c r="G39" s="16" t="s">
        <v>9744</v>
      </c>
      <c r="H39" s="16" t="s">
        <v>9743</v>
      </c>
      <c r="I39" s="16" t="s">
        <v>2876</v>
      </c>
      <c r="J39" s="16" t="s">
        <v>995</v>
      </c>
      <c r="K39" s="16" t="s">
        <v>2877</v>
      </c>
      <c r="L39" s="16" t="s">
        <v>85</v>
      </c>
      <c r="M39" s="16" t="s">
        <v>1165</v>
      </c>
      <c r="N39" s="16" t="s">
        <v>914</v>
      </c>
      <c r="O39" s="16" t="s">
        <v>1166</v>
      </c>
      <c r="P39" s="16" t="s">
        <v>914</v>
      </c>
      <c r="Q39" s="16" t="s">
        <v>1166</v>
      </c>
      <c r="R39" s="16" t="s">
        <v>915</v>
      </c>
      <c r="S39" s="16" t="s">
        <v>915</v>
      </c>
      <c r="T39" s="16" t="s">
        <v>1167</v>
      </c>
      <c r="U39" s="16" t="s">
        <v>1168</v>
      </c>
      <c r="V39" s="16" t="s">
        <v>916</v>
      </c>
      <c r="W39" s="16" t="s">
        <v>1168</v>
      </c>
      <c r="X39" s="16" t="s">
        <v>934</v>
      </c>
      <c r="Y39" s="16" t="s">
        <v>934</v>
      </c>
      <c r="Z39" s="16" t="s">
        <v>935</v>
      </c>
      <c r="DA39" s="405" t="s">
        <v>5</v>
      </c>
      <c r="DB39" s="405" t="s">
        <v>363</v>
      </c>
      <c r="DC39" s="406" t="s">
        <v>85</v>
      </c>
      <c r="DD39" s="405" t="s">
        <v>917</v>
      </c>
      <c r="DE39" s="405" t="s">
        <v>5</v>
      </c>
      <c r="DF39" s="406" t="s">
        <v>85</v>
      </c>
      <c r="DG39" s="407">
        <v>45839</v>
      </c>
      <c r="DH39" s="405" t="s">
        <v>9742</v>
      </c>
      <c r="DI39" s="406">
        <v>465455</v>
      </c>
      <c r="DJ39" s="408">
        <v>5</v>
      </c>
      <c r="DK39" s="405">
        <v>1</v>
      </c>
      <c r="DL39" s="82">
        <v>468.28</v>
      </c>
      <c r="DM39" s="409">
        <v>2.3413999999999997</v>
      </c>
      <c r="DN39" s="82" t="s">
        <v>85</v>
      </c>
      <c r="DO39" s="82" t="s">
        <v>85</v>
      </c>
      <c r="DP39" s="410" t="s">
        <v>85</v>
      </c>
    </row>
    <row r="40" spans="1:120" x14ac:dyDescent="0.25">
      <c r="A40" s="16" t="s">
        <v>9745</v>
      </c>
      <c r="B40" s="16" t="s">
        <v>9746</v>
      </c>
      <c r="C40" s="16" t="s">
        <v>9747</v>
      </c>
      <c r="D40" s="16" t="s">
        <v>9519</v>
      </c>
      <c r="E40" s="16" t="s">
        <v>9748</v>
      </c>
      <c r="F40" s="16" t="s">
        <v>9749</v>
      </c>
      <c r="G40" s="16" t="s">
        <v>9750</v>
      </c>
      <c r="H40" s="16" t="s">
        <v>9751</v>
      </c>
      <c r="I40" s="16" t="s">
        <v>2091</v>
      </c>
      <c r="J40" s="16" t="s">
        <v>928</v>
      </c>
      <c r="K40" s="16" t="s">
        <v>2092</v>
      </c>
      <c r="L40" s="16" t="s">
        <v>85</v>
      </c>
      <c r="M40" s="16" t="s">
        <v>1322</v>
      </c>
      <c r="N40" s="16" t="s">
        <v>914</v>
      </c>
      <c r="O40" s="16" t="s">
        <v>1323</v>
      </c>
      <c r="P40" s="16" t="s">
        <v>914</v>
      </c>
      <c r="Q40" s="16" t="s">
        <v>1323</v>
      </c>
      <c r="R40" s="16" t="s">
        <v>915</v>
      </c>
      <c r="S40" s="16" t="s">
        <v>915</v>
      </c>
      <c r="T40" s="16" t="s">
        <v>1322</v>
      </c>
      <c r="U40" s="16" t="s">
        <v>1324</v>
      </c>
      <c r="V40" s="16" t="s">
        <v>916</v>
      </c>
      <c r="W40" s="16" t="s">
        <v>1324</v>
      </c>
      <c r="X40" s="16" t="s">
        <v>934</v>
      </c>
      <c r="Y40" s="16" t="s">
        <v>934</v>
      </c>
      <c r="Z40" s="16" t="s">
        <v>935</v>
      </c>
      <c r="DA40" s="405" t="s">
        <v>5</v>
      </c>
      <c r="DB40" s="405" t="s">
        <v>363</v>
      </c>
      <c r="DC40" s="406" t="s">
        <v>85</v>
      </c>
      <c r="DD40" s="405" t="s">
        <v>917</v>
      </c>
      <c r="DE40" s="405" t="s">
        <v>5</v>
      </c>
      <c r="DF40" s="406" t="s">
        <v>85</v>
      </c>
      <c r="DG40" s="407">
        <v>45839</v>
      </c>
      <c r="DH40" s="405" t="s">
        <v>9748</v>
      </c>
      <c r="DI40" s="406">
        <v>465455</v>
      </c>
      <c r="DJ40" s="408">
        <v>5</v>
      </c>
      <c r="DK40" s="405">
        <v>1</v>
      </c>
      <c r="DL40" s="82">
        <v>332.47</v>
      </c>
      <c r="DM40" s="409">
        <v>1.6623500000000002</v>
      </c>
      <c r="DN40" s="82" t="s">
        <v>85</v>
      </c>
      <c r="DO40" s="82" t="s">
        <v>85</v>
      </c>
      <c r="DP40" s="410" t="s">
        <v>85</v>
      </c>
    </row>
    <row r="41" spans="1:120" x14ac:dyDescent="0.25">
      <c r="A41" s="16" t="s">
        <v>9752</v>
      </c>
      <c r="B41" s="16" t="s">
        <v>9753</v>
      </c>
      <c r="C41" s="16" t="s">
        <v>9754</v>
      </c>
      <c r="D41" s="16" t="s">
        <v>9519</v>
      </c>
      <c r="E41" s="16" t="s">
        <v>9755</v>
      </c>
      <c r="F41" s="16" t="s">
        <v>9756</v>
      </c>
      <c r="G41" s="16" t="s">
        <v>9757</v>
      </c>
      <c r="H41" s="16" t="s">
        <v>9758</v>
      </c>
      <c r="I41" s="16" t="s">
        <v>2974</v>
      </c>
      <c r="J41" s="16" t="s">
        <v>1123</v>
      </c>
      <c r="K41" s="16" t="s">
        <v>2975</v>
      </c>
      <c r="L41" s="16" t="s">
        <v>85</v>
      </c>
      <c r="M41" s="16" t="s">
        <v>1238</v>
      </c>
      <c r="N41" s="16" t="s">
        <v>914</v>
      </c>
      <c r="O41" s="16" t="s">
        <v>1239</v>
      </c>
      <c r="P41" s="16" t="s">
        <v>914</v>
      </c>
      <c r="Q41" s="16" t="s">
        <v>1239</v>
      </c>
      <c r="R41" s="16" t="s">
        <v>915</v>
      </c>
      <c r="S41" s="16" t="s">
        <v>915</v>
      </c>
      <c r="T41" s="16" t="s">
        <v>1238</v>
      </c>
      <c r="U41" s="16" t="s">
        <v>1240</v>
      </c>
      <c r="V41" s="16" t="s">
        <v>916</v>
      </c>
      <c r="W41" s="16" t="s">
        <v>1240</v>
      </c>
      <c r="X41" s="16" t="s">
        <v>934</v>
      </c>
      <c r="Y41" s="16" t="s">
        <v>934</v>
      </c>
      <c r="Z41" s="16" t="s">
        <v>935</v>
      </c>
      <c r="DA41" s="405" t="s">
        <v>5</v>
      </c>
      <c r="DB41" s="405" t="s">
        <v>363</v>
      </c>
      <c r="DC41" s="406" t="s">
        <v>85</v>
      </c>
      <c r="DD41" s="405" t="s">
        <v>917</v>
      </c>
      <c r="DE41" s="405" t="s">
        <v>5</v>
      </c>
      <c r="DF41" s="406" t="s">
        <v>85</v>
      </c>
      <c r="DG41" s="407">
        <v>45839</v>
      </c>
      <c r="DH41" s="405" t="s">
        <v>9755</v>
      </c>
      <c r="DI41" s="406">
        <v>465455</v>
      </c>
      <c r="DJ41" s="408">
        <v>5</v>
      </c>
      <c r="DK41" s="405">
        <v>1</v>
      </c>
      <c r="DL41" s="82">
        <v>383.16</v>
      </c>
      <c r="DM41" s="409">
        <v>1.9158000000000002</v>
      </c>
      <c r="DN41" s="82" t="s">
        <v>85</v>
      </c>
      <c r="DO41" s="82" t="s">
        <v>85</v>
      </c>
      <c r="DP41" s="410" t="s">
        <v>85</v>
      </c>
    </row>
    <row r="42" spans="1:120" x14ac:dyDescent="0.25">
      <c r="A42" s="16" t="s">
        <v>9759</v>
      </c>
      <c r="B42" s="16" t="s">
        <v>9760</v>
      </c>
      <c r="C42" s="16" t="s">
        <v>9761</v>
      </c>
      <c r="D42" s="16" t="s">
        <v>9519</v>
      </c>
      <c r="E42" s="16" t="s">
        <v>9762</v>
      </c>
      <c r="F42" s="16" t="s">
        <v>9763</v>
      </c>
      <c r="G42" s="16" t="s">
        <v>9764</v>
      </c>
      <c r="H42" s="16" t="s">
        <v>9765</v>
      </c>
      <c r="I42" s="16" t="s">
        <v>1809</v>
      </c>
      <c r="J42" s="16" t="s">
        <v>928</v>
      </c>
      <c r="K42" s="16" t="s">
        <v>1810</v>
      </c>
      <c r="L42" s="16" t="s">
        <v>85</v>
      </c>
      <c r="M42" s="16" t="s">
        <v>1322</v>
      </c>
      <c r="N42" s="16" t="s">
        <v>914</v>
      </c>
      <c r="O42" s="16" t="s">
        <v>1323</v>
      </c>
      <c r="P42" s="16" t="s">
        <v>914</v>
      </c>
      <c r="Q42" s="16" t="s">
        <v>1323</v>
      </c>
      <c r="R42" s="16" t="s">
        <v>915</v>
      </c>
      <c r="S42" s="16" t="s">
        <v>915</v>
      </c>
      <c r="T42" s="16" t="s">
        <v>1322</v>
      </c>
      <c r="U42" s="16" t="s">
        <v>1324</v>
      </c>
      <c r="V42" s="16" t="s">
        <v>916</v>
      </c>
      <c r="W42" s="16" t="s">
        <v>1324</v>
      </c>
      <c r="X42" s="16" t="s">
        <v>934</v>
      </c>
      <c r="Y42" s="16" t="s">
        <v>934</v>
      </c>
      <c r="Z42" s="16" t="s">
        <v>935</v>
      </c>
      <c r="DA42" s="405" t="s">
        <v>5</v>
      </c>
      <c r="DB42" s="405" t="s">
        <v>363</v>
      </c>
      <c r="DC42" s="406" t="s">
        <v>85</v>
      </c>
      <c r="DD42" s="405" t="s">
        <v>917</v>
      </c>
      <c r="DE42" s="405" t="s">
        <v>5</v>
      </c>
      <c r="DF42" s="406" t="s">
        <v>85</v>
      </c>
      <c r="DG42" s="407">
        <v>45839</v>
      </c>
      <c r="DH42" s="405" t="s">
        <v>9762</v>
      </c>
      <c r="DI42" s="406">
        <v>465455</v>
      </c>
      <c r="DJ42" s="408">
        <v>5</v>
      </c>
      <c r="DK42" s="405">
        <v>1</v>
      </c>
      <c r="DL42" s="82">
        <v>332.47</v>
      </c>
      <c r="DM42" s="409">
        <v>1.6623500000000002</v>
      </c>
      <c r="DN42" s="82" t="s">
        <v>85</v>
      </c>
      <c r="DO42" s="82" t="s">
        <v>85</v>
      </c>
      <c r="DP42" s="410" t="s">
        <v>85</v>
      </c>
    </row>
    <row r="43" spans="1:120" x14ac:dyDescent="0.25">
      <c r="A43" s="16" t="s">
        <v>9766</v>
      </c>
      <c r="B43" s="16" t="s">
        <v>9767</v>
      </c>
      <c r="C43" s="16" t="s">
        <v>9768</v>
      </c>
      <c r="D43" s="16" t="s">
        <v>9519</v>
      </c>
      <c r="E43" s="16" t="s">
        <v>9769</v>
      </c>
      <c r="F43" s="16" t="s">
        <v>9770</v>
      </c>
      <c r="G43" s="16" t="s">
        <v>9771</v>
      </c>
      <c r="H43" s="16" t="s">
        <v>9772</v>
      </c>
      <c r="I43" s="16" t="s">
        <v>6831</v>
      </c>
      <c r="J43" s="16" t="s">
        <v>1123</v>
      </c>
      <c r="K43" s="16" t="s">
        <v>6832</v>
      </c>
      <c r="L43" s="16" t="s">
        <v>85</v>
      </c>
      <c r="M43" s="16" t="s">
        <v>1238</v>
      </c>
      <c r="N43" s="16" t="s">
        <v>914</v>
      </c>
      <c r="O43" s="16" t="s">
        <v>1239</v>
      </c>
      <c r="P43" s="16" t="s">
        <v>914</v>
      </c>
      <c r="Q43" s="16" t="s">
        <v>1239</v>
      </c>
      <c r="R43" s="16" t="s">
        <v>915</v>
      </c>
      <c r="S43" s="16" t="s">
        <v>915</v>
      </c>
      <c r="T43" s="16" t="s">
        <v>1238</v>
      </c>
      <c r="U43" s="16" t="s">
        <v>1240</v>
      </c>
      <c r="V43" s="16" t="s">
        <v>916</v>
      </c>
      <c r="W43" s="16" t="s">
        <v>1240</v>
      </c>
      <c r="X43" s="16" t="s">
        <v>934</v>
      </c>
      <c r="Y43" s="16" t="s">
        <v>934</v>
      </c>
      <c r="Z43" s="16" t="s">
        <v>935</v>
      </c>
      <c r="DA43" s="405" t="s">
        <v>5</v>
      </c>
      <c r="DB43" s="405" t="s">
        <v>363</v>
      </c>
      <c r="DC43" s="406" t="s">
        <v>85</v>
      </c>
      <c r="DD43" s="405" t="s">
        <v>917</v>
      </c>
      <c r="DE43" s="405" t="s">
        <v>5</v>
      </c>
      <c r="DF43" s="406" t="s">
        <v>85</v>
      </c>
      <c r="DG43" s="407">
        <v>45839</v>
      </c>
      <c r="DH43" s="405" t="s">
        <v>9769</v>
      </c>
      <c r="DI43" s="406">
        <v>465455</v>
      </c>
      <c r="DJ43" s="408">
        <v>5</v>
      </c>
      <c r="DK43" s="405">
        <v>1</v>
      </c>
      <c r="DL43" s="82">
        <v>383.16</v>
      </c>
      <c r="DM43" s="409">
        <v>1.9158000000000002</v>
      </c>
      <c r="DN43" s="82" t="s">
        <v>85</v>
      </c>
      <c r="DO43" s="82" t="s">
        <v>85</v>
      </c>
      <c r="DP43" s="410" t="s">
        <v>85</v>
      </c>
    </row>
    <row r="44" spans="1:120" x14ac:dyDescent="0.25">
      <c r="A44" s="16" t="s">
        <v>9773</v>
      </c>
      <c r="B44" s="16" t="s">
        <v>9774</v>
      </c>
      <c r="C44" s="16" t="s">
        <v>9775</v>
      </c>
      <c r="D44" s="16" t="s">
        <v>9519</v>
      </c>
      <c r="E44" s="16" t="s">
        <v>9776</v>
      </c>
      <c r="F44" s="16" t="s">
        <v>9777</v>
      </c>
      <c r="G44" s="16" t="s">
        <v>9778</v>
      </c>
      <c r="H44" s="16" t="s">
        <v>9777</v>
      </c>
      <c r="I44" s="16" t="s">
        <v>1547</v>
      </c>
      <c r="J44" s="16" t="s">
        <v>943</v>
      </c>
      <c r="K44" s="16" t="s">
        <v>1548</v>
      </c>
      <c r="L44" s="16" t="s">
        <v>85</v>
      </c>
      <c r="M44" s="16" t="s">
        <v>984</v>
      </c>
      <c r="N44" s="16" t="s">
        <v>914</v>
      </c>
      <c r="O44" s="16" t="s">
        <v>985</v>
      </c>
      <c r="P44" s="16" t="s">
        <v>914</v>
      </c>
      <c r="Q44" s="16" t="s">
        <v>985</v>
      </c>
      <c r="R44" s="16" t="s">
        <v>915</v>
      </c>
      <c r="S44" s="16" t="s">
        <v>915</v>
      </c>
      <c r="T44" s="16" t="s">
        <v>986</v>
      </c>
      <c r="U44" s="16" t="s">
        <v>987</v>
      </c>
      <c r="V44" s="16" t="s">
        <v>916</v>
      </c>
      <c r="W44" s="16" t="s">
        <v>987</v>
      </c>
      <c r="X44" s="16" t="s">
        <v>934</v>
      </c>
      <c r="Y44" s="16" t="s">
        <v>934</v>
      </c>
      <c r="Z44" s="16" t="s">
        <v>935</v>
      </c>
      <c r="DA44" s="405" t="s">
        <v>5</v>
      </c>
      <c r="DB44" s="405" t="s">
        <v>363</v>
      </c>
      <c r="DC44" s="406" t="s">
        <v>85</v>
      </c>
      <c r="DD44" s="405" t="s">
        <v>917</v>
      </c>
      <c r="DE44" s="405" t="s">
        <v>5</v>
      </c>
      <c r="DF44" s="406" t="s">
        <v>85</v>
      </c>
      <c r="DG44" s="407">
        <v>45839</v>
      </c>
      <c r="DH44" s="405" t="s">
        <v>9776</v>
      </c>
      <c r="DI44" s="406">
        <v>465455</v>
      </c>
      <c r="DJ44" s="408">
        <v>5</v>
      </c>
      <c r="DK44" s="405">
        <v>1</v>
      </c>
      <c r="DL44" s="82">
        <v>340.55</v>
      </c>
      <c r="DM44" s="409">
        <v>1.70275</v>
      </c>
      <c r="DN44" s="82" t="s">
        <v>85</v>
      </c>
      <c r="DO44" s="82" t="s">
        <v>85</v>
      </c>
      <c r="DP44" s="410" t="s">
        <v>85</v>
      </c>
    </row>
    <row r="45" spans="1:120" x14ac:dyDescent="0.25">
      <c r="A45" s="16" t="s">
        <v>9779</v>
      </c>
      <c r="B45" s="16" t="s">
        <v>9780</v>
      </c>
      <c r="C45" s="16" t="s">
        <v>9781</v>
      </c>
      <c r="D45" s="16" t="s">
        <v>9519</v>
      </c>
      <c r="E45" s="16" t="s">
        <v>9782</v>
      </c>
      <c r="F45" s="16" t="s">
        <v>9783</v>
      </c>
      <c r="G45" s="16" t="s">
        <v>9784</v>
      </c>
      <c r="H45" s="16" t="s">
        <v>9785</v>
      </c>
      <c r="I45" s="16" t="s">
        <v>1248</v>
      </c>
      <c r="J45" s="16" t="s">
        <v>995</v>
      </c>
      <c r="K45" s="16" t="s">
        <v>1249</v>
      </c>
      <c r="L45" s="16" t="s">
        <v>85</v>
      </c>
      <c r="M45" s="16" t="s">
        <v>1165</v>
      </c>
      <c r="N45" s="16" t="s">
        <v>914</v>
      </c>
      <c r="O45" s="16" t="s">
        <v>1166</v>
      </c>
      <c r="P45" s="16" t="s">
        <v>914</v>
      </c>
      <c r="Q45" s="16" t="s">
        <v>1166</v>
      </c>
      <c r="R45" s="16" t="s">
        <v>915</v>
      </c>
      <c r="S45" s="16" t="s">
        <v>915</v>
      </c>
      <c r="T45" s="16" t="s">
        <v>1167</v>
      </c>
      <c r="U45" s="16" t="s">
        <v>1168</v>
      </c>
      <c r="V45" s="16" t="s">
        <v>916</v>
      </c>
      <c r="W45" s="16" t="s">
        <v>1168</v>
      </c>
      <c r="X45" s="16" t="s">
        <v>934</v>
      </c>
      <c r="Y45" s="16" t="s">
        <v>934</v>
      </c>
      <c r="Z45" s="16" t="s">
        <v>935</v>
      </c>
      <c r="DA45" s="405" t="s">
        <v>5</v>
      </c>
      <c r="DB45" s="405" t="s">
        <v>363</v>
      </c>
      <c r="DC45" s="406" t="s">
        <v>85</v>
      </c>
      <c r="DD45" s="405" t="s">
        <v>917</v>
      </c>
      <c r="DE45" s="405" t="s">
        <v>5</v>
      </c>
      <c r="DF45" s="406" t="s">
        <v>85</v>
      </c>
      <c r="DG45" s="407">
        <v>45839</v>
      </c>
      <c r="DH45" s="405" t="s">
        <v>9782</v>
      </c>
      <c r="DI45" s="406">
        <v>465455</v>
      </c>
      <c r="DJ45" s="408">
        <v>5</v>
      </c>
      <c r="DK45" s="405">
        <v>1</v>
      </c>
      <c r="DL45" s="82">
        <v>468.28</v>
      </c>
      <c r="DM45" s="409">
        <v>2.3413999999999997</v>
      </c>
      <c r="DN45" s="82" t="s">
        <v>85</v>
      </c>
      <c r="DO45" s="82" t="s">
        <v>85</v>
      </c>
      <c r="DP45" s="410" t="s">
        <v>85</v>
      </c>
    </row>
    <row r="46" spans="1:120" x14ac:dyDescent="0.25">
      <c r="A46" s="16" t="s">
        <v>9786</v>
      </c>
      <c r="B46" s="16" t="s">
        <v>9787</v>
      </c>
      <c r="C46" s="16" t="s">
        <v>9788</v>
      </c>
      <c r="D46" s="16" t="s">
        <v>9519</v>
      </c>
      <c r="E46" s="16" t="s">
        <v>9789</v>
      </c>
      <c r="F46" s="16" t="s">
        <v>9790</v>
      </c>
      <c r="G46" s="16" t="s">
        <v>9791</v>
      </c>
      <c r="H46" s="16" t="s">
        <v>9792</v>
      </c>
      <c r="I46" s="16" t="s">
        <v>1711</v>
      </c>
      <c r="J46" s="16" t="s">
        <v>943</v>
      </c>
      <c r="K46" s="16" t="s">
        <v>1712</v>
      </c>
      <c r="L46" s="16" t="s">
        <v>85</v>
      </c>
      <c r="M46" s="16" t="s">
        <v>984</v>
      </c>
      <c r="N46" s="16" t="s">
        <v>914</v>
      </c>
      <c r="O46" s="16" t="s">
        <v>985</v>
      </c>
      <c r="P46" s="16" t="s">
        <v>914</v>
      </c>
      <c r="Q46" s="16" t="s">
        <v>985</v>
      </c>
      <c r="R46" s="16" t="s">
        <v>915</v>
      </c>
      <c r="S46" s="16" t="s">
        <v>915</v>
      </c>
      <c r="T46" s="16" t="s">
        <v>986</v>
      </c>
      <c r="U46" s="16" t="s">
        <v>987</v>
      </c>
      <c r="V46" s="16" t="s">
        <v>916</v>
      </c>
      <c r="W46" s="16" t="s">
        <v>987</v>
      </c>
      <c r="X46" s="16" t="s">
        <v>934</v>
      </c>
      <c r="Y46" s="16" t="s">
        <v>934</v>
      </c>
      <c r="Z46" s="16" t="s">
        <v>935</v>
      </c>
      <c r="DA46" s="405" t="s">
        <v>5</v>
      </c>
      <c r="DB46" s="405" t="s">
        <v>363</v>
      </c>
      <c r="DC46" s="406" t="s">
        <v>85</v>
      </c>
      <c r="DD46" s="405" t="s">
        <v>917</v>
      </c>
      <c r="DE46" s="405" t="s">
        <v>5</v>
      </c>
      <c r="DF46" s="406" t="s">
        <v>85</v>
      </c>
      <c r="DG46" s="407">
        <v>45839</v>
      </c>
      <c r="DH46" s="405" t="s">
        <v>9789</v>
      </c>
      <c r="DI46" s="406">
        <v>465455</v>
      </c>
      <c r="DJ46" s="408">
        <v>5</v>
      </c>
      <c r="DK46" s="405">
        <v>1</v>
      </c>
      <c r="DL46" s="82">
        <v>340.55</v>
      </c>
      <c r="DM46" s="409">
        <v>1.70275</v>
      </c>
      <c r="DN46" s="82" t="s">
        <v>85</v>
      </c>
      <c r="DO46" s="82" t="s">
        <v>85</v>
      </c>
      <c r="DP46" s="410" t="s">
        <v>85</v>
      </c>
    </row>
    <row r="47" spans="1:120" x14ac:dyDescent="0.25">
      <c r="A47" s="16" t="s">
        <v>9793</v>
      </c>
      <c r="B47" s="16" t="s">
        <v>9794</v>
      </c>
      <c r="C47" s="16" t="s">
        <v>9795</v>
      </c>
      <c r="D47" s="16" t="s">
        <v>9519</v>
      </c>
      <c r="E47" s="16" t="s">
        <v>9796</v>
      </c>
      <c r="F47" s="16" t="s">
        <v>9797</v>
      </c>
      <c r="G47" s="16" t="s">
        <v>9798</v>
      </c>
      <c r="H47" s="16" t="s">
        <v>9799</v>
      </c>
      <c r="I47" s="16" t="s">
        <v>1781</v>
      </c>
      <c r="J47" s="16" t="s">
        <v>995</v>
      </c>
      <c r="K47" s="16" t="s">
        <v>1782</v>
      </c>
      <c r="L47" s="16" t="s">
        <v>85</v>
      </c>
      <c r="M47" s="16" t="s">
        <v>1165</v>
      </c>
      <c r="N47" s="16" t="s">
        <v>914</v>
      </c>
      <c r="O47" s="16" t="s">
        <v>1166</v>
      </c>
      <c r="P47" s="16" t="s">
        <v>914</v>
      </c>
      <c r="Q47" s="16" t="s">
        <v>1166</v>
      </c>
      <c r="R47" s="16" t="s">
        <v>915</v>
      </c>
      <c r="S47" s="16" t="s">
        <v>915</v>
      </c>
      <c r="T47" s="16" t="s">
        <v>1167</v>
      </c>
      <c r="U47" s="16" t="s">
        <v>1168</v>
      </c>
      <c r="V47" s="16" t="s">
        <v>916</v>
      </c>
      <c r="W47" s="16" t="s">
        <v>1168</v>
      </c>
      <c r="X47" s="16" t="s">
        <v>934</v>
      </c>
      <c r="Y47" s="16" t="s">
        <v>934</v>
      </c>
      <c r="Z47" s="16" t="s">
        <v>935</v>
      </c>
      <c r="DA47" s="405" t="s">
        <v>5</v>
      </c>
      <c r="DB47" s="405" t="s">
        <v>363</v>
      </c>
      <c r="DC47" s="406" t="s">
        <v>85</v>
      </c>
      <c r="DD47" s="405" t="s">
        <v>917</v>
      </c>
      <c r="DE47" s="405" t="s">
        <v>5</v>
      </c>
      <c r="DF47" s="406" t="s">
        <v>85</v>
      </c>
      <c r="DG47" s="407">
        <v>45839</v>
      </c>
      <c r="DH47" s="405" t="s">
        <v>9796</v>
      </c>
      <c r="DI47" s="406">
        <v>465455</v>
      </c>
      <c r="DJ47" s="408">
        <v>5</v>
      </c>
      <c r="DK47" s="405">
        <v>1</v>
      </c>
      <c r="DL47" s="82">
        <v>468.28</v>
      </c>
      <c r="DM47" s="409">
        <v>2.3413999999999997</v>
      </c>
      <c r="DN47" s="82" t="s">
        <v>85</v>
      </c>
      <c r="DO47" s="82" t="s">
        <v>85</v>
      </c>
      <c r="DP47" s="410" t="s">
        <v>85</v>
      </c>
    </row>
    <row r="48" spans="1:120" x14ac:dyDescent="0.25">
      <c r="A48" s="16" t="s">
        <v>9800</v>
      </c>
      <c r="B48" s="16" t="s">
        <v>9801</v>
      </c>
      <c r="C48" s="16" t="s">
        <v>9802</v>
      </c>
      <c r="D48" s="16" t="s">
        <v>9519</v>
      </c>
      <c r="E48" s="16" t="s">
        <v>9803</v>
      </c>
      <c r="F48" s="16" t="s">
        <v>9804</v>
      </c>
      <c r="G48" s="16" t="s">
        <v>9805</v>
      </c>
      <c r="H48" s="16" t="s">
        <v>9804</v>
      </c>
      <c r="I48" s="16" t="s">
        <v>8570</v>
      </c>
      <c r="J48" s="16" t="s">
        <v>8571</v>
      </c>
      <c r="K48" s="16" t="s">
        <v>8572</v>
      </c>
      <c r="L48" s="16" t="s">
        <v>85</v>
      </c>
      <c r="M48" s="16" t="s">
        <v>1216</v>
      </c>
      <c r="N48" s="16" t="s">
        <v>914</v>
      </c>
      <c r="O48" s="16" t="s">
        <v>946</v>
      </c>
      <c r="P48" s="16" t="s">
        <v>914</v>
      </c>
      <c r="Q48" s="16" t="s">
        <v>946</v>
      </c>
      <c r="R48" s="16" t="s">
        <v>915</v>
      </c>
      <c r="S48" s="16" t="s">
        <v>915</v>
      </c>
      <c r="T48" s="16" t="s">
        <v>1216</v>
      </c>
      <c r="U48" s="16" t="s">
        <v>1217</v>
      </c>
      <c r="V48" s="16" t="s">
        <v>916</v>
      </c>
      <c r="W48" s="16" t="s">
        <v>1217</v>
      </c>
      <c r="X48" s="16" t="s">
        <v>934</v>
      </c>
      <c r="Y48" s="16" t="s">
        <v>934</v>
      </c>
      <c r="Z48" s="16" t="s">
        <v>935</v>
      </c>
      <c r="DA48" s="405" t="s">
        <v>5</v>
      </c>
      <c r="DB48" s="405" t="s">
        <v>363</v>
      </c>
      <c r="DC48" s="406" t="s">
        <v>85</v>
      </c>
      <c r="DD48" s="405" t="s">
        <v>917</v>
      </c>
      <c r="DE48" s="405" t="s">
        <v>5</v>
      </c>
      <c r="DF48" s="406" t="s">
        <v>85</v>
      </c>
      <c r="DG48" s="407">
        <v>45839</v>
      </c>
      <c r="DH48" s="405" t="s">
        <v>9803</v>
      </c>
      <c r="DI48" s="406">
        <v>465455</v>
      </c>
      <c r="DJ48" s="408">
        <v>5</v>
      </c>
      <c r="DK48" s="405">
        <v>1</v>
      </c>
      <c r="DL48" s="82">
        <v>319.22000000000003</v>
      </c>
      <c r="DM48" s="409">
        <v>1.5961000000000001</v>
      </c>
      <c r="DN48" s="82" t="s">
        <v>85</v>
      </c>
      <c r="DO48" s="82" t="s">
        <v>85</v>
      </c>
      <c r="DP48" s="410" t="s">
        <v>85</v>
      </c>
    </row>
    <row r="49" spans="1:120" x14ac:dyDescent="0.25">
      <c r="A49" s="16" t="s">
        <v>9806</v>
      </c>
      <c r="B49" s="16" t="s">
        <v>9807</v>
      </c>
      <c r="C49" s="16" t="s">
        <v>9808</v>
      </c>
      <c r="D49" s="16" t="s">
        <v>9519</v>
      </c>
      <c r="E49" s="16" t="s">
        <v>9809</v>
      </c>
      <c r="F49" s="16" t="s">
        <v>9810</v>
      </c>
      <c r="G49" s="16" t="s">
        <v>9811</v>
      </c>
      <c r="H49" s="16" t="s">
        <v>9810</v>
      </c>
      <c r="I49" s="16" t="s">
        <v>942</v>
      </c>
      <c r="J49" s="16" t="s">
        <v>943</v>
      </c>
      <c r="K49" s="16" t="s">
        <v>944</v>
      </c>
      <c r="L49" s="16" t="s">
        <v>85</v>
      </c>
      <c r="M49" s="16" t="s">
        <v>984</v>
      </c>
      <c r="N49" s="16" t="s">
        <v>914</v>
      </c>
      <c r="O49" s="16" t="s">
        <v>985</v>
      </c>
      <c r="P49" s="16" t="s">
        <v>914</v>
      </c>
      <c r="Q49" s="16" t="s">
        <v>985</v>
      </c>
      <c r="R49" s="16" t="s">
        <v>915</v>
      </c>
      <c r="S49" s="16" t="s">
        <v>915</v>
      </c>
      <c r="T49" s="16" t="s">
        <v>986</v>
      </c>
      <c r="U49" s="16" t="s">
        <v>987</v>
      </c>
      <c r="V49" s="16" t="s">
        <v>916</v>
      </c>
      <c r="W49" s="16" t="s">
        <v>987</v>
      </c>
      <c r="X49" s="16" t="s">
        <v>934</v>
      </c>
      <c r="Y49" s="16" t="s">
        <v>934</v>
      </c>
      <c r="Z49" s="16" t="s">
        <v>935</v>
      </c>
      <c r="DA49" s="405" t="s">
        <v>5</v>
      </c>
      <c r="DB49" s="405" t="s">
        <v>363</v>
      </c>
      <c r="DC49" s="406" t="s">
        <v>85</v>
      </c>
      <c r="DD49" s="405" t="s">
        <v>917</v>
      </c>
      <c r="DE49" s="405" t="s">
        <v>5</v>
      </c>
      <c r="DF49" s="406" t="s">
        <v>85</v>
      </c>
      <c r="DG49" s="407">
        <v>45839</v>
      </c>
      <c r="DH49" s="405" t="s">
        <v>9809</v>
      </c>
      <c r="DI49" s="406">
        <v>465455</v>
      </c>
      <c r="DJ49" s="408">
        <v>5</v>
      </c>
      <c r="DK49" s="405">
        <v>1</v>
      </c>
      <c r="DL49" s="82">
        <v>340.55</v>
      </c>
      <c r="DM49" s="409">
        <v>1.70275</v>
      </c>
      <c r="DN49" s="82" t="s">
        <v>85</v>
      </c>
      <c r="DO49" s="82" t="s">
        <v>85</v>
      </c>
      <c r="DP49" s="410" t="s">
        <v>85</v>
      </c>
    </row>
    <row r="50" spans="1:120" x14ac:dyDescent="0.25">
      <c r="A50" s="16" t="s">
        <v>9812</v>
      </c>
      <c r="B50" s="16" t="s">
        <v>9813</v>
      </c>
      <c r="C50" s="16" t="s">
        <v>9814</v>
      </c>
      <c r="D50" s="16" t="s">
        <v>9519</v>
      </c>
      <c r="E50" s="16" t="s">
        <v>9815</v>
      </c>
      <c r="F50" s="16" t="s">
        <v>9816</v>
      </c>
      <c r="G50" s="16" t="s">
        <v>9817</v>
      </c>
      <c r="H50" s="16" t="s">
        <v>9816</v>
      </c>
      <c r="I50" s="16" t="s">
        <v>7441</v>
      </c>
      <c r="J50" s="16" t="s">
        <v>2699</v>
      </c>
      <c r="K50" s="16" t="s">
        <v>7442</v>
      </c>
      <c r="L50" s="16" t="s">
        <v>85</v>
      </c>
      <c r="M50" s="16" t="s">
        <v>2701</v>
      </c>
      <c r="N50" s="16" t="s">
        <v>914</v>
      </c>
      <c r="O50" s="16" t="s">
        <v>2702</v>
      </c>
      <c r="P50" s="16" t="s">
        <v>914</v>
      </c>
      <c r="Q50" s="16" t="s">
        <v>2702</v>
      </c>
      <c r="R50" s="16" t="s">
        <v>915</v>
      </c>
      <c r="S50" s="16" t="s">
        <v>915</v>
      </c>
      <c r="T50" s="16" t="s">
        <v>2703</v>
      </c>
      <c r="U50" s="16" t="s">
        <v>2704</v>
      </c>
      <c r="V50" s="16" t="s">
        <v>916</v>
      </c>
      <c r="W50" s="16" t="s">
        <v>2704</v>
      </c>
      <c r="X50" s="16" t="s">
        <v>934</v>
      </c>
      <c r="Y50" s="16" t="s">
        <v>934</v>
      </c>
      <c r="Z50" s="16" t="s">
        <v>935</v>
      </c>
      <c r="DA50" s="405" t="s">
        <v>5</v>
      </c>
      <c r="DB50" s="405" t="s">
        <v>363</v>
      </c>
      <c r="DC50" s="406" t="s">
        <v>85</v>
      </c>
      <c r="DD50" s="405" t="s">
        <v>917</v>
      </c>
      <c r="DE50" s="405" t="s">
        <v>5</v>
      </c>
      <c r="DF50" s="406" t="s">
        <v>85</v>
      </c>
      <c r="DG50" s="407">
        <v>45839</v>
      </c>
      <c r="DH50" s="405" t="s">
        <v>9815</v>
      </c>
      <c r="DI50" s="406">
        <v>465455</v>
      </c>
      <c r="DJ50" s="408">
        <v>5</v>
      </c>
      <c r="DK50" s="405">
        <v>1</v>
      </c>
      <c r="DL50" s="82">
        <v>478.9</v>
      </c>
      <c r="DM50" s="409">
        <v>2.3944999999999999</v>
      </c>
      <c r="DN50" s="82" t="s">
        <v>85</v>
      </c>
      <c r="DO50" s="82" t="s">
        <v>85</v>
      </c>
      <c r="DP50" s="410" t="s">
        <v>85</v>
      </c>
    </row>
    <row r="51" spans="1:120" x14ac:dyDescent="0.25">
      <c r="A51" s="16" t="s">
        <v>9818</v>
      </c>
      <c r="B51" s="16" t="s">
        <v>9819</v>
      </c>
      <c r="C51" s="16" t="s">
        <v>9820</v>
      </c>
      <c r="D51" s="16" t="s">
        <v>9519</v>
      </c>
      <c r="E51" s="16" t="s">
        <v>9821</v>
      </c>
      <c r="F51" s="16" t="s">
        <v>9822</v>
      </c>
      <c r="G51" s="16" t="s">
        <v>9823</v>
      </c>
      <c r="H51" s="16" t="s">
        <v>9824</v>
      </c>
      <c r="I51" s="16" t="s">
        <v>4603</v>
      </c>
      <c r="J51" s="16" t="s">
        <v>1123</v>
      </c>
      <c r="K51" s="16" t="s">
        <v>4604</v>
      </c>
      <c r="L51" s="16" t="s">
        <v>85</v>
      </c>
      <c r="M51" s="16" t="s">
        <v>1238</v>
      </c>
      <c r="N51" s="16" t="s">
        <v>914</v>
      </c>
      <c r="O51" s="16" t="s">
        <v>1239</v>
      </c>
      <c r="P51" s="16" t="s">
        <v>914</v>
      </c>
      <c r="Q51" s="16" t="s">
        <v>1239</v>
      </c>
      <c r="R51" s="16" t="s">
        <v>915</v>
      </c>
      <c r="S51" s="16" t="s">
        <v>915</v>
      </c>
      <c r="T51" s="16" t="s">
        <v>1238</v>
      </c>
      <c r="U51" s="16" t="s">
        <v>1240</v>
      </c>
      <c r="V51" s="16" t="s">
        <v>916</v>
      </c>
      <c r="W51" s="16" t="s">
        <v>1240</v>
      </c>
      <c r="X51" s="16" t="s">
        <v>934</v>
      </c>
      <c r="Y51" s="16" t="s">
        <v>934</v>
      </c>
      <c r="Z51" s="16" t="s">
        <v>935</v>
      </c>
      <c r="DA51" s="405" t="s">
        <v>5</v>
      </c>
      <c r="DB51" s="405" t="s">
        <v>363</v>
      </c>
      <c r="DC51" s="406" t="s">
        <v>85</v>
      </c>
      <c r="DD51" s="405" t="s">
        <v>917</v>
      </c>
      <c r="DE51" s="405" t="s">
        <v>5</v>
      </c>
      <c r="DF51" s="406" t="s">
        <v>85</v>
      </c>
      <c r="DG51" s="407">
        <v>45839</v>
      </c>
      <c r="DH51" s="405" t="s">
        <v>9821</v>
      </c>
      <c r="DI51" s="406">
        <v>465455</v>
      </c>
      <c r="DJ51" s="408">
        <v>5</v>
      </c>
      <c r="DK51" s="405">
        <v>1</v>
      </c>
      <c r="DL51" s="82">
        <v>383.16</v>
      </c>
      <c r="DM51" s="409">
        <v>1.9158000000000002</v>
      </c>
      <c r="DN51" s="82" t="s">
        <v>85</v>
      </c>
      <c r="DO51" s="82" t="s">
        <v>85</v>
      </c>
      <c r="DP51" s="410" t="s">
        <v>85</v>
      </c>
    </row>
    <row r="52" spans="1:120" x14ac:dyDescent="0.25">
      <c r="A52" s="16" t="s">
        <v>9825</v>
      </c>
      <c r="B52" s="16" t="s">
        <v>9826</v>
      </c>
      <c r="C52" s="16" t="s">
        <v>9827</v>
      </c>
      <c r="D52" s="16" t="s">
        <v>9519</v>
      </c>
      <c r="E52" s="16" t="s">
        <v>9828</v>
      </c>
      <c r="F52" s="16" t="s">
        <v>9829</v>
      </c>
      <c r="G52" s="16" t="s">
        <v>9830</v>
      </c>
      <c r="H52" s="16" t="s">
        <v>9831</v>
      </c>
      <c r="I52" s="16" t="s">
        <v>1287</v>
      </c>
      <c r="J52" s="16" t="s">
        <v>943</v>
      </c>
      <c r="K52" s="16" t="s">
        <v>1288</v>
      </c>
      <c r="L52" s="16" t="s">
        <v>85</v>
      </c>
      <c r="M52" s="16" t="s">
        <v>984</v>
      </c>
      <c r="N52" s="16" t="s">
        <v>914</v>
      </c>
      <c r="O52" s="16" t="s">
        <v>985</v>
      </c>
      <c r="P52" s="16" t="s">
        <v>914</v>
      </c>
      <c r="Q52" s="16" t="s">
        <v>985</v>
      </c>
      <c r="R52" s="16" t="s">
        <v>915</v>
      </c>
      <c r="S52" s="16" t="s">
        <v>915</v>
      </c>
      <c r="T52" s="16" t="s">
        <v>986</v>
      </c>
      <c r="U52" s="16" t="s">
        <v>987</v>
      </c>
      <c r="V52" s="16" t="s">
        <v>916</v>
      </c>
      <c r="W52" s="16" t="s">
        <v>987</v>
      </c>
      <c r="X52" s="16" t="s">
        <v>934</v>
      </c>
      <c r="Y52" s="16" t="s">
        <v>934</v>
      </c>
      <c r="Z52" s="16" t="s">
        <v>935</v>
      </c>
      <c r="DA52" s="405" t="s">
        <v>5</v>
      </c>
      <c r="DB52" s="405" t="s">
        <v>363</v>
      </c>
      <c r="DC52" s="406" t="s">
        <v>85</v>
      </c>
      <c r="DD52" s="405" t="s">
        <v>917</v>
      </c>
      <c r="DE52" s="405" t="s">
        <v>5</v>
      </c>
      <c r="DF52" s="406" t="s">
        <v>85</v>
      </c>
      <c r="DG52" s="407">
        <v>45839</v>
      </c>
      <c r="DH52" s="405" t="s">
        <v>9828</v>
      </c>
      <c r="DI52" s="406">
        <v>465455</v>
      </c>
      <c r="DJ52" s="408">
        <v>5</v>
      </c>
      <c r="DK52" s="405">
        <v>1</v>
      </c>
      <c r="DL52" s="82">
        <v>340.55</v>
      </c>
      <c r="DM52" s="409">
        <v>1.70275</v>
      </c>
      <c r="DN52" s="82" t="s">
        <v>85</v>
      </c>
      <c r="DO52" s="82" t="s">
        <v>85</v>
      </c>
      <c r="DP52" s="410" t="s">
        <v>85</v>
      </c>
    </row>
    <row r="53" spans="1:120" x14ac:dyDescent="0.25">
      <c r="A53" s="16" t="s">
        <v>9832</v>
      </c>
      <c r="B53" s="16" t="s">
        <v>9833</v>
      </c>
      <c r="C53" s="16" t="s">
        <v>9834</v>
      </c>
      <c r="D53" s="16" t="s">
        <v>9519</v>
      </c>
      <c r="E53" s="16" t="s">
        <v>9835</v>
      </c>
      <c r="F53" s="16" t="s">
        <v>9836</v>
      </c>
      <c r="G53" s="16" t="s">
        <v>9837</v>
      </c>
      <c r="H53" s="16" t="s">
        <v>9838</v>
      </c>
      <c r="I53" s="16" t="s">
        <v>1248</v>
      </c>
      <c r="J53" s="16" t="s">
        <v>995</v>
      </c>
      <c r="K53" s="16" t="s">
        <v>1249</v>
      </c>
      <c r="L53" s="16" t="s">
        <v>85</v>
      </c>
      <c r="M53" s="16" t="s">
        <v>1165</v>
      </c>
      <c r="N53" s="16" t="s">
        <v>914</v>
      </c>
      <c r="O53" s="16" t="s">
        <v>1166</v>
      </c>
      <c r="P53" s="16" t="s">
        <v>914</v>
      </c>
      <c r="Q53" s="16" t="s">
        <v>1166</v>
      </c>
      <c r="R53" s="16" t="s">
        <v>915</v>
      </c>
      <c r="S53" s="16" t="s">
        <v>915</v>
      </c>
      <c r="T53" s="16" t="s">
        <v>1167</v>
      </c>
      <c r="U53" s="16" t="s">
        <v>1168</v>
      </c>
      <c r="V53" s="16" t="s">
        <v>916</v>
      </c>
      <c r="W53" s="16" t="s">
        <v>1168</v>
      </c>
      <c r="X53" s="16" t="s">
        <v>934</v>
      </c>
      <c r="Y53" s="16" t="s">
        <v>934</v>
      </c>
      <c r="Z53" s="16" t="s">
        <v>935</v>
      </c>
      <c r="DA53" s="405" t="s">
        <v>5</v>
      </c>
      <c r="DB53" s="405" t="s">
        <v>363</v>
      </c>
      <c r="DC53" s="406" t="s">
        <v>85</v>
      </c>
      <c r="DD53" s="405" t="s">
        <v>917</v>
      </c>
      <c r="DE53" s="405" t="s">
        <v>5</v>
      </c>
      <c r="DF53" s="406" t="s">
        <v>85</v>
      </c>
      <c r="DG53" s="407">
        <v>45839</v>
      </c>
      <c r="DH53" s="405" t="s">
        <v>9835</v>
      </c>
      <c r="DI53" s="406">
        <v>465455</v>
      </c>
      <c r="DJ53" s="408">
        <v>5</v>
      </c>
      <c r="DK53" s="405">
        <v>1</v>
      </c>
      <c r="DL53" s="82">
        <v>468.28</v>
      </c>
      <c r="DM53" s="409">
        <v>2.3413999999999997</v>
      </c>
      <c r="DN53" s="82" t="s">
        <v>85</v>
      </c>
      <c r="DO53" s="82" t="s">
        <v>85</v>
      </c>
      <c r="DP53" s="410" t="s">
        <v>85</v>
      </c>
    </row>
    <row r="54" spans="1:120" x14ac:dyDescent="0.25">
      <c r="A54" s="16" t="s">
        <v>9839</v>
      </c>
      <c r="B54" s="16" t="s">
        <v>9840</v>
      </c>
      <c r="C54" s="16" t="s">
        <v>9841</v>
      </c>
      <c r="D54" s="16" t="s">
        <v>9519</v>
      </c>
      <c r="E54" s="16" t="s">
        <v>9842</v>
      </c>
      <c r="F54" s="16" t="s">
        <v>9843</v>
      </c>
      <c r="G54" s="16" t="s">
        <v>9844</v>
      </c>
      <c r="H54" s="16" t="s">
        <v>9843</v>
      </c>
      <c r="I54" s="16" t="s">
        <v>1163</v>
      </c>
      <c r="J54" s="16" t="s">
        <v>995</v>
      </c>
      <c r="K54" s="16" t="s">
        <v>1164</v>
      </c>
      <c r="L54" s="16" t="s">
        <v>85</v>
      </c>
      <c r="M54" s="16" t="s">
        <v>1165</v>
      </c>
      <c r="N54" s="16" t="s">
        <v>914</v>
      </c>
      <c r="O54" s="16" t="s">
        <v>1166</v>
      </c>
      <c r="P54" s="16" t="s">
        <v>914</v>
      </c>
      <c r="Q54" s="16" t="s">
        <v>1166</v>
      </c>
      <c r="R54" s="16" t="s">
        <v>915</v>
      </c>
      <c r="S54" s="16" t="s">
        <v>915</v>
      </c>
      <c r="T54" s="16" t="s">
        <v>1167</v>
      </c>
      <c r="U54" s="16" t="s">
        <v>1168</v>
      </c>
      <c r="V54" s="16" t="s">
        <v>916</v>
      </c>
      <c r="W54" s="16" t="s">
        <v>1168</v>
      </c>
      <c r="X54" s="16" t="s">
        <v>934</v>
      </c>
      <c r="Y54" s="16" t="s">
        <v>934</v>
      </c>
      <c r="Z54" s="16" t="s">
        <v>935</v>
      </c>
      <c r="DA54" s="405" t="s">
        <v>5</v>
      </c>
      <c r="DB54" s="405" t="s">
        <v>363</v>
      </c>
      <c r="DC54" s="406" t="s">
        <v>85</v>
      </c>
      <c r="DD54" s="405" t="s">
        <v>917</v>
      </c>
      <c r="DE54" s="405" t="s">
        <v>5</v>
      </c>
      <c r="DF54" s="406" t="s">
        <v>85</v>
      </c>
      <c r="DG54" s="407">
        <v>45839</v>
      </c>
      <c r="DH54" s="405" t="s">
        <v>9842</v>
      </c>
      <c r="DI54" s="406">
        <v>465455</v>
      </c>
      <c r="DJ54" s="408">
        <v>5</v>
      </c>
      <c r="DK54" s="405">
        <v>1</v>
      </c>
      <c r="DL54" s="82">
        <v>468.28</v>
      </c>
      <c r="DM54" s="409">
        <v>2.3413999999999997</v>
      </c>
      <c r="DN54" s="82" t="s">
        <v>85</v>
      </c>
      <c r="DO54" s="82" t="s">
        <v>85</v>
      </c>
      <c r="DP54" s="410" t="s">
        <v>85</v>
      </c>
    </row>
    <row r="55" spans="1:120" x14ac:dyDescent="0.25">
      <c r="A55" s="16" t="s">
        <v>9845</v>
      </c>
      <c r="B55" s="16" t="s">
        <v>9846</v>
      </c>
      <c r="C55" s="16" t="s">
        <v>9847</v>
      </c>
      <c r="D55" s="16" t="s">
        <v>9519</v>
      </c>
      <c r="E55" s="16" t="s">
        <v>9848</v>
      </c>
      <c r="F55" s="16" t="s">
        <v>9849</v>
      </c>
      <c r="G55" s="16" t="s">
        <v>9850</v>
      </c>
      <c r="H55" s="16" t="s">
        <v>9849</v>
      </c>
      <c r="I55" s="16" t="s">
        <v>9070</v>
      </c>
      <c r="J55" s="16" t="s">
        <v>9071</v>
      </c>
      <c r="K55" s="16" t="s">
        <v>9072</v>
      </c>
      <c r="L55" s="16" t="s">
        <v>85</v>
      </c>
      <c r="M55" s="16" t="s">
        <v>9073</v>
      </c>
      <c r="N55" s="16" t="s">
        <v>914</v>
      </c>
      <c r="O55" s="16" t="s">
        <v>9074</v>
      </c>
      <c r="P55" s="16" t="s">
        <v>914</v>
      </c>
      <c r="Q55" s="16" t="s">
        <v>9074</v>
      </c>
      <c r="R55" s="16" t="s">
        <v>915</v>
      </c>
      <c r="S55" s="16" t="s">
        <v>915</v>
      </c>
      <c r="T55" s="16" t="s">
        <v>9073</v>
      </c>
      <c r="U55" s="16" t="s">
        <v>9075</v>
      </c>
      <c r="V55" s="16" t="s">
        <v>916</v>
      </c>
      <c r="W55" s="16" t="s">
        <v>9075</v>
      </c>
      <c r="X55" s="16" t="s">
        <v>934</v>
      </c>
      <c r="Y55" s="16" t="s">
        <v>934</v>
      </c>
      <c r="Z55" s="16" t="s">
        <v>935</v>
      </c>
      <c r="DA55" s="405" t="s">
        <v>5</v>
      </c>
      <c r="DB55" s="405" t="s">
        <v>363</v>
      </c>
      <c r="DC55" s="406" t="s">
        <v>85</v>
      </c>
      <c r="DD55" s="405" t="s">
        <v>917</v>
      </c>
      <c r="DE55" s="405" t="s">
        <v>5</v>
      </c>
      <c r="DF55" s="406" t="s">
        <v>85</v>
      </c>
      <c r="DG55" s="407">
        <v>45839</v>
      </c>
      <c r="DH55" s="405" t="s">
        <v>9848</v>
      </c>
      <c r="DI55" s="406">
        <v>465455</v>
      </c>
      <c r="DJ55" s="408">
        <v>5</v>
      </c>
      <c r="DK55" s="405">
        <v>1</v>
      </c>
      <c r="DL55" s="82">
        <v>359.12</v>
      </c>
      <c r="DM55" s="409">
        <v>1.7956000000000001</v>
      </c>
      <c r="DN55" s="82" t="s">
        <v>85</v>
      </c>
      <c r="DO55" s="82" t="s">
        <v>85</v>
      </c>
      <c r="DP55" s="410" t="s">
        <v>85</v>
      </c>
    </row>
    <row r="56" spans="1:120" x14ac:dyDescent="0.25">
      <c r="A56" s="16" t="s">
        <v>9851</v>
      </c>
      <c r="B56" s="16" t="s">
        <v>9852</v>
      </c>
      <c r="C56" s="16" t="s">
        <v>9853</v>
      </c>
      <c r="D56" s="16" t="s">
        <v>9519</v>
      </c>
      <c r="E56" s="16" t="s">
        <v>9854</v>
      </c>
      <c r="F56" s="16" t="s">
        <v>9855</v>
      </c>
      <c r="G56" s="16" t="s">
        <v>9856</v>
      </c>
      <c r="H56" s="16" t="s">
        <v>9857</v>
      </c>
      <c r="I56" s="16" t="s">
        <v>2425</v>
      </c>
      <c r="J56" s="16" t="s">
        <v>928</v>
      </c>
      <c r="K56" s="16" t="s">
        <v>2426</v>
      </c>
      <c r="L56" s="16" t="s">
        <v>85</v>
      </c>
      <c r="M56" s="16" t="s">
        <v>1322</v>
      </c>
      <c r="N56" s="16" t="s">
        <v>914</v>
      </c>
      <c r="O56" s="16" t="s">
        <v>1323</v>
      </c>
      <c r="P56" s="16" t="s">
        <v>914</v>
      </c>
      <c r="Q56" s="16" t="s">
        <v>1323</v>
      </c>
      <c r="R56" s="16" t="s">
        <v>915</v>
      </c>
      <c r="S56" s="16" t="s">
        <v>915</v>
      </c>
      <c r="T56" s="16" t="s">
        <v>1322</v>
      </c>
      <c r="U56" s="16" t="s">
        <v>1324</v>
      </c>
      <c r="V56" s="16" t="s">
        <v>916</v>
      </c>
      <c r="W56" s="16" t="s">
        <v>1324</v>
      </c>
      <c r="X56" s="16" t="s">
        <v>934</v>
      </c>
      <c r="Y56" s="16" t="s">
        <v>934</v>
      </c>
      <c r="Z56" s="16" t="s">
        <v>935</v>
      </c>
      <c r="DA56" s="405" t="s">
        <v>5</v>
      </c>
      <c r="DB56" s="405" t="s">
        <v>363</v>
      </c>
      <c r="DC56" s="406" t="s">
        <v>85</v>
      </c>
      <c r="DD56" s="405" t="s">
        <v>917</v>
      </c>
      <c r="DE56" s="405" t="s">
        <v>5</v>
      </c>
      <c r="DF56" s="406" t="s">
        <v>85</v>
      </c>
      <c r="DG56" s="407">
        <v>45839</v>
      </c>
      <c r="DH56" s="405" t="s">
        <v>9854</v>
      </c>
      <c r="DI56" s="406">
        <v>465455</v>
      </c>
      <c r="DJ56" s="408">
        <v>5</v>
      </c>
      <c r="DK56" s="405">
        <v>1</v>
      </c>
      <c r="DL56" s="82">
        <v>332.47</v>
      </c>
      <c r="DM56" s="409">
        <v>1.6623500000000002</v>
      </c>
      <c r="DN56" s="82" t="s">
        <v>85</v>
      </c>
      <c r="DO56" s="82" t="s">
        <v>85</v>
      </c>
      <c r="DP56" s="410" t="s">
        <v>85</v>
      </c>
    </row>
    <row r="57" spans="1:120" x14ac:dyDescent="0.25">
      <c r="A57" s="16" t="s">
        <v>9858</v>
      </c>
      <c r="B57" s="16" t="s">
        <v>9859</v>
      </c>
      <c r="C57" s="16" t="s">
        <v>9860</v>
      </c>
      <c r="D57" s="16" t="s">
        <v>9519</v>
      </c>
      <c r="E57" s="16" t="s">
        <v>9861</v>
      </c>
      <c r="F57" s="16" t="s">
        <v>9862</v>
      </c>
      <c r="G57" s="16" t="s">
        <v>9863</v>
      </c>
      <c r="H57" s="16" t="s">
        <v>9864</v>
      </c>
      <c r="I57" s="16" t="s">
        <v>1846</v>
      </c>
      <c r="J57" s="16" t="s">
        <v>1847</v>
      </c>
      <c r="K57" s="16" t="s">
        <v>1848</v>
      </c>
      <c r="L57" s="16" t="s">
        <v>85</v>
      </c>
      <c r="M57" s="16" t="s">
        <v>1849</v>
      </c>
      <c r="N57" s="16" t="s">
        <v>914</v>
      </c>
      <c r="O57" s="16" t="s">
        <v>1850</v>
      </c>
      <c r="P57" s="16" t="s">
        <v>914</v>
      </c>
      <c r="Q57" s="16" t="s">
        <v>1850</v>
      </c>
      <c r="R57" s="16" t="s">
        <v>915</v>
      </c>
      <c r="S57" s="16" t="s">
        <v>915</v>
      </c>
      <c r="T57" s="16" t="s">
        <v>1851</v>
      </c>
      <c r="U57" s="16" t="s">
        <v>1852</v>
      </c>
      <c r="V57" s="16" t="s">
        <v>916</v>
      </c>
      <c r="W57" s="16" t="s">
        <v>1852</v>
      </c>
      <c r="X57" s="16" t="s">
        <v>934</v>
      </c>
      <c r="Y57" s="16" t="s">
        <v>934</v>
      </c>
      <c r="Z57" s="16" t="s">
        <v>935</v>
      </c>
      <c r="DA57" s="405" t="s">
        <v>5</v>
      </c>
      <c r="DB57" s="405" t="s">
        <v>363</v>
      </c>
      <c r="DC57" s="406" t="s">
        <v>85</v>
      </c>
      <c r="DD57" s="405" t="s">
        <v>917</v>
      </c>
      <c r="DE57" s="405" t="s">
        <v>5</v>
      </c>
      <c r="DF57" s="406" t="s">
        <v>85</v>
      </c>
      <c r="DG57" s="407">
        <v>45839</v>
      </c>
      <c r="DH57" s="405" t="s">
        <v>9861</v>
      </c>
      <c r="DI57" s="406">
        <v>465455</v>
      </c>
      <c r="DJ57" s="408">
        <v>5</v>
      </c>
      <c r="DK57" s="405">
        <v>1</v>
      </c>
      <c r="DL57" s="82">
        <v>447.02</v>
      </c>
      <c r="DM57" s="409">
        <v>2.2351000000000001</v>
      </c>
      <c r="DN57" s="82" t="s">
        <v>85</v>
      </c>
      <c r="DO57" s="82" t="s">
        <v>85</v>
      </c>
      <c r="DP57" s="410" t="s">
        <v>85</v>
      </c>
    </row>
    <row r="58" spans="1:120" x14ac:dyDescent="0.25">
      <c r="A58" s="16" t="s">
        <v>9865</v>
      </c>
      <c r="B58" s="16" t="s">
        <v>9866</v>
      </c>
      <c r="C58" s="16" t="s">
        <v>9867</v>
      </c>
      <c r="D58" s="16" t="s">
        <v>9519</v>
      </c>
      <c r="E58" s="16" t="s">
        <v>9868</v>
      </c>
      <c r="F58" s="16" t="s">
        <v>9869</v>
      </c>
      <c r="G58" s="16" t="s">
        <v>9870</v>
      </c>
      <c r="H58" s="16" t="s">
        <v>9871</v>
      </c>
      <c r="I58" s="16" t="s">
        <v>6196</v>
      </c>
      <c r="J58" s="16" t="s">
        <v>1123</v>
      </c>
      <c r="K58" s="16" t="s">
        <v>6197</v>
      </c>
      <c r="L58" s="16" t="s">
        <v>85</v>
      </c>
      <c r="M58" s="16" t="s">
        <v>1238</v>
      </c>
      <c r="N58" s="16" t="s">
        <v>914</v>
      </c>
      <c r="O58" s="16" t="s">
        <v>1239</v>
      </c>
      <c r="P58" s="16" t="s">
        <v>914</v>
      </c>
      <c r="Q58" s="16" t="s">
        <v>1239</v>
      </c>
      <c r="R58" s="16" t="s">
        <v>915</v>
      </c>
      <c r="S58" s="16" t="s">
        <v>915</v>
      </c>
      <c r="T58" s="16" t="s">
        <v>1238</v>
      </c>
      <c r="U58" s="16" t="s">
        <v>1240</v>
      </c>
      <c r="V58" s="16" t="s">
        <v>916</v>
      </c>
      <c r="W58" s="16" t="s">
        <v>1240</v>
      </c>
      <c r="X58" s="16" t="s">
        <v>934</v>
      </c>
      <c r="Y58" s="16" t="s">
        <v>934</v>
      </c>
      <c r="Z58" s="16" t="s">
        <v>935</v>
      </c>
      <c r="DA58" s="405" t="s">
        <v>5</v>
      </c>
      <c r="DB58" s="405" t="s">
        <v>363</v>
      </c>
      <c r="DC58" s="406" t="s">
        <v>85</v>
      </c>
      <c r="DD58" s="405" t="s">
        <v>917</v>
      </c>
      <c r="DE58" s="405" t="s">
        <v>5</v>
      </c>
      <c r="DF58" s="406" t="s">
        <v>85</v>
      </c>
      <c r="DG58" s="407">
        <v>45839</v>
      </c>
      <c r="DH58" s="405" t="s">
        <v>9868</v>
      </c>
      <c r="DI58" s="406">
        <v>465455</v>
      </c>
      <c r="DJ58" s="408">
        <v>5</v>
      </c>
      <c r="DK58" s="405">
        <v>1</v>
      </c>
      <c r="DL58" s="82">
        <v>383.16</v>
      </c>
      <c r="DM58" s="409">
        <v>1.9158000000000002</v>
      </c>
      <c r="DN58" s="82" t="s">
        <v>85</v>
      </c>
      <c r="DO58" s="82" t="s">
        <v>85</v>
      </c>
      <c r="DP58" s="410" t="s">
        <v>85</v>
      </c>
    </row>
    <row r="59" spans="1:120" x14ac:dyDescent="0.25">
      <c r="A59" s="16" t="s">
        <v>9872</v>
      </c>
      <c r="B59" s="16" t="s">
        <v>9873</v>
      </c>
      <c r="C59" s="16" t="s">
        <v>9874</v>
      </c>
      <c r="D59" s="16" t="s">
        <v>9519</v>
      </c>
      <c r="E59" s="16" t="s">
        <v>9875</v>
      </c>
      <c r="F59" s="16" t="s">
        <v>9876</v>
      </c>
      <c r="G59" s="16" t="s">
        <v>9877</v>
      </c>
      <c r="H59" s="16" t="s">
        <v>9878</v>
      </c>
      <c r="I59" s="16" t="s">
        <v>1547</v>
      </c>
      <c r="J59" s="16" t="s">
        <v>943</v>
      </c>
      <c r="K59" s="16" t="s">
        <v>1548</v>
      </c>
      <c r="L59" s="16" t="s">
        <v>85</v>
      </c>
      <c r="M59" s="16" t="s">
        <v>984</v>
      </c>
      <c r="N59" s="16" t="s">
        <v>914</v>
      </c>
      <c r="O59" s="16" t="s">
        <v>985</v>
      </c>
      <c r="P59" s="16" t="s">
        <v>914</v>
      </c>
      <c r="Q59" s="16" t="s">
        <v>985</v>
      </c>
      <c r="R59" s="16" t="s">
        <v>915</v>
      </c>
      <c r="S59" s="16" t="s">
        <v>915</v>
      </c>
      <c r="T59" s="16" t="s">
        <v>986</v>
      </c>
      <c r="U59" s="16" t="s">
        <v>987</v>
      </c>
      <c r="V59" s="16" t="s">
        <v>916</v>
      </c>
      <c r="W59" s="16" t="s">
        <v>987</v>
      </c>
      <c r="X59" s="16" t="s">
        <v>934</v>
      </c>
      <c r="Y59" s="16" t="s">
        <v>934</v>
      </c>
      <c r="Z59" s="16" t="s">
        <v>935</v>
      </c>
      <c r="DA59" s="405" t="s">
        <v>5</v>
      </c>
      <c r="DB59" s="405" t="s">
        <v>363</v>
      </c>
      <c r="DC59" s="406" t="s">
        <v>85</v>
      </c>
      <c r="DD59" s="405" t="s">
        <v>917</v>
      </c>
      <c r="DE59" s="405" t="s">
        <v>5</v>
      </c>
      <c r="DF59" s="406" t="s">
        <v>85</v>
      </c>
      <c r="DG59" s="407">
        <v>45839</v>
      </c>
      <c r="DH59" s="405" t="s">
        <v>9875</v>
      </c>
      <c r="DI59" s="406">
        <v>465455</v>
      </c>
      <c r="DJ59" s="408">
        <v>5</v>
      </c>
      <c r="DK59" s="405">
        <v>1</v>
      </c>
      <c r="DL59" s="82">
        <v>340.55</v>
      </c>
      <c r="DM59" s="409">
        <v>1.70275</v>
      </c>
      <c r="DN59" s="82" t="s">
        <v>85</v>
      </c>
      <c r="DO59" s="82" t="s">
        <v>85</v>
      </c>
      <c r="DP59" s="410" t="s">
        <v>85</v>
      </c>
    </row>
    <row r="60" spans="1:120" x14ac:dyDescent="0.25">
      <c r="A60" s="16" t="s">
        <v>9879</v>
      </c>
      <c r="B60" s="16" t="s">
        <v>9880</v>
      </c>
      <c r="C60" s="16" t="s">
        <v>9881</v>
      </c>
      <c r="D60" s="16" t="s">
        <v>9519</v>
      </c>
      <c r="E60" s="16" t="s">
        <v>9882</v>
      </c>
      <c r="F60" s="16" t="s">
        <v>9883</v>
      </c>
      <c r="G60" s="16" t="s">
        <v>9884</v>
      </c>
      <c r="H60" s="16" t="s">
        <v>9883</v>
      </c>
      <c r="I60" s="16" t="s">
        <v>2091</v>
      </c>
      <c r="J60" s="16" t="s">
        <v>928</v>
      </c>
      <c r="K60" s="16" t="s">
        <v>2092</v>
      </c>
      <c r="L60" s="16" t="s">
        <v>85</v>
      </c>
      <c r="M60" s="16" t="s">
        <v>1322</v>
      </c>
      <c r="N60" s="16" t="s">
        <v>914</v>
      </c>
      <c r="O60" s="16" t="s">
        <v>1323</v>
      </c>
      <c r="P60" s="16" t="s">
        <v>914</v>
      </c>
      <c r="Q60" s="16" t="s">
        <v>1323</v>
      </c>
      <c r="R60" s="16" t="s">
        <v>915</v>
      </c>
      <c r="S60" s="16" t="s">
        <v>915</v>
      </c>
      <c r="T60" s="16" t="s">
        <v>1322</v>
      </c>
      <c r="U60" s="16" t="s">
        <v>1324</v>
      </c>
      <c r="V60" s="16" t="s">
        <v>916</v>
      </c>
      <c r="W60" s="16" t="s">
        <v>1324</v>
      </c>
      <c r="X60" s="16" t="s">
        <v>934</v>
      </c>
      <c r="Y60" s="16" t="s">
        <v>934</v>
      </c>
      <c r="Z60" s="16" t="s">
        <v>935</v>
      </c>
      <c r="DA60" s="405" t="s">
        <v>5</v>
      </c>
      <c r="DB60" s="405" t="s">
        <v>363</v>
      </c>
      <c r="DC60" s="406" t="s">
        <v>85</v>
      </c>
      <c r="DD60" s="405" t="s">
        <v>917</v>
      </c>
      <c r="DE60" s="405" t="s">
        <v>5</v>
      </c>
      <c r="DF60" s="406" t="s">
        <v>85</v>
      </c>
      <c r="DG60" s="407">
        <v>45839</v>
      </c>
      <c r="DH60" s="405" t="s">
        <v>9882</v>
      </c>
      <c r="DI60" s="406">
        <v>465455</v>
      </c>
      <c r="DJ60" s="408">
        <v>5</v>
      </c>
      <c r="DK60" s="405">
        <v>1</v>
      </c>
      <c r="DL60" s="82">
        <v>332.47</v>
      </c>
      <c r="DM60" s="409">
        <v>1.6623500000000002</v>
      </c>
      <c r="DN60" s="82" t="s">
        <v>85</v>
      </c>
      <c r="DO60" s="82" t="s">
        <v>85</v>
      </c>
      <c r="DP60" s="410" t="s">
        <v>85</v>
      </c>
    </row>
    <row r="61" spans="1:120" x14ac:dyDescent="0.25">
      <c r="A61" s="16" t="s">
        <v>9885</v>
      </c>
      <c r="B61" s="16" t="s">
        <v>9886</v>
      </c>
      <c r="C61" s="16" t="s">
        <v>9887</v>
      </c>
      <c r="D61" s="16" t="s">
        <v>9519</v>
      </c>
      <c r="E61" s="16" t="s">
        <v>9888</v>
      </c>
      <c r="F61" s="16" t="s">
        <v>9889</v>
      </c>
      <c r="G61" s="16" t="s">
        <v>9890</v>
      </c>
      <c r="H61" s="16" t="s">
        <v>9889</v>
      </c>
      <c r="I61" s="16" t="s">
        <v>2997</v>
      </c>
      <c r="J61" s="16" t="s">
        <v>943</v>
      </c>
      <c r="K61" s="16" t="s">
        <v>2998</v>
      </c>
      <c r="L61" s="16" t="s">
        <v>85</v>
      </c>
      <c r="M61" s="16" t="s">
        <v>984</v>
      </c>
      <c r="N61" s="16" t="s">
        <v>914</v>
      </c>
      <c r="O61" s="16" t="s">
        <v>985</v>
      </c>
      <c r="P61" s="16" t="s">
        <v>914</v>
      </c>
      <c r="Q61" s="16" t="s">
        <v>985</v>
      </c>
      <c r="R61" s="16" t="s">
        <v>915</v>
      </c>
      <c r="S61" s="16" t="s">
        <v>915</v>
      </c>
      <c r="T61" s="16" t="s">
        <v>986</v>
      </c>
      <c r="U61" s="16" t="s">
        <v>987</v>
      </c>
      <c r="V61" s="16" t="s">
        <v>916</v>
      </c>
      <c r="W61" s="16" t="s">
        <v>987</v>
      </c>
      <c r="X61" s="16" t="s">
        <v>934</v>
      </c>
      <c r="Y61" s="16" t="s">
        <v>934</v>
      </c>
      <c r="Z61" s="16" t="s">
        <v>935</v>
      </c>
      <c r="DA61" s="405" t="s">
        <v>5</v>
      </c>
      <c r="DB61" s="405" t="s">
        <v>363</v>
      </c>
      <c r="DC61" s="406" t="s">
        <v>85</v>
      </c>
      <c r="DD61" s="405" t="s">
        <v>917</v>
      </c>
      <c r="DE61" s="405" t="s">
        <v>5</v>
      </c>
      <c r="DF61" s="406" t="s">
        <v>85</v>
      </c>
      <c r="DG61" s="407">
        <v>45839</v>
      </c>
      <c r="DH61" s="405" t="s">
        <v>9888</v>
      </c>
      <c r="DI61" s="406">
        <v>465455</v>
      </c>
      <c r="DJ61" s="408">
        <v>5</v>
      </c>
      <c r="DK61" s="405">
        <v>1</v>
      </c>
      <c r="DL61" s="82">
        <v>340.55</v>
      </c>
      <c r="DM61" s="409">
        <v>1.70275</v>
      </c>
      <c r="DN61" s="82" t="s">
        <v>85</v>
      </c>
      <c r="DO61" s="82" t="s">
        <v>85</v>
      </c>
      <c r="DP61" s="410" t="s">
        <v>85</v>
      </c>
    </row>
    <row r="62" spans="1:120" x14ac:dyDescent="0.25">
      <c r="A62" s="16" t="s">
        <v>9891</v>
      </c>
      <c r="B62" s="16" t="s">
        <v>9892</v>
      </c>
      <c r="C62" s="16" t="s">
        <v>9893</v>
      </c>
      <c r="D62" s="16" t="s">
        <v>9519</v>
      </c>
      <c r="E62" s="16" t="s">
        <v>9894</v>
      </c>
      <c r="F62" s="16" t="s">
        <v>9895</v>
      </c>
      <c r="G62" s="16" t="s">
        <v>9896</v>
      </c>
      <c r="H62" s="16" t="s">
        <v>9897</v>
      </c>
      <c r="I62" s="16" t="s">
        <v>1075</v>
      </c>
      <c r="J62" s="16" t="s">
        <v>1036</v>
      </c>
      <c r="K62" s="16" t="s">
        <v>1076</v>
      </c>
      <c r="L62" s="16" t="s">
        <v>85</v>
      </c>
      <c r="M62" s="16" t="s">
        <v>1216</v>
      </c>
      <c r="N62" s="16" t="s">
        <v>914</v>
      </c>
      <c r="O62" s="16" t="s">
        <v>946</v>
      </c>
      <c r="P62" s="16" t="s">
        <v>914</v>
      </c>
      <c r="Q62" s="16" t="s">
        <v>946</v>
      </c>
      <c r="R62" s="16" t="s">
        <v>915</v>
      </c>
      <c r="S62" s="16" t="s">
        <v>915</v>
      </c>
      <c r="T62" s="16" t="s">
        <v>1216</v>
      </c>
      <c r="U62" s="16" t="s">
        <v>1217</v>
      </c>
      <c r="V62" s="16" t="s">
        <v>916</v>
      </c>
      <c r="W62" s="16" t="s">
        <v>1217</v>
      </c>
      <c r="X62" s="16" t="s">
        <v>934</v>
      </c>
      <c r="Y62" s="16" t="s">
        <v>934</v>
      </c>
      <c r="Z62" s="16" t="s">
        <v>935</v>
      </c>
      <c r="DA62" s="405" t="s">
        <v>5</v>
      </c>
      <c r="DB62" s="405" t="s">
        <v>363</v>
      </c>
      <c r="DC62" s="406" t="s">
        <v>85</v>
      </c>
      <c r="DD62" s="405" t="s">
        <v>917</v>
      </c>
      <c r="DE62" s="405" t="s">
        <v>5</v>
      </c>
      <c r="DF62" s="406" t="s">
        <v>85</v>
      </c>
      <c r="DG62" s="407">
        <v>45839</v>
      </c>
      <c r="DH62" s="405" t="s">
        <v>9894</v>
      </c>
      <c r="DI62" s="406">
        <v>465455</v>
      </c>
      <c r="DJ62" s="408">
        <v>5</v>
      </c>
      <c r="DK62" s="405">
        <v>1</v>
      </c>
      <c r="DL62" s="82">
        <v>319.22000000000003</v>
      </c>
      <c r="DM62" s="409">
        <v>1.5961000000000001</v>
      </c>
      <c r="DN62" s="82" t="s">
        <v>85</v>
      </c>
      <c r="DO62" s="82" t="s">
        <v>85</v>
      </c>
      <c r="DP62" s="410" t="s">
        <v>85</v>
      </c>
    </row>
    <row r="63" spans="1:120" x14ac:dyDescent="0.25">
      <c r="A63" s="16" t="s">
        <v>9898</v>
      </c>
      <c r="B63" s="16" t="s">
        <v>9899</v>
      </c>
      <c r="C63" s="16" t="s">
        <v>9900</v>
      </c>
      <c r="D63" s="16" t="s">
        <v>9519</v>
      </c>
      <c r="E63" s="16" t="s">
        <v>9901</v>
      </c>
      <c r="F63" s="16" t="s">
        <v>9902</v>
      </c>
      <c r="G63" s="16" t="s">
        <v>9903</v>
      </c>
      <c r="H63" s="16" t="s">
        <v>9902</v>
      </c>
      <c r="I63" s="16" t="s">
        <v>1970</v>
      </c>
      <c r="J63" s="16" t="s">
        <v>995</v>
      </c>
      <c r="K63" s="16" t="s">
        <v>1971</v>
      </c>
      <c r="L63" s="16" t="s">
        <v>85</v>
      </c>
      <c r="M63" s="16" t="s">
        <v>1165</v>
      </c>
      <c r="N63" s="16" t="s">
        <v>914</v>
      </c>
      <c r="O63" s="16" t="s">
        <v>1166</v>
      </c>
      <c r="P63" s="16" t="s">
        <v>914</v>
      </c>
      <c r="Q63" s="16" t="s">
        <v>1166</v>
      </c>
      <c r="R63" s="16" t="s">
        <v>915</v>
      </c>
      <c r="S63" s="16" t="s">
        <v>915</v>
      </c>
      <c r="T63" s="16" t="s">
        <v>1167</v>
      </c>
      <c r="U63" s="16" t="s">
        <v>1168</v>
      </c>
      <c r="V63" s="16" t="s">
        <v>916</v>
      </c>
      <c r="W63" s="16" t="s">
        <v>1168</v>
      </c>
      <c r="X63" s="16" t="s">
        <v>934</v>
      </c>
      <c r="Y63" s="16" t="s">
        <v>934</v>
      </c>
      <c r="Z63" s="16" t="s">
        <v>935</v>
      </c>
      <c r="DA63" s="405" t="s">
        <v>5</v>
      </c>
      <c r="DB63" s="405" t="s">
        <v>363</v>
      </c>
      <c r="DC63" s="406" t="s">
        <v>85</v>
      </c>
      <c r="DD63" s="405" t="s">
        <v>917</v>
      </c>
      <c r="DE63" s="405" t="s">
        <v>5</v>
      </c>
      <c r="DF63" s="406" t="s">
        <v>85</v>
      </c>
      <c r="DG63" s="407">
        <v>45839</v>
      </c>
      <c r="DH63" s="405" t="s">
        <v>9901</v>
      </c>
      <c r="DI63" s="406">
        <v>465455</v>
      </c>
      <c r="DJ63" s="408">
        <v>5</v>
      </c>
      <c r="DK63" s="405">
        <v>1</v>
      </c>
      <c r="DL63" s="82">
        <v>468.28</v>
      </c>
      <c r="DM63" s="409">
        <v>2.3413999999999997</v>
      </c>
      <c r="DN63" s="82" t="s">
        <v>85</v>
      </c>
      <c r="DO63" s="82" t="s">
        <v>85</v>
      </c>
      <c r="DP63" s="410" t="s">
        <v>85</v>
      </c>
    </row>
    <row r="64" spans="1:120" x14ac:dyDescent="0.25">
      <c r="A64" s="16" t="s">
        <v>9904</v>
      </c>
      <c r="B64" s="16" t="s">
        <v>9905</v>
      </c>
      <c r="C64" s="16" t="s">
        <v>9906</v>
      </c>
      <c r="D64" s="16" t="s">
        <v>9519</v>
      </c>
      <c r="E64" s="16" t="s">
        <v>9907</v>
      </c>
      <c r="F64" s="16" t="s">
        <v>9908</v>
      </c>
      <c r="G64" s="16" t="s">
        <v>9909</v>
      </c>
      <c r="H64" s="16" t="s">
        <v>9910</v>
      </c>
      <c r="I64" s="16" t="s">
        <v>2271</v>
      </c>
      <c r="J64" s="16" t="s">
        <v>995</v>
      </c>
      <c r="K64" s="16" t="s">
        <v>2272</v>
      </c>
      <c r="L64" s="16" t="s">
        <v>85</v>
      </c>
      <c r="M64" s="16" t="s">
        <v>1165</v>
      </c>
      <c r="N64" s="16" t="s">
        <v>914</v>
      </c>
      <c r="O64" s="16" t="s">
        <v>1166</v>
      </c>
      <c r="P64" s="16" t="s">
        <v>914</v>
      </c>
      <c r="Q64" s="16" t="s">
        <v>1166</v>
      </c>
      <c r="R64" s="16" t="s">
        <v>915</v>
      </c>
      <c r="S64" s="16" t="s">
        <v>915</v>
      </c>
      <c r="T64" s="16" t="s">
        <v>1167</v>
      </c>
      <c r="U64" s="16" t="s">
        <v>1168</v>
      </c>
      <c r="V64" s="16" t="s">
        <v>916</v>
      </c>
      <c r="W64" s="16" t="s">
        <v>1168</v>
      </c>
      <c r="X64" s="16" t="s">
        <v>934</v>
      </c>
      <c r="Y64" s="16" t="s">
        <v>934</v>
      </c>
      <c r="Z64" s="16" t="s">
        <v>935</v>
      </c>
      <c r="DA64" s="405" t="s">
        <v>5</v>
      </c>
      <c r="DB64" s="405" t="s">
        <v>363</v>
      </c>
      <c r="DC64" s="406" t="s">
        <v>85</v>
      </c>
      <c r="DD64" s="405" t="s">
        <v>917</v>
      </c>
      <c r="DE64" s="405" t="s">
        <v>5</v>
      </c>
      <c r="DF64" s="406" t="s">
        <v>85</v>
      </c>
      <c r="DG64" s="407">
        <v>45839</v>
      </c>
      <c r="DH64" s="405" t="s">
        <v>9907</v>
      </c>
      <c r="DI64" s="406">
        <v>465455</v>
      </c>
      <c r="DJ64" s="408">
        <v>5</v>
      </c>
      <c r="DK64" s="405">
        <v>1</v>
      </c>
      <c r="DL64" s="82">
        <v>468.28</v>
      </c>
      <c r="DM64" s="409">
        <v>2.3413999999999997</v>
      </c>
      <c r="DN64" s="82" t="s">
        <v>85</v>
      </c>
      <c r="DO64" s="82" t="s">
        <v>85</v>
      </c>
      <c r="DP64" s="410" t="s">
        <v>85</v>
      </c>
    </row>
    <row r="65" spans="1:120" x14ac:dyDescent="0.25">
      <c r="A65" s="16" t="s">
        <v>9911</v>
      </c>
      <c r="B65" s="16" t="s">
        <v>9912</v>
      </c>
      <c r="C65" s="16" t="s">
        <v>9913</v>
      </c>
      <c r="D65" s="16" t="s">
        <v>9519</v>
      </c>
      <c r="E65" s="16" t="s">
        <v>9914</v>
      </c>
      <c r="F65" s="16" t="s">
        <v>9915</v>
      </c>
      <c r="G65" s="16" t="s">
        <v>9916</v>
      </c>
      <c r="H65" s="16" t="s">
        <v>9915</v>
      </c>
      <c r="I65" s="16" t="s">
        <v>3164</v>
      </c>
      <c r="J65" s="16" t="s">
        <v>995</v>
      </c>
      <c r="K65" s="16" t="s">
        <v>3165</v>
      </c>
      <c r="L65" s="16" t="s">
        <v>85</v>
      </c>
      <c r="M65" s="16" t="s">
        <v>9917</v>
      </c>
      <c r="N65" s="16" t="s">
        <v>914</v>
      </c>
      <c r="O65" s="16" t="s">
        <v>1166</v>
      </c>
      <c r="P65" s="16" t="s">
        <v>914</v>
      </c>
      <c r="Q65" s="16" t="s">
        <v>1166</v>
      </c>
      <c r="R65" s="16" t="s">
        <v>915</v>
      </c>
      <c r="S65" s="16" t="s">
        <v>915</v>
      </c>
      <c r="T65" s="16" t="s">
        <v>9917</v>
      </c>
      <c r="U65" s="16" t="s">
        <v>9918</v>
      </c>
      <c r="V65" s="16" t="s">
        <v>916</v>
      </c>
      <c r="W65" s="16" t="s">
        <v>9918</v>
      </c>
      <c r="X65" s="16" t="s">
        <v>934</v>
      </c>
      <c r="Y65" s="16" t="s">
        <v>934</v>
      </c>
      <c r="Z65" s="16" t="s">
        <v>935</v>
      </c>
      <c r="DA65" s="405" t="s">
        <v>5</v>
      </c>
      <c r="DB65" s="405" t="s">
        <v>363</v>
      </c>
      <c r="DC65" s="406" t="s">
        <v>85</v>
      </c>
      <c r="DD65" s="405" t="s">
        <v>917</v>
      </c>
      <c r="DE65" s="405" t="s">
        <v>5</v>
      </c>
      <c r="DF65" s="406" t="s">
        <v>85</v>
      </c>
      <c r="DG65" s="407">
        <v>45839</v>
      </c>
      <c r="DH65" s="405" t="s">
        <v>9914</v>
      </c>
      <c r="DI65" s="406">
        <v>465455</v>
      </c>
      <c r="DJ65" s="408">
        <v>5</v>
      </c>
      <c r="DK65" s="405">
        <v>1</v>
      </c>
      <c r="DL65" s="82">
        <v>468.44</v>
      </c>
      <c r="DM65" s="409">
        <v>2.3422000000000001</v>
      </c>
      <c r="DN65" s="82" t="s">
        <v>85</v>
      </c>
      <c r="DO65" s="82" t="s">
        <v>85</v>
      </c>
      <c r="DP65" s="410" t="s">
        <v>85</v>
      </c>
    </row>
    <row r="66" spans="1:120" x14ac:dyDescent="0.25">
      <c r="A66" s="16" t="s">
        <v>9919</v>
      </c>
      <c r="B66" s="16" t="s">
        <v>9920</v>
      </c>
      <c r="C66" s="16" t="s">
        <v>9921</v>
      </c>
      <c r="D66" s="16" t="s">
        <v>9519</v>
      </c>
      <c r="E66" s="16" t="s">
        <v>9922</v>
      </c>
      <c r="F66" s="16" t="s">
        <v>9923</v>
      </c>
      <c r="G66" s="16" t="s">
        <v>9924</v>
      </c>
      <c r="H66" s="16" t="s">
        <v>9925</v>
      </c>
      <c r="I66" s="16" t="s">
        <v>3832</v>
      </c>
      <c r="J66" s="16" t="s">
        <v>2699</v>
      </c>
      <c r="K66" s="16" t="s">
        <v>3833</v>
      </c>
      <c r="L66" s="16" t="s">
        <v>85</v>
      </c>
      <c r="M66" s="16" t="s">
        <v>2701</v>
      </c>
      <c r="N66" s="16" t="s">
        <v>914</v>
      </c>
      <c r="O66" s="16" t="s">
        <v>2702</v>
      </c>
      <c r="P66" s="16" t="s">
        <v>914</v>
      </c>
      <c r="Q66" s="16" t="s">
        <v>2702</v>
      </c>
      <c r="R66" s="16" t="s">
        <v>915</v>
      </c>
      <c r="S66" s="16" t="s">
        <v>915</v>
      </c>
      <c r="T66" s="16" t="s">
        <v>2703</v>
      </c>
      <c r="U66" s="16" t="s">
        <v>2704</v>
      </c>
      <c r="V66" s="16" t="s">
        <v>916</v>
      </c>
      <c r="W66" s="16" t="s">
        <v>2704</v>
      </c>
      <c r="X66" s="16" t="s">
        <v>934</v>
      </c>
      <c r="Y66" s="16" t="s">
        <v>934</v>
      </c>
      <c r="Z66" s="16" t="s">
        <v>935</v>
      </c>
      <c r="DA66" s="405" t="s">
        <v>5</v>
      </c>
      <c r="DB66" s="405" t="s">
        <v>363</v>
      </c>
      <c r="DC66" s="406" t="s">
        <v>85</v>
      </c>
      <c r="DD66" s="405" t="s">
        <v>917</v>
      </c>
      <c r="DE66" s="405" t="s">
        <v>5</v>
      </c>
      <c r="DF66" s="406" t="s">
        <v>85</v>
      </c>
      <c r="DG66" s="407">
        <v>45839</v>
      </c>
      <c r="DH66" s="405" t="s">
        <v>9922</v>
      </c>
      <c r="DI66" s="406">
        <v>465455</v>
      </c>
      <c r="DJ66" s="408">
        <v>5</v>
      </c>
      <c r="DK66" s="405">
        <v>1</v>
      </c>
      <c r="DL66" s="82">
        <v>478.9</v>
      </c>
      <c r="DM66" s="409">
        <v>2.3944999999999999</v>
      </c>
      <c r="DN66" s="82" t="s">
        <v>85</v>
      </c>
      <c r="DO66" s="82" t="s">
        <v>85</v>
      </c>
      <c r="DP66" s="410" t="s">
        <v>85</v>
      </c>
    </row>
    <row r="67" spans="1:120" x14ac:dyDescent="0.25">
      <c r="A67" s="16" t="s">
        <v>9292</v>
      </c>
      <c r="B67" s="16" t="s">
        <v>9293</v>
      </c>
      <c r="C67" s="16" t="s">
        <v>9294</v>
      </c>
      <c r="D67" s="16" t="s">
        <v>9295</v>
      </c>
      <c r="E67" s="16" t="s">
        <v>9296</v>
      </c>
      <c r="F67" s="16" t="s">
        <v>9297</v>
      </c>
      <c r="G67" s="16" t="s">
        <v>9298</v>
      </c>
      <c r="H67" s="16" t="s">
        <v>9297</v>
      </c>
      <c r="I67" s="16" t="s">
        <v>9299</v>
      </c>
      <c r="J67" s="16" t="s">
        <v>9300</v>
      </c>
      <c r="K67" s="16" t="s">
        <v>9301</v>
      </c>
      <c r="L67" s="16" t="s">
        <v>85</v>
      </c>
      <c r="M67" s="16" t="s">
        <v>9302</v>
      </c>
      <c r="N67" s="16" t="s">
        <v>914</v>
      </c>
      <c r="O67" s="16" t="s">
        <v>9303</v>
      </c>
      <c r="P67" s="16" t="s">
        <v>914</v>
      </c>
      <c r="Q67" s="16" t="s">
        <v>9303</v>
      </c>
      <c r="R67" s="16" t="s">
        <v>915</v>
      </c>
      <c r="S67" s="16" t="s">
        <v>915</v>
      </c>
      <c r="T67" s="16" t="s">
        <v>9302</v>
      </c>
      <c r="U67" s="16" t="s">
        <v>9304</v>
      </c>
      <c r="V67" s="16" t="s">
        <v>916</v>
      </c>
      <c r="W67" s="16" t="s">
        <v>9304</v>
      </c>
      <c r="X67" s="16" t="s">
        <v>934</v>
      </c>
      <c r="Y67" s="16" t="s">
        <v>934</v>
      </c>
      <c r="Z67" s="16" t="s">
        <v>935</v>
      </c>
      <c r="DA67" s="405" t="s">
        <v>5</v>
      </c>
      <c r="DB67" s="405" t="s">
        <v>363</v>
      </c>
      <c r="DC67" s="406" t="s">
        <v>85</v>
      </c>
      <c r="DD67" s="405" t="s">
        <v>917</v>
      </c>
      <c r="DE67" s="405" t="s">
        <v>5</v>
      </c>
      <c r="DF67" s="406" t="s">
        <v>85</v>
      </c>
      <c r="DG67" s="407">
        <v>45840</v>
      </c>
      <c r="DH67" s="405" t="s">
        <v>9296</v>
      </c>
      <c r="DI67" s="406">
        <v>465455</v>
      </c>
      <c r="DJ67" s="408">
        <v>5</v>
      </c>
      <c r="DK67" s="405">
        <v>1</v>
      </c>
      <c r="DL67" s="82">
        <v>399.15</v>
      </c>
      <c r="DM67" s="409">
        <v>1.9957499999999999</v>
      </c>
      <c r="DN67" s="82" t="s">
        <v>85</v>
      </c>
      <c r="DO67" s="82" t="s">
        <v>85</v>
      </c>
      <c r="DP67" s="410" t="s">
        <v>85</v>
      </c>
    </row>
    <row r="68" spans="1:120" x14ac:dyDescent="0.25">
      <c r="A68" s="16" t="s">
        <v>9305</v>
      </c>
      <c r="B68" s="16" t="s">
        <v>9306</v>
      </c>
      <c r="C68" s="16" t="s">
        <v>9307</v>
      </c>
      <c r="D68" s="16" t="s">
        <v>9295</v>
      </c>
      <c r="E68" s="16" t="s">
        <v>9308</v>
      </c>
      <c r="F68" s="16" t="s">
        <v>9309</v>
      </c>
      <c r="G68" s="16" t="s">
        <v>9310</v>
      </c>
      <c r="H68" s="16" t="s">
        <v>9309</v>
      </c>
      <c r="I68" s="16" t="s">
        <v>1914</v>
      </c>
      <c r="J68" s="16" t="s">
        <v>928</v>
      </c>
      <c r="K68" s="16" t="s">
        <v>1915</v>
      </c>
      <c r="L68" s="16" t="s">
        <v>85</v>
      </c>
      <c r="M68" s="16" t="s">
        <v>1322</v>
      </c>
      <c r="N68" s="16" t="s">
        <v>914</v>
      </c>
      <c r="O68" s="16" t="s">
        <v>1323</v>
      </c>
      <c r="P68" s="16" t="s">
        <v>914</v>
      </c>
      <c r="Q68" s="16" t="s">
        <v>1323</v>
      </c>
      <c r="R68" s="16" t="s">
        <v>915</v>
      </c>
      <c r="S68" s="16" t="s">
        <v>915</v>
      </c>
      <c r="T68" s="16" t="s">
        <v>1322</v>
      </c>
      <c r="U68" s="16" t="s">
        <v>1324</v>
      </c>
      <c r="V68" s="16" t="s">
        <v>916</v>
      </c>
      <c r="W68" s="16" t="s">
        <v>1324</v>
      </c>
      <c r="X68" s="16" t="s">
        <v>934</v>
      </c>
      <c r="Y68" s="16" t="s">
        <v>934</v>
      </c>
      <c r="Z68" s="16" t="s">
        <v>935</v>
      </c>
      <c r="DA68" s="405" t="s">
        <v>5</v>
      </c>
      <c r="DB68" s="405" t="s">
        <v>363</v>
      </c>
      <c r="DC68" s="406" t="s">
        <v>85</v>
      </c>
      <c r="DD68" s="405" t="s">
        <v>917</v>
      </c>
      <c r="DE68" s="405" t="s">
        <v>5</v>
      </c>
      <c r="DF68" s="406" t="s">
        <v>85</v>
      </c>
      <c r="DG68" s="407">
        <v>45840</v>
      </c>
      <c r="DH68" s="405" t="s">
        <v>9308</v>
      </c>
      <c r="DI68" s="406">
        <v>465455</v>
      </c>
      <c r="DJ68" s="408">
        <v>5</v>
      </c>
      <c r="DK68" s="405">
        <v>1</v>
      </c>
      <c r="DL68" s="82">
        <v>332.47</v>
      </c>
      <c r="DM68" s="409">
        <v>1.6623500000000002</v>
      </c>
      <c r="DN68" s="82" t="s">
        <v>85</v>
      </c>
      <c r="DO68" s="82" t="s">
        <v>85</v>
      </c>
      <c r="DP68" s="410" t="s">
        <v>85</v>
      </c>
    </row>
    <row r="69" spans="1:120" x14ac:dyDescent="0.25">
      <c r="A69" s="16" t="s">
        <v>9311</v>
      </c>
      <c r="B69" s="16" t="s">
        <v>9312</v>
      </c>
      <c r="C69" s="16" t="s">
        <v>9313</v>
      </c>
      <c r="D69" s="16" t="s">
        <v>9295</v>
      </c>
      <c r="E69" s="16" t="s">
        <v>9314</v>
      </c>
      <c r="F69" s="16" t="s">
        <v>9315</v>
      </c>
      <c r="G69" s="16" t="s">
        <v>9316</v>
      </c>
      <c r="H69" s="16" t="s">
        <v>9315</v>
      </c>
      <c r="I69" s="16" t="s">
        <v>1598</v>
      </c>
      <c r="J69" s="16" t="s">
        <v>995</v>
      </c>
      <c r="K69" s="16" t="s">
        <v>1599</v>
      </c>
      <c r="L69" s="16" t="s">
        <v>85</v>
      </c>
      <c r="M69" s="16" t="s">
        <v>1165</v>
      </c>
      <c r="N69" s="16" t="s">
        <v>914</v>
      </c>
      <c r="O69" s="16" t="s">
        <v>1166</v>
      </c>
      <c r="P69" s="16" t="s">
        <v>914</v>
      </c>
      <c r="Q69" s="16" t="s">
        <v>1166</v>
      </c>
      <c r="R69" s="16" t="s">
        <v>915</v>
      </c>
      <c r="S69" s="16" t="s">
        <v>915</v>
      </c>
      <c r="T69" s="16" t="s">
        <v>1167</v>
      </c>
      <c r="U69" s="16" t="s">
        <v>1168</v>
      </c>
      <c r="V69" s="16" t="s">
        <v>916</v>
      </c>
      <c r="W69" s="16" t="s">
        <v>1168</v>
      </c>
      <c r="X69" s="16" t="s">
        <v>934</v>
      </c>
      <c r="Y69" s="16" t="s">
        <v>934</v>
      </c>
      <c r="Z69" s="16" t="s">
        <v>935</v>
      </c>
      <c r="DA69" s="405" t="s">
        <v>5</v>
      </c>
      <c r="DB69" s="405" t="s">
        <v>363</v>
      </c>
      <c r="DC69" s="406" t="s">
        <v>85</v>
      </c>
      <c r="DD69" s="405" t="s">
        <v>917</v>
      </c>
      <c r="DE69" s="405" t="s">
        <v>5</v>
      </c>
      <c r="DF69" s="406" t="s">
        <v>85</v>
      </c>
      <c r="DG69" s="407">
        <v>45840</v>
      </c>
      <c r="DH69" s="405" t="s">
        <v>9314</v>
      </c>
      <c r="DI69" s="406">
        <v>465455</v>
      </c>
      <c r="DJ69" s="408">
        <v>5</v>
      </c>
      <c r="DK69" s="405">
        <v>1</v>
      </c>
      <c r="DL69" s="82">
        <v>468.28</v>
      </c>
      <c r="DM69" s="409">
        <v>2.3413999999999997</v>
      </c>
      <c r="DN69" s="82" t="s">
        <v>85</v>
      </c>
      <c r="DO69" s="82" t="s">
        <v>85</v>
      </c>
      <c r="DP69" s="410" t="s">
        <v>85</v>
      </c>
    </row>
    <row r="70" spans="1:120" x14ac:dyDescent="0.25">
      <c r="A70" s="16" t="s">
        <v>9317</v>
      </c>
      <c r="B70" s="16" t="s">
        <v>9318</v>
      </c>
      <c r="C70" s="16" t="s">
        <v>9319</v>
      </c>
      <c r="D70" s="16" t="s">
        <v>9295</v>
      </c>
      <c r="E70" s="16" t="s">
        <v>9320</v>
      </c>
      <c r="F70" s="16" t="s">
        <v>9321</v>
      </c>
      <c r="G70" s="16" t="s">
        <v>9322</v>
      </c>
      <c r="H70" s="16" t="s">
        <v>9321</v>
      </c>
      <c r="I70" s="16" t="s">
        <v>4273</v>
      </c>
      <c r="J70" s="16" t="s">
        <v>943</v>
      </c>
      <c r="K70" s="16" t="s">
        <v>4274</v>
      </c>
      <c r="L70" s="16" t="s">
        <v>85</v>
      </c>
      <c r="M70" s="16" t="s">
        <v>984</v>
      </c>
      <c r="N70" s="16" t="s">
        <v>914</v>
      </c>
      <c r="O70" s="16" t="s">
        <v>985</v>
      </c>
      <c r="P70" s="16" t="s">
        <v>914</v>
      </c>
      <c r="Q70" s="16" t="s">
        <v>985</v>
      </c>
      <c r="R70" s="16" t="s">
        <v>915</v>
      </c>
      <c r="S70" s="16" t="s">
        <v>915</v>
      </c>
      <c r="T70" s="16" t="s">
        <v>986</v>
      </c>
      <c r="U70" s="16" t="s">
        <v>987</v>
      </c>
      <c r="V70" s="16" t="s">
        <v>916</v>
      </c>
      <c r="W70" s="16" t="s">
        <v>987</v>
      </c>
      <c r="X70" s="16" t="s">
        <v>934</v>
      </c>
      <c r="Y70" s="16" t="s">
        <v>934</v>
      </c>
      <c r="Z70" s="16" t="s">
        <v>935</v>
      </c>
      <c r="DA70" s="405" t="s">
        <v>5</v>
      </c>
      <c r="DB70" s="405" t="s">
        <v>363</v>
      </c>
      <c r="DC70" s="406" t="s">
        <v>85</v>
      </c>
      <c r="DD70" s="405" t="s">
        <v>917</v>
      </c>
      <c r="DE70" s="405" t="s">
        <v>5</v>
      </c>
      <c r="DF70" s="406" t="s">
        <v>85</v>
      </c>
      <c r="DG70" s="407">
        <v>45840</v>
      </c>
      <c r="DH70" s="405" t="s">
        <v>9320</v>
      </c>
      <c r="DI70" s="406">
        <v>465455</v>
      </c>
      <c r="DJ70" s="408">
        <v>5</v>
      </c>
      <c r="DK70" s="405">
        <v>1</v>
      </c>
      <c r="DL70" s="82">
        <v>340.55</v>
      </c>
      <c r="DM70" s="409">
        <v>1.70275</v>
      </c>
      <c r="DN70" s="82" t="s">
        <v>85</v>
      </c>
      <c r="DO70" s="82" t="s">
        <v>85</v>
      </c>
      <c r="DP70" s="410" t="s">
        <v>85</v>
      </c>
    </row>
    <row r="71" spans="1:120" x14ac:dyDescent="0.25">
      <c r="A71" s="16" t="s">
        <v>9323</v>
      </c>
      <c r="B71" s="16" t="s">
        <v>9324</v>
      </c>
      <c r="C71" s="16" t="s">
        <v>9325</v>
      </c>
      <c r="D71" s="16" t="s">
        <v>9295</v>
      </c>
      <c r="E71" s="16" t="s">
        <v>9326</v>
      </c>
      <c r="F71" s="16" t="s">
        <v>9327</v>
      </c>
      <c r="G71" s="16" t="s">
        <v>9328</v>
      </c>
      <c r="H71" s="16" t="s">
        <v>9329</v>
      </c>
      <c r="I71" s="16" t="s">
        <v>1017</v>
      </c>
      <c r="J71" s="16" t="s">
        <v>995</v>
      </c>
      <c r="K71" s="16" t="s">
        <v>1018</v>
      </c>
      <c r="L71" s="16" t="s">
        <v>85</v>
      </c>
      <c r="M71" s="16" t="s">
        <v>1165</v>
      </c>
      <c r="N71" s="16" t="s">
        <v>914</v>
      </c>
      <c r="O71" s="16" t="s">
        <v>1166</v>
      </c>
      <c r="P71" s="16" t="s">
        <v>914</v>
      </c>
      <c r="Q71" s="16" t="s">
        <v>1166</v>
      </c>
      <c r="R71" s="16" t="s">
        <v>915</v>
      </c>
      <c r="S71" s="16" t="s">
        <v>915</v>
      </c>
      <c r="T71" s="16" t="s">
        <v>1167</v>
      </c>
      <c r="U71" s="16" t="s">
        <v>1168</v>
      </c>
      <c r="V71" s="16" t="s">
        <v>916</v>
      </c>
      <c r="W71" s="16" t="s">
        <v>1168</v>
      </c>
      <c r="X71" s="16" t="s">
        <v>934</v>
      </c>
      <c r="Y71" s="16" t="s">
        <v>934</v>
      </c>
      <c r="Z71" s="16" t="s">
        <v>935</v>
      </c>
      <c r="DA71" s="405" t="s">
        <v>5</v>
      </c>
      <c r="DB71" s="405" t="s">
        <v>363</v>
      </c>
      <c r="DC71" s="406" t="s">
        <v>85</v>
      </c>
      <c r="DD71" s="405" t="s">
        <v>917</v>
      </c>
      <c r="DE71" s="405" t="s">
        <v>5</v>
      </c>
      <c r="DF71" s="406" t="s">
        <v>85</v>
      </c>
      <c r="DG71" s="407">
        <v>45840</v>
      </c>
      <c r="DH71" s="405" t="s">
        <v>9326</v>
      </c>
      <c r="DI71" s="406">
        <v>465455</v>
      </c>
      <c r="DJ71" s="408">
        <v>5</v>
      </c>
      <c r="DK71" s="405">
        <v>1</v>
      </c>
      <c r="DL71" s="82">
        <v>468.28</v>
      </c>
      <c r="DM71" s="409">
        <v>2.3413999999999997</v>
      </c>
      <c r="DN71" s="82" t="s">
        <v>85</v>
      </c>
      <c r="DO71" s="82" t="s">
        <v>85</v>
      </c>
      <c r="DP71" s="410" t="s">
        <v>85</v>
      </c>
    </row>
    <row r="72" spans="1:120" x14ac:dyDescent="0.25">
      <c r="A72" s="16" t="s">
        <v>9330</v>
      </c>
      <c r="B72" s="16" t="s">
        <v>9331</v>
      </c>
      <c r="C72" s="16" t="s">
        <v>9332</v>
      </c>
      <c r="D72" s="16" t="s">
        <v>9295</v>
      </c>
      <c r="E72" s="16" t="s">
        <v>9333</v>
      </c>
      <c r="F72" s="16" t="s">
        <v>9334</v>
      </c>
      <c r="G72" s="16" t="s">
        <v>9335</v>
      </c>
      <c r="H72" s="16" t="s">
        <v>9336</v>
      </c>
      <c r="I72" s="16" t="s">
        <v>9337</v>
      </c>
      <c r="J72" s="16" t="s">
        <v>9338</v>
      </c>
      <c r="K72" s="16" t="s">
        <v>9339</v>
      </c>
      <c r="L72" s="16" t="s">
        <v>85</v>
      </c>
      <c r="M72" s="16" t="s">
        <v>8606</v>
      </c>
      <c r="N72" s="16" t="s">
        <v>914</v>
      </c>
      <c r="O72" s="16" t="s">
        <v>8607</v>
      </c>
      <c r="P72" s="16" t="s">
        <v>914</v>
      </c>
      <c r="Q72" s="16" t="s">
        <v>8607</v>
      </c>
      <c r="R72" s="16" t="s">
        <v>915</v>
      </c>
      <c r="S72" s="16" t="s">
        <v>915</v>
      </c>
      <c r="T72" s="16" t="s">
        <v>8606</v>
      </c>
      <c r="U72" s="16" t="s">
        <v>8608</v>
      </c>
      <c r="V72" s="16" t="s">
        <v>916</v>
      </c>
      <c r="W72" s="16" t="s">
        <v>8608</v>
      </c>
      <c r="X72" s="16" t="s">
        <v>934</v>
      </c>
      <c r="Y72" s="16" t="s">
        <v>934</v>
      </c>
      <c r="Z72" s="16" t="s">
        <v>935</v>
      </c>
      <c r="DA72" s="405" t="s">
        <v>5</v>
      </c>
      <c r="DB72" s="405" t="s">
        <v>363</v>
      </c>
      <c r="DC72" s="406" t="s">
        <v>85</v>
      </c>
      <c r="DD72" s="405" t="s">
        <v>917</v>
      </c>
      <c r="DE72" s="405" t="s">
        <v>5</v>
      </c>
      <c r="DF72" s="406" t="s">
        <v>85</v>
      </c>
      <c r="DG72" s="407">
        <v>45840</v>
      </c>
      <c r="DH72" s="405" t="s">
        <v>9333</v>
      </c>
      <c r="DI72" s="406">
        <v>465455</v>
      </c>
      <c r="DJ72" s="408">
        <v>5</v>
      </c>
      <c r="DK72" s="405">
        <v>1</v>
      </c>
      <c r="DL72" s="82">
        <v>297.92</v>
      </c>
      <c r="DM72" s="409">
        <v>1.4896</v>
      </c>
      <c r="DN72" s="82" t="s">
        <v>85</v>
      </c>
      <c r="DO72" s="82" t="s">
        <v>85</v>
      </c>
      <c r="DP72" s="410" t="s">
        <v>85</v>
      </c>
    </row>
    <row r="73" spans="1:120" x14ac:dyDescent="0.25">
      <c r="A73" s="16" t="s">
        <v>9340</v>
      </c>
      <c r="B73" s="16" t="s">
        <v>9341</v>
      </c>
      <c r="C73" s="16" t="s">
        <v>9342</v>
      </c>
      <c r="D73" s="16" t="s">
        <v>9295</v>
      </c>
      <c r="E73" s="16" t="s">
        <v>9343</v>
      </c>
      <c r="F73" s="16" t="s">
        <v>9344</v>
      </c>
      <c r="G73" s="16" t="s">
        <v>9345</v>
      </c>
      <c r="H73" s="16" t="s">
        <v>9346</v>
      </c>
      <c r="I73" s="16" t="s">
        <v>9347</v>
      </c>
      <c r="J73" s="16" t="s">
        <v>9348</v>
      </c>
      <c r="K73" s="16" t="s">
        <v>9349</v>
      </c>
      <c r="L73" s="16" t="s">
        <v>85</v>
      </c>
      <c r="M73" s="16" t="s">
        <v>9350</v>
      </c>
      <c r="N73" s="16" t="s">
        <v>914</v>
      </c>
      <c r="O73" s="16" t="s">
        <v>9303</v>
      </c>
      <c r="P73" s="16" t="s">
        <v>914</v>
      </c>
      <c r="Q73" s="16" t="s">
        <v>9303</v>
      </c>
      <c r="R73" s="16" t="s">
        <v>915</v>
      </c>
      <c r="S73" s="16" t="s">
        <v>915</v>
      </c>
      <c r="T73" s="16" t="s">
        <v>9351</v>
      </c>
      <c r="U73" s="16" t="s">
        <v>9352</v>
      </c>
      <c r="V73" s="16" t="s">
        <v>916</v>
      </c>
      <c r="W73" s="16" t="s">
        <v>9352</v>
      </c>
      <c r="X73" s="16" t="s">
        <v>934</v>
      </c>
      <c r="Y73" s="16" t="s">
        <v>934</v>
      </c>
      <c r="Z73" s="16" t="s">
        <v>935</v>
      </c>
      <c r="DA73" s="405" t="s">
        <v>5</v>
      </c>
      <c r="DB73" s="405" t="s">
        <v>363</v>
      </c>
      <c r="DC73" s="406" t="s">
        <v>85</v>
      </c>
      <c r="DD73" s="405" t="s">
        <v>917</v>
      </c>
      <c r="DE73" s="405" t="s">
        <v>5</v>
      </c>
      <c r="DF73" s="406" t="s">
        <v>85</v>
      </c>
      <c r="DG73" s="407">
        <v>45840</v>
      </c>
      <c r="DH73" s="405" t="s">
        <v>9343</v>
      </c>
      <c r="DI73" s="406">
        <v>465455</v>
      </c>
      <c r="DJ73" s="408">
        <v>5</v>
      </c>
      <c r="DK73" s="405">
        <v>1</v>
      </c>
      <c r="DL73" s="82">
        <v>399.02</v>
      </c>
      <c r="DM73" s="409">
        <v>1.9950999999999999</v>
      </c>
      <c r="DN73" s="82" t="s">
        <v>85</v>
      </c>
      <c r="DO73" s="82" t="s">
        <v>85</v>
      </c>
      <c r="DP73" s="410" t="s">
        <v>85</v>
      </c>
    </row>
    <row r="74" spans="1:120" x14ac:dyDescent="0.25">
      <c r="A74" s="16" t="s">
        <v>9353</v>
      </c>
      <c r="B74" s="16" t="s">
        <v>9354</v>
      </c>
      <c r="C74" s="16" t="s">
        <v>9355</v>
      </c>
      <c r="D74" s="16" t="s">
        <v>9295</v>
      </c>
      <c r="E74" s="16" t="s">
        <v>9356</v>
      </c>
      <c r="F74" s="16" t="s">
        <v>9357</v>
      </c>
      <c r="G74" s="16" t="s">
        <v>9358</v>
      </c>
      <c r="H74" s="16" t="s">
        <v>9357</v>
      </c>
      <c r="I74" s="16" t="s">
        <v>6196</v>
      </c>
      <c r="J74" s="16" t="s">
        <v>1123</v>
      </c>
      <c r="K74" s="16" t="s">
        <v>6197</v>
      </c>
      <c r="L74" s="16" t="s">
        <v>85</v>
      </c>
      <c r="M74" s="16" t="s">
        <v>1238</v>
      </c>
      <c r="N74" s="16" t="s">
        <v>914</v>
      </c>
      <c r="O74" s="16" t="s">
        <v>1239</v>
      </c>
      <c r="P74" s="16" t="s">
        <v>914</v>
      </c>
      <c r="Q74" s="16" t="s">
        <v>1239</v>
      </c>
      <c r="R74" s="16" t="s">
        <v>915</v>
      </c>
      <c r="S74" s="16" t="s">
        <v>915</v>
      </c>
      <c r="T74" s="16" t="s">
        <v>1238</v>
      </c>
      <c r="U74" s="16" t="s">
        <v>1240</v>
      </c>
      <c r="V74" s="16" t="s">
        <v>916</v>
      </c>
      <c r="W74" s="16" t="s">
        <v>1240</v>
      </c>
      <c r="X74" s="16" t="s">
        <v>934</v>
      </c>
      <c r="Y74" s="16" t="s">
        <v>934</v>
      </c>
      <c r="Z74" s="16" t="s">
        <v>935</v>
      </c>
      <c r="DA74" s="405" t="s">
        <v>5</v>
      </c>
      <c r="DB74" s="405" t="s">
        <v>363</v>
      </c>
      <c r="DC74" s="406" t="s">
        <v>85</v>
      </c>
      <c r="DD74" s="405" t="s">
        <v>917</v>
      </c>
      <c r="DE74" s="405" t="s">
        <v>5</v>
      </c>
      <c r="DF74" s="406" t="s">
        <v>85</v>
      </c>
      <c r="DG74" s="407">
        <v>45840</v>
      </c>
      <c r="DH74" s="405" t="s">
        <v>9356</v>
      </c>
      <c r="DI74" s="406">
        <v>465455</v>
      </c>
      <c r="DJ74" s="408">
        <v>5</v>
      </c>
      <c r="DK74" s="405">
        <v>1</v>
      </c>
      <c r="DL74" s="82">
        <v>383.16</v>
      </c>
      <c r="DM74" s="409">
        <v>1.9158000000000002</v>
      </c>
      <c r="DN74" s="82" t="s">
        <v>85</v>
      </c>
      <c r="DO74" s="82" t="s">
        <v>85</v>
      </c>
      <c r="DP74" s="410" t="s">
        <v>85</v>
      </c>
    </row>
    <row r="75" spans="1:120" x14ac:dyDescent="0.25">
      <c r="A75" s="16" t="s">
        <v>9359</v>
      </c>
      <c r="B75" s="16" t="s">
        <v>9360</v>
      </c>
      <c r="C75" s="16" t="s">
        <v>9361</v>
      </c>
      <c r="D75" s="16" t="s">
        <v>9295</v>
      </c>
      <c r="E75" s="16" t="s">
        <v>9362</v>
      </c>
      <c r="F75" s="16" t="s">
        <v>9363</v>
      </c>
      <c r="G75" s="16" t="s">
        <v>9364</v>
      </c>
      <c r="H75" s="16" t="s">
        <v>9365</v>
      </c>
      <c r="I75" s="16" t="s">
        <v>1912</v>
      </c>
      <c r="J75" s="16" t="s">
        <v>928</v>
      </c>
      <c r="K75" s="16" t="s">
        <v>1913</v>
      </c>
      <c r="L75" s="16" t="s">
        <v>85</v>
      </c>
      <c r="M75" s="16" t="s">
        <v>1322</v>
      </c>
      <c r="N75" s="16" t="s">
        <v>914</v>
      </c>
      <c r="O75" s="16" t="s">
        <v>1323</v>
      </c>
      <c r="P75" s="16" t="s">
        <v>914</v>
      </c>
      <c r="Q75" s="16" t="s">
        <v>1323</v>
      </c>
      <c r="R75" s="16" t="s">
        <v>915</v>
      </c>
      <c r="S75" s="16" t="s">
        <v>915</v>
      </c>
      <c r="T75" s="16" t="s">
        <v>1322</v>
      </c>
      <c r="U75" s="16" t="s">
        <v>1324</v>
      </c>
      <c r="V75" s="16" t="s">
        <v>916</v>
      </c>
      <c r="W75" s="16" t="s">
        <v>1324</v>
      </c>
      <c r="X75" s="16" t="s">
        <v>934</v>
      </c>
      <c r="Y75" s="16" t="s">
        <v>934</v>
      </c>
      <c r="Z75" s="16" t="s">
        <v>935</v>
      </c>
      <c r="DA75" s="405" t="s">
        <v>5</v>
      </c>
      <c r="DB75" s="405" t="s">
        <v>363</v>
      </c>
      <c r="DC75" s="406" t="s">
        <v>85</v>
      </c>
      <c r="DD75" s="405" t="s">
        <v>917</v>
      </c>
      <c r="DE75" s="405" t="s">
        <v>5</v>
      </c>
      <c r="DF75" s="406" t="s">
        <v>85</v>
      </c>
      <c r="DG75" s="407">
        <v>45840</v>
      </c>
      <c r="DH75" s="405" t="s">
        <v>9362</v>
      </c>
      <c r="DI75" s="406">
        <v>465455</v>
      </c>
      <c r="DJ75" s="408">
        <v>5</v>
      </c>
      <c r="DK75" s="405">
        <v>1</v>
      </c>
      <c r="DL75" s="82">
        <v>332.47</v>
      </c>
      <c r="DM75" s="409">
        <v>1.6623500000000002</v>
      </c>
      <c r="DN75" s="82" t="s">
        <v>85</v>
      </c>
      <c r="DO75" s="82" t="s">
        <v>85</v>
      </c>
      <c r="DP75" s="410" t="s">
        <v>85</v>
      </c>
    </row>
    <row r="76" spans="1:120" x14ac:dyDescent="0.25">
      <c r="A76" s="16" t="s">
        <v>9366</v>
      </c>
      <c r="B76" s="16" t="s">
        <v>9367</v>
      </c>
      <c r="C76" s="16" t="s">
        <v>9368</v>
      </c>
      <c r="D76" s="16" t="s">
        <v>9295</v>
      </c>
      <c r="E76" s="16" t="s">
        <v>9369</v>
      </c>
      <c r="F76" s="16" t="s">
        <v>9370</v>
      </c>
      <c r="G76" s="16" t="s">
        <v>9371</v>
      </c>
      <c r="H76" s="16" t="s">
        <v>9372</v>
      </c>
      <c r="I76" s="16" t="s">
        <v>1377</v>
      </c>
      <c r="J76" s="16" t="s">
        <v>943</v>
      </c>
      <c r="K76" s="16" t="s">
        <v>1378</v>
      </c>
      <c r="L76" s="16" t="s">
        <v>85</v>
      </c>
      <c r="M76" s="16" t="s">
        <v>984</v>
      </c>
      <c r="N76" s="16" t="s">
        <v>914</v>
      </c>
      <c r="O76" s="16" t="s">
        <v>985</v>
      </c>
      <c r="P76" s="16" t="s">
        <v>914</v>
      </c>
      <c r="Q76" s="16" t="s">
        <v>985</v>
      </c>
      <c r="R76" s="16" t="s">
        <v>915</v>
      </c>
      <c r="S76" s="16" t="s">
        <v>915</v>
      </c>
      <c r="T76" s="16" t="s">
        <v>986</v>
      </c>
      <c r="U76" s="16" t="s">
        <v>987</v>
      </c>
      <c r="V76" s="16" t="s">
        <v>916</v>
      </c>
      <c r="W76" s="16" t="s">
        <v>987</v>
      </c>
      <c r="X76" s="16" t="s">
        <v>934</v>
      </c>
      <c r="Y76" s="16" t="s">
        <v>934</v>
      </c>
      <c r="Z76" s="16" t="s">
        <v>935</v>
      </c>
      <c r="DA76" s="405" t="s">
        <v>5</v>
      </c>
      <c r="DB76" s="405" t="s">
        <v>363</v>
      </c>
      <c r="DC76" s="406" t="s">
        <v>85</v>
      </c>
      <c r="DD76" s="405" t="s">
        <v>917</v>
      </c>
      <c r="DE76" s="405" t="s">
        <v>5</v>
      </c>
      <c r="DF76" s="406" t="s">
        <v>85</v>
      </c>
      <c r="DG76" s="407">
        <v>45840</v>
      </c>
      <c r="DH76" s="405" t="s">
        <v>9369</v>
      </c>
      <c r="DI76" s="406">
        <v>465455</v>
      </c>
      <c r="DJ76" s="408">
        <v>5</v>
      </c>
      <c r="DK76" s="405">
        <v>1</v>
      </c>
      <c r="DL76" s="82">
        <v>340.55</v>
      </c>
      <c r="DM76" s="409">
        <v>1.70275</v>
      </c>
      <c r="DN76" s="82" t="s">
        <v>85</v>
      </c>
      <c r="DO76" s="82" t="s">
        <v>85</v>
      </c>
      <c r="DP76" s="410" t="s">
        <v>85</v>
      </c>
    </row>
    <row r="77" spans="1:120" x14ac:dyDescent="0.25">
      <c r="A77" s="16" t="s">
        <v>9366</v>
      </c>
      <c r="B77" s="16" t="s">
        <v>9367</v>
      </c>
      <c r="C77" s="16" t="s">
        <v>9368</v>
      </c>
      <c r="D77" s="16" t="s">
        <v>9295</v>
      </c>
      <c r="E77" s="16" t="s">
        <v>9369</v>
      </c>
      <c r="F77" s="16" t="s">
        <v>9370</v>
      </c>
      <c r="G77" s="16" t="s">
        <v>9371</v>
      </c>
      <c r="H77" s="16" t="s">
        <v>9372</v>
      </c>
      <c r="I77" s="16" t="s">
        <v>2822</v>
      </c>
      <c r="J77" s="16" t="s">
        <v>943</v>
      </c>
      <c r="K77" s="16" t="s">
        <v>2823</v>
      </c>
      <c r="L77" s="16" t="s">
        <v>85</v>
      </c>
      <c r="M77" s="16" t="s">
        <v>984</v>
      </c>
      <c r="N77" s="16" t="s">
        <v>914</v>
      </c>
      <c r="O77" s="16" t="s">
        <v>985</v>
      </c>
      <c r="P77" s="16" t="s">
        <v>914</v>
      </c>
      <c r="Q77" s="16" t="s">
        <v>985</v>
      </c>
      <c r="R77" s="16" t="s">
        <v>915</v>
      </c>
      <c r="S77" s="16" t="s">
        <v>915</v>
      </c>
      <c r="T77" s="16" t="s">
        <v>986</v>
      </c>
      <c r="U77" s="16" t="s">
        <v>987</v>
      </c>
      <c r="V77" s="16" t="s">
        <v>916</v>
      </c>
      <c r="W77" s="16" t="s">
        <v>987</v>
      </c>
      <c r="X77" s="16" t="s">
        <v>934</v>
      </c>
      <c r="Y77" s="16" t="s">
        <v>934</v>
      </c>
      <c r="Z77" s="16" t="s">
        <v>935</v>
      </c>
      <c r="DA77" s="405" t="s">
        <v>5</v>
      </c>
      <c r="DB77" s="405" t="s">
        <v>363</v>
      </c>
      <c r="DC77" s="406" t="s">
        <v>85</v>
      </c>
      <c r="DD77" s="405" t="s">
        <v>917</v>
      </c>
      <c r="DE77" s="405" t="s">
        <v>5</v>
      </c>
      <c r="DF77" s="406" t="s">
        <v>85</v>
      </c>
      <c r="DG77" s="407">
        <v>45840</v>
      </c>
      <c r="DH77" s="405" t="s">
        <v>9369</v>
      </c>
      <c r="DI77" s="406">
        <v>465455</v>
      </c>
      <c r="DJ77" s="408">
        <v>5</v>
      </c>
      <c r="DK77" s="405">
        <v>1</v>
      </c>
      <c r="DL77" s="82">
        <v>340.55</v>
      </c>
      <c r="DM77" s="409">
        <v>1.70275</v>
      </c>
      <c r="DN77" s="82" t="s">
        <v>85</v>
      </c>
      <c r="DO77" s="82" t="s">
        <v>85</v>
      </c>
      <c r="DP77" s="410" t="s">
        <v>85</v>
      </c>
    </row>
    <row r="78" spans="1:120" x14ac:dyDescent="0.25">
      <c r="A78" s="16" t="s">
        <v>9373</v>
      </c>
      <c r="B78" s="16" t="s">
        <v>9374</v>
      </c>
      <c r="C78" s="16" t="s">
        <v>9375</v>
      </c>
      <c r="D78" s="16" t="s">
        <v>9295</v>
      </c>
      <c r="E78" s="16" t="s">
        <v>9376</v>
      </c>
      <c r="F78" s="16" t="s">
        <v>9370</v>
      </c>
      <c r="G78" s="16" t="s">
        <v>9377</v>
      </c>
      <c r="H78" s="16" t="s">
        <v>9370</v>
      </c>
      <c r="I78" s="16" t="s">
        <v>1090</v>
      </c>
      <c r="J78" s="16" t="s">
        <v>943</v>
      </c>
      <c r="K78" s="16" t="s">
        <v>1091</v>
      </c>
      <c r="L78" s="16" t="s">
        <v>85</v>
      </c>
      <c r="M78" s="16" t="s">
        <v>984</v>
      </c>
      <c r="N78" s="16" t="s">
        <v>914</v>
      </c>
      <c r="O78" s="16" t="s">
        <v>985</v>
      </c>
      <c r="P78" s="16" t="s">
        <v>914</v>
      </c>
      <c r="Q78" s="16" t="s">
        <v>985</v>
      </c>
      <c r="R78" s="16" t="s">
        <v>915</v>
      </c>
      <c r="S78" s="16" t="s">
        <v>915</v>
      </c>
      <c r="T78" s="16" t="s">
        <v>986</v>
      </c>
      <c r="U78" s="16" t="s">
        <v>987</v>
      </c>
      <c r="V78" s="16" t="s">
        <v>916</v>
      </c>
      <c r="W78" s="16" t="s">
        <v>987</v>
      </c>
      <c r="X78" s="16" t="s">
        <v>934</v>
      </c>
      <c r="Y78" s="16" t="s">
        <v>934</v>
      </c>
      <c r="Z78" s="16" t="s">
        <v>935</v>
      </c>
      <c r="DA78" s="405" t="s">
        <v>5</v>
      </c>
      <c r="DB78" s="405" t="s">
        <v>363</v>
      </c>
      <c r="DC78" s="406" t="s">
        <v>85</v>
      </c>
      <c r="DD78" s="405" t="s">
        <v>917</v>
      </c>
      <c r="DE78" s="405" t="s">
        <v>5</v>
      </c>
      <c r="DF78" s="406" t="s">
        <v>85</v>
      </c>
      <c r="DG78" s="407">
        <v>45840</v>
      </c>
      <c r="DH78" s="405" t="s">
        <v>9376</v>
      </c>
      <c r="DI78" s="406">
        <v>465455</v>
      </c>
      <c r="DJ78" s="408">
        <v>5</v>
      </c>
      <c r="DK78" s="405">
        <v>1</v>
      </c>
      <c r="DL78" s="82">
        <v>340.55</v>
      </c>
      <c r="DM78" s="409">
        <v>1.70275</v>
      </c>
      <c r="DN78" s="82" t="s">
        <v>85</v>
      </c>
      <c r="DO78" s="82" t="s">
        <v>85</v>
      </c>
      <c r="DP78" s="410" t="s">
        <v>85</v>
      </c>
    </row>
    <row r="79" spans="1:120" x14ac:dyDescent="0.25">
      <c r="A79" s="16" t="s">
        <v>9373</v>
      </c>
      <c r="B79" s="16" t="s">
        <v>9374</v>
      </c>
      <c r="C79" s="16" t="s">
        <v>9375</v>
      </c>
      <c r="D79" s="16" t="s">
        <v>9295</v>
      </c>
      <c r="E79" s="16" t="s">
        <v>9376</v>
      </c>
      <c r="F79" s="16" t="s">
        <v>9370</v>
      </c>
      <c r="G79" s="16" t="s">
        <v>9377</v>
      </c>
      <c r="H79" s="16" t="s">
        <v>9370</v>
      </c>
      <c r="I79" s="16" t="s">
        <v>1638</v>
      </c>
      <c r="J79" s="16" t="s">
        <v>943</v>
      </c>
      <c r="K79" s="16" t="s">
        <v>1639</v>
      </c>
      <c r="L79" s="16" t="s">
        <v>85</v>
      </c>
      <c r="M79" s="16" t="s">
        <v>984</v>
      </c>
      <c r="N79" s="16" t="s">
        <v>914</v>
      </c>
      <c r="O79" s="16" t="s">
        <v>985</v>
      </c>
      <c r="P79" s="16" t="s">
        <v>914</v>
      </c>
      <c r="Q79" s="16" t="s">
        <v>985</v>
      </c>
      <c r="R79" s="16" t="s">
        <v>915</v>
      </c>
      <c r="S79" s="16" t="s">
        <v>915</v>
      </c>
      <c r="T79" s="16" t="s">
        <v>986</v>
      </c>
      <c r="U79" s="16" t="s">
        <v>987</v>
      </c>
      <c r="V79" s="16" t="s">
        <v>916</v>
      </c>
      <c r="W79" s="16" t="s">
        <v>987</v>
      </c>
      <c r="X79" s="16" t="s">
        <v>934</v>
      </c>
      <c r="Y79" s="16" t="s">
        <v>934</v>
      </c>
      <c r="Z79" s="16" t="s">
        <v>935</v>
      </c>
      <c r="DA79" s="405" t="s">
        <v>5</v>
      </c>
      <c r="DB79" s="405" t="s">
        <v>363</v>
      </c>
      <c r="DC79" s="406" t="s">
        <v>85</v>
      </c>
      <c r="DD79" s="405" t="s">
        <v>917</v>
      </c>
      <c r="DE79" s="405" t="s">
        <v>5</v>
      </c>
      <c r="DF79" s="406" t="s">
        <v>85</v>
      </c>
      <c r="DG79" s="407">
        <v>45840</v>
      </c>
      <c r="DH79" s="405" t="s">
        <v>9376</v>
      </c>
      <c r="DI79" s="406">
        <v>465455</v>
      </c>
      <c r="DJ79" s="408">
        <v>5</v>
      </c>
      <c r="DK79" s="405">
        <v>1</v>
      </c>
      <c r="DL79" s="82">
        <v>340.55</v>
      </c>
      <c r="DM79" s="409">
        <v>1.70275</v>
      </c>
      <c r="DN79" s="82" t="s">
        <v>85</v>
      </c>
      <c r="DO79" s="82" t="s">
        <v>85</v>
      </c>
      <c r="DP79" s="410" t="s">
        <v>85</v>
      </c>
    </row>
    <row r="80" spans="1:120" x14ac:dyDescent="0.25">
      <c r="A80" s="16" t="s">
        <v>9378</v>
      </c>
      <c r="B80" s="16" t="s">
        <v>9379</v>
      </c>
      <c r="C80" s="16" t="s">
        <v>9380</v>
      </c>
      <c r="D80" s="16" t="s">
        <v>9295</v>
      </c>
      <c r="E80" s="16" t="s">
        <v>9381</v>
      </c>
      <c r="F80" s="16" t="s">
        <v>9382</v>
      </c>
      <c r="G80" s="16" t="s">
        <v>9383</v>
      </c>
      <c r="H80" s="16" t="s">
        <v>9382</v>
      </c>
      <c r="I80" s="16" t="s">
        <v>1368</v>
      </c>
      <c r="J80" s="16" t="s">
        <v>1123</v>
      </c>
      <c r="K80" s="16" t="s">
        <v>1369</v>
      </c>
      <c r="L80" s="16" t="s">
        <v>85</v>
      </c>
      <c r="M80" s="16" t="s">
        <v>1238</v>
      </c>
      <c r="N80" s="16" t="s">
        <v>914</v>
      </c>
      <c r="O80" s="16" t="s">
        <v>1239</v>
      </c>
      <c r="P80" s="16" t="s">
        <v>914</v>
      </c>
      <c r="Q80" s="16" t="s">
        <v>1239</v>
      </c>
      <c r="R80" s="16" t="s">
        <v>915</v>
      </c>
      <c r="S80" s="16" t="s">
        <v>915</v>
      </c>
      <c r="T80" s="16" t="s">
        <v>1238</v>
      </c>
      <c r="U80" s="16" t="s">
        <v>1240</v>
      </c>
      <c r="V80" s="16" t="s">
        <v>916</v>
      </c>
      <c r="W80" s="16" t="s">
        <v>1240</v>
      </c>
      <c r="X80" s="16" t="s">
        <v>934</v>
      </c>
      <c r="Y80" s="16" t="s">
        <v>934</v>
      </c>
      <c r="Z80" s="16" t="s">
        <v>935</v>
      </c>
      <c r="DA80" s="405" t="s">
        <v>5</v>
      </c>
      <c r="DB80" s="405" t="s">
        <v>363</v>
      </c>
      <c r="DC80" s="406" t="s">
        <v>85</v>
      </c>
      <c r="DD80" s="405" t="s">
        <v>917</v>
      </c>
      <c r="DE80" s="405" t="s">
        <v>5</v>
      </c>
      <c r="DF80" s="406" t="s">
        <v>85</v>
      </c>
      <c r="DG80" s="407">
        <v>45840</v>
      </c>
      <c r="DH80" s="405" t="s">
        <v>9381</v>
      </c>
      <c r="DI80" s="406">
        <v>465455</v>
      </c>
      <c r="DJ80" s="408">
        <v>5</v>
      </c>
      <c r="DK80" s="405">
        <v>1</v>
      </c>
      <c r="DL80" s="82">
        <v>383.16</v>
      </c>
      <c r="DM80" s="409">
        <v>1.9158000000000002</v>
      </c>
      <c r="DN80" s="82" t="s">
        <v>85</v>
      </c>
      <c r="DO80" s="82" t="s">
        <v>85</v>
      </c>
      <c r="DP80" s="410" t="s">
        <v>85</v>
      </c>
    </row>
    <row r="81" spans="1:120" x14ac:dyDescent="0.25">
      <c r="A81" s="16" t="s">
        <v>9384</v>
      </c>
      <c r="B81" s="16" t="s">
        <v>9385</v>
      </c>
      <c r="C81" s="16" t="s">
        <v>9386</v>
      </c>
      <c r="D81" s="16" t="s">
        <v>9295</v>
      </c>
      <c r="E81" s="16" t="s">
        <v>9387</v>
      </c>
      <c r="F81" s="16" t="s">
        <v>9388</v>
      </c>
      <c r="G81" s="16" t="s">
        <v>9389</v>
      </c>
      <c r="H81" s="16" t="s">
        <v>9388</v>
      </c>
      <c r="I81" s="16" t="s">
        <v>6791</v>
      </c>
      <c r="J81" s="16" t="s">
        <v>1109</v>
      </c>
      <c r="K81" s="16" t="s">
        <v>6792</v>
      </c>
      <c r="L81" s="16" t="s">
        <v>85</v>
      </c>
      <c r="M81" s="16" t="s">
        <v>1311</v>
      </c>
      <c r="N81" s="16" t="s">
        <v>914</v>
      </c>
      <c r="O81" s="16" t="s">
        <v>1312</v>
      </c>
      <c r="P81" s="16" t="s">
        <v>914</v>
      </c>
      <c r="Q81" s="16" t="s">
        <v>1312</v>
      </c>
      <c r="R81" s="16" t="s">
        <v>915</v>
      </c>
      <c r="S81" s="16" t="s">
        <v>915</v>
      </c>
      <c r="T81" s="16" t="s">
        <v>1311</v>
      </c>
      <c r="U81" s="16" t="s">
        <v>1313</v>
      </c>
      <c r="V81" s="16" t="s">
        <v>916</v>
      </c>
      <c r="W81" s="16" t="s">
        <v>1313</v>
      </c>
      <c r="X81" s="16" t="s">
        <v>934</v>
      </c>
      <c r="Y81" s="16" t="s">
        <v>934</v>
      </c>
      <c r="Z81" s="16" t="s">
        <v>935</v>
      </c>
      <c r="DA81" s="405" t="s">
        <v>5</v>
      </c>
      <c r="DB81" s="405" t="s">
        <v>363</v>
      </c>
      <c r="DC81" s="406" t="s">
        <v>85</v>
      </c>
      <c r="DD81" s="405" t="s">
        <v>917</v>
      </c>
      <c r="DE81" s="405" t="s">
        <v>5</v>
      </c>
      <c r="DF81" s="406" t="s">
        <v>85</v>
      </c>
      <c r="DG81" s="407">
        <v>45840</v>
      </c>
      <c r="DH81" s="405" t="s">
        <v>9387</v>
      </c>
      <c r="DI81" s="406">
        <v>465455</v>
      </c>
      <c r="DJ81" s="408">
        <v>5</v>
      </c>
      <c r="DK81" s="405">
        <v>1</v>
      </c>
      <c r="DL81" s="82">
        <v>531.54</v>
      </c>
      <c r="DM81" s="409">
        <v>2.6576999999999997</v>
      </c>
      <c r="DN81" s="82" t="s">
        <v>85</v>
      </c>
      <c r="DO81" s="82" t="s">
        <v>85</v>
      </c>
      <c r="DP81" s="410" t="s">
        <v>85</v>
      </c>
    </row>
    <row r="82" spans="1:120" x14ac:dyDescent="0.25">
      <c r="A82" s="16" t="s">
        <v>9390</v>
      </c>
      <c r="B82" s="16" t="s">
        <v>9391</v>
      </c>
      <c r="C82" s="16" t="s">
        <v>9392</v>
      </c>
      <c r="D82" s="16" t="s">
        <v>9295</v>
      </c>
      <c r="E82" s="16" t="s">
        <v>9393</v>
      </c>
      <c r="F82" s="16" t="s">
        <v>9394</v>
      </c>
      <c r="G82" s="16" t="s">
        <v>9395</v>
      </c>
      <c r="H82" s="16" t="s">
        <v>9394</v>
      </c>
      <c r="I82" s="16" t="s">
        <v>4479</v>
      </c>
      <c r="J82" s="16" t="s">
        <v>1123</v>
      </c>
      <c r="K82" s="16" t="s">
        <v>4480</v>
      </c>
      <c r="L82" s="16" t="s">
        <v>85</v>
      </c>
      <c r="M82" s="16" t="s">
        <v>1238</v>
      </c>
      <c r="N82" s="16" t="s">
        <v>914</v>
      </c>
      <c r="O82" s="16" t="s">
        <v>1239</v>
      </c>
      <c r="P82" s="16" t="s">
        <v>914</v>
      </c>
      <c r="Q82" s="16" t="s">
        <v>1239</v>
      </c>
      <c r="R82" s="16" t="s">
        <v>915</v>
      </c>
      <c r="S82" s="16" t="s">
        <v>915</v>
      </c>
      <c r="T82" s="16" t="s">
        <v>1238</v>
      </c>
      <c r="U82" s="16" t="s">
        <v>1240</v>
      </c>
      <c r="V82" s="16" t="s">
        <v>916</v>
      </c>
      <c r="W82" s="16" t="s">
        <v>1240</v>
      </c>
      <c r="X82" s="16" t="s">
        <v>934</v>
      </c>
      <c r="Y82" s="16" t="s">
        <v>934</v>
      </c>
      <c r="Z82" s="16" t="s">
        <v>935</v>
      </c>
      <c r="DA82" s="405" t="s">
        <v>5</v>
      </c>
      <c r="DB82" s="405" t="s">
        <v>363</v>
      </c>
      <c r="DC82" s="406" t="s">
        <v>85</v>
      </c>
      <c r="DD82" s="405" t="s">
        <v>917</v>
      </c>
      <c r="DE82" s="405" t="s">
        <v>5</v>
      </c>
      <c r="DF82" s="406" t="s">
        <v>85</v>
      </c>
      <c r="DG82" s="407">
        <v>45840</v>
      </c>
      <c r="DH82" s="405" t="s">
        <v>9393</v>
      </c>
      <c r="DI82" s="406">
        <v>465455</v>
      </c>
      <c r="DJ82" s="408">
        <v>5</v>
      </c>
      <c r="DK82" s="405">
        <v>1</v>
      </c>
      <c r="DL82" s="82">
        <v>383.16</v>
      </c>
      <c r="DM82" s="409">
        <v>1.9158000000000002</v>
      </c>
      <c r="DN82" s="82" t="s">
        <v>85</v>
      </c>
      <c r="DO82" s="82" t="s">
        <v>85</v>
      </c>
      <c r="DP82" s="410" t="s">
        <v>85</v>
      </c>
    </row>
    <row r="83" spans="1:120" x14ac:dyDescent="0.25">
      <c r="A83" s="16" t="s">
        <v>9396</v>
      </c>
      <c r="B83" s="16" t="s">
        <v>9397</v>
      </c>
      <c r="C83" s="16" t="s">
        <v>9398</v>
      </c>
      <c r="D83" s="16" t="s">
        <v>9295</v>
      </c>
      <c r="E83" s="16" t="s">
        <v>9399</v>
      </c>
      <c r="F83" s="16" t="s">
        <v>9400</v>
      </c>
      <c r="G83" s="16" t="s">
        <v>9401</v>
      </c>
      <c r="H83" s="16" t="s">
        <v>9402</v>
      </c>
      <c r="I83" s="16" t="s">
        <v>1057</v>
      </c>
      <c r="J83" s="16" t="s">
        <v>943</v>
      </c>
      <c r="K83" s="16" t="s">
        <v>1058</v>
      </c>
      <c r="L83" s="16" t="s">
        <v>85</v>
      </c>
      <c r="M83" s="16" t="s">
        <v>984</v>
      </c>
      <c r="N83" s="16" t="s">
        <v>914</v>
      </c>
      <c r="O83" s="16" t="s">
        <v>985</v>
      </c>
      <c r="P83" s="16" t="s">
        <v>914</v>
      </c>
      <c r="Q83" s="16" t="s">
        <v>985</v>
      </c>
      <c r="R83" s="16" t="s">
        <v>915</v>
      </c>
      <c r="S83" s="16" t="s">
        <v>915</v>
      </c>
      <c r="T83" s="16" t="s">
        <v>986</v>
      </c>
      <c r="U83" s="16" t="s">
        <v>987</v>
      </c>
      <c r="V83" s="16" t="s">
        <v>916</v>
      </c>
      <c r="W83" s="16" t="s">
        <v>987</v>
      </c>
      <c r="X83" s="16" t="s">
        <v>934</v>
      </c>
      <c r="Y83" s="16" t="s">
        <v>934</v>
      </c>
      <c r="Z83" s="16" t="s">
        <v>935</v>
      </c>
      <c r="DA83" s="405" t="s">
        <v>5</v>
      </c>
      <c r="DB83" s="405" t="s">
        <v>363</v>
      </c>
      <c r="DC83" s="406" t="s">
        <v>85</v>
      </c>
      <c r="DD83" s="405" t="s">
        <v>917</v>
      </c>
      <c r="DE83" s="405" t="s">
        <v>5</v>
      </c>
      <c r="DF83" s="406" t="s">
        <v>85</v>
      </c>
      <c r="DG83" s="407">
        <v>45840</v>
      </c>
      <c r="DH83" s="405" t="s">
        <v>9399</v>
      </c>
      <c r="DI83" s="406">
        <v>465455</v>
      </c>
      <c r="DJ83" s="408">
        <v>5</v>
      </c>
      <c r="DK83" s="405">
        <v>1</v>
      </c>
      <c r="DL83" s="82">
        <v>340.55</v>
      </c>
      <c r="DM83" s="409">
        <v>1.70275</v>
      </c>
      <c r="DN83" s="82" t="s">
        <v>85</v>
      </c>
      <c r="DO83" s="82" t="s">
        <v>85</v>
      </c>
      <c r="DP83" s="410" t="s">
        <v>85</v>
      </c>
    </row>
    <row r="84" spans="1:120" x14ac:dyDescent="0.25">
      <c r="A84" s="16" t="s">
        <v>9396</v>
      </c>
      <c r="B84" s="16" t="s">
        <v>9397</v>
      </c>
      <c r="C84" s="16" t="s">
        <v>9398</v>
      </c>
      <c r="D84" s="16" t="s">
        <v>9295</v>
      </c>
      <c r="E84" s="16" t="s">
        <v>9399</v>
      </c>
      <c r="F84" s="16" t="s">
        <v>9400</v>
      </c>
      <c r="G84" s="16" t="s">
        <v>9401</v>
      </c>
      <c r="H84" s="16" t="s">
        <v>9402</v>
      </c>
      <c r="I84" s="16" t="s">
        <v>2958</v>
      </c>
      <c r="J84" s="16" t="s">
        <v>943</v>
      </c>
      <c r="K84" s="16" t="s">
        <v>2959</v>
      </c>
      <c r="L84" s="16" t="s">
        <v>85</v>
      </c>
      <c r="M84" s="16" t="s">
        <v>984</v>
      </c>
      <c r="N84" s="16" t="s">
        <v>914</v>
      </c>
      <c r="O84" s="16" t="s">
        <v>985</v>
      </c>
      <c r="P84" s="16" t="s">
        <v>914</v>
      </c>
      <c r="Q84" s="16" t="s">
        <v>985</v>
      </c>
      <c r="R84" s="16" t="s">
        <v>915</v>
      </c>
      <c r="S84" s="16" t="s">
        <v>915</v>
      </c>
      <c r="T84" s="16" t="s">
        <v>986</v>
      </c>
      <c r="U84" s="16" t="s">
        <v>987</v>
      </c>
      <c r="V84" s="16" t="s">
        <v>916</v>
      </c>
      <c r="W84" s="16" t="s">
        <v>987</v>
      </c>
      <c r="X84" s="16" t="s">
        <v>934</v>
      </c>
      <c r="Y84" s="16" t="s">
        <v>934</v>
      </c>
      <c r="Z84" s="16" t="s">
        <v>935</v>
      </c>
      <c r="DA84" s="405" t="s">
        <v>5</v>
      </c>
      <c r="DB84" s="405" t="s">
        <v>363</v>
      </c>
      <c r="DC84" s="406" t="s">
        <v>85</v>
      </c>
      <c r="DD84" s="405" t="s">
        <v>917</v>
      </c>
      <c r="DE84" s="405" t="s">
        <v>5</v>
      </c>
      <c r="DF84" s="406" t="s">
        <v>85</v>
      </c>
      <c r="DG84" s="407">
        <v>45840</v>
      </c>
      <c r="DH84" s="405" t="s">
        <v>9399</v>
      </c>
      <c r="DI84" s="406">
        <v>465455</v>
      </c>
      <c r="DJ84" s="408">
        <v>5</v>
      </c>
      <c r="DK84" s="405">
        <v>1</v>
      </c>
      <c r="DL84" s="82">
        <v>340.55</v>
      </c>
      <c r="DM84" s="409">
        <v>1.70275</v>
      </c>
      <c r="DN84" s="82" t="s">
        <v>85</v>
      </c>
      <c r="DO84" s="82" t="s">
        <v>85</v>
      </c>
      <c r="DP84" s="410" t="s">
        <v>85</v>
      </c>
    </row>
    <row r="85" spans="1:120" x14ac:dyDescent="0.25">
      <c r="A85" s="16" t="s">
        <v>9403</v>
      </c>
      <c r="B85" s="16" t="s">
        <v>9404</v>
      </c>
      <c r="C85" s="16" t="s">
        <v>9405</v>
      </c>
      <c r="D85" s="16" t="s">
        <v>9295</v>
      </c>
      <c r="E85" s="16" t="s">
        <v>9406</v>
      </c>
      <c r="F85" s="16" t="s">
        <v>9407</v>
      </c>
      <c r="G85" s="16" t="s">
        <v>9408</v>
      </c>
      <c r="H85" s="16" t="s">
        <v>9409</v>
      </c>
      <c r="I85" s="16" t="s">
        <v>2898</v>
      </c>
      <c r="J85" s="16" t="s">
        <v>943</v>
      </c>
      <c r="K85" s="16" t="s">
        <v>2899</v>
      </c>
      <c r="L85" s="16" t="s">
        <v>85</v>
      </c>
      <c r="M85" s="16" t="s">
        <v>984</v>
      </c>
      <c r="N85" s="16" t="s">
        <v>914</v>
      </c>
      <c r="O85" s="16" t="s">
        <v>985</v>
      </c>
      <c r="P85" s="16" t="s">
        <v>914</v>
      </c>
      <c r="Q85" s="16" t="s">
        <v>985</v>
      </c>
      <c r="R85" s="16" t="s">
        <v>915</v>
      </c>
      <c r="S85" s="16" t="s">
        <v>915</v>
      </c>
      <c r="T85" s="16" t="s">
        <v>986</v>
      </c>
      <c r="U85" s="16" t="s">
        <v>987</v>
      </c>
      <c r="V85" s="16" t="s">
        <v>916</v>
      </c>
      <c r="W85" s="16" t="s">
        <v>987</v>
      </c>
      <c r="X85" s="16" t="s">
        <v>934</v>
      </c>
      <c r="Y85" s="16" t="s">
        <v>934</v>
      </c>
      <c r="Z85" s="16" t="s">
        <v>935</v>
      </c>
      <c r="DA85" s="405" t="s">
        <v>5</v>
      </c>
      <c r="DB85" s="405" t="s">
        <v>363</v>
      </c>
      <c r="DC85" s="406" t="s">
        <v>85</v>
      </c>
      <c r="DD85" s="405" t="s">
        <v>917</v>
      </c>
      <c r="DE85" s="405" t="s">
        <v>5</v>
      </c>
      <c r="DF85" s="406" t="s">
        <v>85</v>
      </c>
      <c r="DG85" s="407">
        <v>45840</v>
      </c>
      <c r="DH85" s="405" t="s">
        <v>9406</v>
      </c>
      <c r="DI85" s="406">
        <v>465455</v>
      </c>
      <c r="DJ85" s="408">
        <v>5</v>
      </c>
      <c r="DK85" s="405">
        <v>1</v>
      </c>
      <c r="DL85" s="82">
        <v>340.55</v>
      </c>
      <c r="DM85" s="409">
        <v>1.70275</v>
      </c>
      <c r="DN85" s="82" t="s">
        <v>85</v>
      </c>
      <c r="DO85" s="82" t="s">
        <v>85</v>
      </c>
      <c r="DP85" s="410" t="s">
        <v>85</v>
      </c>
    </row>
    <row r="86" spans="1:120" x14ac:dyDescent="0.25">
      <c r="A86" s="16" t="s">
        <v>9410</v>
      </c>
      <c r="B86" s="16" t="s">
        <v>9411</v>
      </c>
      <c r="C86" s="16" t="s">
        <v>9412</v>
      </c>
      <c r="D86" s="16" t="s">
        <v>9295</v>
      </c>
      <c r="E86" s="16" t="s">
        <v>9413</v>
      </c>
      <c r="F86" s="16" t="s">
        <v>9414</v>
      </c>
      <c r="G86" s="16" t="s">
        <v>9415</v>
      </c>
      <c r="H86" s="16" t="s">
        <v>9414</v>
      </c>
      <c r="I86" s="16" t="s">
        <v>1880</v>
      </c>
      <c r="J86" s="16" t="s">
        <v>928</v>
      </c>
      <c r="K86" s="16" t="s">
        <v>1881</v>
      </c>
      <c r="L86" s="16" t="s">
        <v>85</v>
      </c>
      <c r="M86" s="16" t="s">
        <v>1322</v>
      </c>
      <c r="N86" s="16" t="s">
        <v>914</v>
      </c>
      <c r="O86" s="16" t="s">
        <v>1323</v>
      </c>
      <c r="P86" s="16" t="s">
        <v>914</v>
      </c>
      <c r="Q86" s="16" t="s">
        <v>1323</v>
      </c>
      <c r="R86" s="16" t="s">
        <v>915</v>
      </c>
      <c r="S86" s="16" t="s">
        <v>915</v>
      </c>
      <c r="T86" s="16" t="s">
        <v>1322</v>
      </c>
      <c r="U86" s="16" t="s">
        <v>1324</v>
      </c>
      <c r="V86" s="16" t="s">
        <v>916</v>
      </c>
      <c r="W86" s="16" t="s">
        <v>1324</v>
      </c>
      <c r="X86" s="16" t="s">
        <v>934</v>
      </c>
      <c r="Y86" s="16" t="s">
        <v>934</v>
      </c>
      <c r="Z86" s="16" t="s">
        <v>935</v>
      </c>
      <c r="DA86" s="405" t="s">
        <v>5</v>
      </c>
      <c r="DB86" s="405" t="s">
        <v>363</v>
      </c>
      <c r="DC86" s="406" t="s">
        <v>85</v>
      </c>
      <c r="DD86" s="405" t="s">
        <v>917</v>
      </c>
      <c r="DE86" s="405" t="s">
        <v>5</v>
      </c>
      <c r="DF86" s="406" t="s">
        <v>85</v>
      </c>
      <c r="DG86" s="407">
        <v>45840</v>
      </c>
      <c r="DH86" s="405" t="s">
        <v>9413</v>
      </c>
      <c r="DI86" s="406">
        <v>465455</v>
      </c>
      <c r="DJ86" s="408">
        <v>5</v>
      </c>
      <c r="DK86" s="405">
        <v>1</v>
      </c>
      <c r="DL86" s="82">
        <v>332.47</v>
      </c>
      <c r="DM86" s="409">
        <v>1.6623500000000002</v>
      </c>
      <c r="DN86" s="82" t="s">
        <v>85</v>
      </c>
      <c r="DO86" s="82" t="s">
        <v>85</v>
      </c>
      <c r="DP86" s="410" t="s">
        <v>85</v>
      </c>
    </row>
    <row r="87" spans="1:120" x14ac:dyDescent="0.25">
      <c r="A87" s="16" t="s">
        <v>9416</v>
      </c>
      <c r="B87" s="16" t="s">
        <v>9417</v>
      </c>
      <c r="C87" s="16" t="s">
        <v>9418</v>
      </c>
      <c r="D87" s="16" t="s">
        <v>9295</v>
      </c>
      <c r="E87" s="16" t="s">
        <v>9419</v>
      </c>
      <c r="F87" s="16" t="s">
        <v>9420</v>
      </c>
      <c r="G87" s="16" t="s">
        <v>9421</v>
      </c>
      <c r="H87" s="16" t="s">
        <v>9422</v>
      </c>
      <c r="I87" s="16" t="s">
        <v>1547</v>
      </c>
      <c r="J87" s="16" t="s">
        <v>943</v>
      </c>
      <c r="K87" s="16" t="s">
        <v>1548</v>
      </c>
      <c r="L87" s="16" t="s">
        <v>85</v>
      </c>
      <c r="M87" s="16" t="s">
        <v>984</v>
      </c>
      <c r="N87" s="16" t="s">
        <v>914</v>
      </c>
      <c r="O87" s="16" t="s">
        <v>985</v>
      </c>
      <c r="P87" s="16" t="s">
        <v>914</v>
      </c>
      <c r="Q87" s="16" t="s">
        <v>985</v>
      </c>
      <c r="R87" s="16" t="s">
        <v>915</v>
      </c>
      <c r="S87" s="16" t="s">
        <v>915</v>
      </c>
      <c r="T87" s="16" t="s">
        <v>986</v>
      </c>
      <c r="U87" s="16" t="s">
        <v>987</v>
      </c>
      <c r="V87" s="16" t="s">
        <v>916</v>
      </c>
      <c r="W87" s="16" t="s">
        <v>987</v>
      </c>
      <c r="X87" s="16" t="s">
        <v>934</v>
      </c>
      <c r="Y87" s="16" t="s">
        <v>934</v>
      </c>
      <c r="Z87" s="16" t="s">
        <v>935</v>
      </c>
      <c r="DA87" s="405" t="s">
        <v>5</v>
      </c>
      <c r="DB87" s="405" t="s">
        <v>363</v>
      </c>
      <c r="DC87" s="406" t="s">
        <v>85</v>
      </c>
      <c r="DD87" s="405" t="s">
        <v>917</v>
      </c>
      <c r="DE87" s="405" t="s">
        <v>5</v>
      </c>
      <c r="DF87" s="406" t="s">
        <v>85</v>
      </c>
      <c r="DG87" s="407">
        <v>45840</v>
      </c>
      <c r="DH87" s="405" t="s">
        <v>9419</v>
      </c>
      <c r="DI87" s="406">
        <v>465455</v>
      </c>
      <c r="DJ87" s="408">
        <v>5</v>
      </c>
      <c r="DK87" s="405">
        <v>1</v>
      </c>
      <c r="DL87" s="82">
        <v>340.55</v>
      </c>
      <c r="DM87" s="409">
        <v>1.70275</v>
      </c>
      <c r="DN87" s="82" t="s">
        <v>85</v>
      </c>
      <c r="DO87" s="82" t="s">
        <v>85</v>
      </c>
      <c r="DP87" s="410" t="s">
        <v>85</v>
      </c>
    </row>
    <row r="88" spans="1:120" x14ac:dyDescent="0.25">
      <c r="A88" s="16" t="s">
        <v>9423</v>
      </c>
      <c r="B88" s="16" t="s">
        <v>9424</v>
      </c>
      <c r="C88" s="16" t="s">
        <v>9425</v>
      </c>
      <c r="D88" s="16" t="s">
        <v>9295</v>
      </c>
      <c r="E88" s="16" t="s">
        <v>9426</v>
      </c>
      <c r="F88" s="16" t="s">
        <v>9427</v>
      </c>
      <c r="G88" s="16" t="s">
        <v>9428</v>
      </c>
      <c r="H88" s="16" t="s">
        <v>9429</v>
      </c>
      <c r="I88" s="16" t="s">
        <v>9430</v>
      </c>
      <c r="J88" s="16" t="s">
        <v>1348</v>
      </c>
      <c r="K88" s="16" t="s">
        <v>9431</v>
      </c>
      <c r="L88" s="16" t="s">
        <v>85</v>
      </c>
      <c r="M88" s="16" t="s">
        <v>1350</v>
      </c>
      <c r="N88" s="16" t="s">
        <v>914</v>
      </c>
      <c r="O88" s="16" t="s">
        <v>1351</v>
      </c>
      <c r="P88" s="16" t="s">
        <v>914</v>
      </c>
      <c r="Q88" s="16" t="s">
        <v>1351</v>
      </c>
      <c r="R88" s="16" t="s">
        <v>915</v>
      </c>
      <c r="S88" s="16" t="s">
        <v>915</v>
      </c>
      <c r="T88" s="16" t="s">
        <v>1352</v>
      </c>
      <c r="U88" s="16" t="s">
        <v>1353</v>
      </c>
      <c r="V88" s="16" t="s">
        <v>916</v>
      </c>
      <c r="W88" s="16" t="s">
        <v>1353</v>
      </c>
      <c r="X88" s="16" t="s">
        <v>934</v>
      </c>
      <c r="Y88" s="16" t="s">
        <v>934</v>
      </c>
      <c r="Z88" s="16" t="s">
        <v>935</v>
      </c>
      <c r="DA88" s="405" t="s">
        <v>5</v>
      </c>
      <c r="DB88" s="405" t="s">
        <v>363</v>
      </c>
      <c r="DC88" s="406" t="s">
        <v>85</v>
      </c>
      <c r="DD88" s="405" t="s">
        <v>917</v>
      </c>
      <c r="DE88" s="405" t="s">
        <v>5</v>
      </c>
      <c r="DF88" s="406" t="s">
        <v>85</v>
      </c>
      <c r="DG88" s="407">
        <v>45840</v>
      </c>
      <c r="DH88" s="405" t="s">
        <v>9426</v>
      </c>
      <c r="DI88" s="406">
        <v>465455</v>
      </c>
      <c r="DJ88" s="408">
        <v>5</v>
      </c>
      <c r="DK88" s="405">
        <v>1</v>
      </c>
      <c r="DL88" s="82">
        <v>303.3</v>
      </c>
      <c r="DM88" s="409">
        <v>1.5165000000000002</v>
      </c>
      <c r="DN88" s="82" t="s">
        <v>85</v>
      </c>
      <c r="DO88" s="82" t="s">
        <v>85</v>
      </c>
      <c r="DP88" s="410" t="s">
        <v>85</v>
      </c>
    </row>
    <row r="89" spans="1:120" x14ac:dyDescent="0.25">
      <c r="A89" s="16" t="s">
        <v>9432</v>
      </c>
      <c r="B89" s="16" t="s">
        <v>9433</v>
      </c>
      <c r="C89" s="16" t="s">
        <v>9434</v>
      </c>
      <c r="D89" s="16" t="s">
        <v>9295</v>
      </c>
      <c r="E89" s="16" t="s">
        <v>9435</v>
      </c>
      <c r="F89" s="16" t="s">
        <v>9436</v>
      </c>
      <c r="G89" s="16" t="s">
        <v>9437</v>
      </c>
      <c r="H89" s="16" t="s">
        <v>9438</v>
      </c>
      <c r="I89" s="16" t="s">
        <v>1163</v>
      </c>
      <c r="J89" s="16" t="s">
        <v>995</v>
      </c>
      <c r="K89" s="16" t="s">
        <v>1164</v>
      </c>
      <c r="L89" s="16" t="s">
        <v>85</v>
      </c>
      <c r="M89" s="16" t="s">
        <v>1165</v>
      </c>
      <c r="N89" s="16" t="s">
        <v>914</v>
      </c>
      <c r="O89" s="16" t="s">
        <v>1166</v>
      </c>
      <c r="P89" s="16" t="s">
        <v>914</v>
      </c>
      <c r="Q89" s="16" t="s">
        <v>1166</v>
      </c>
      <c r="R89" s="16" t="s">
        <v>915</v>
      </c>
      <c r="S89" s="16" t="s">
        <v>915</v>
      </c>
      <c r="T89" s="16" t="s">
        <v>1167</v>
      </c>
      <c r="U89" s="16" t="s">
        <v>1168</v>
      </c>
      <c r="V89" s="16" t="s">
        <v>916</v>
      </c>
      <c r="W89" s="16" t="s">
        <v>1168</v>
      </c>
      <c r="X89" s="16" t="s">
        <v>934</v>
      </c>
      <c r="Y89" s="16" t="s">
        <v>934</v>
      </c>
      <c r="Z89" s="16" t="s">
        <v>935</v>
      </c>
      <c r="DA89" s="405" t="s">
        <v>5</v>
      </c>
      <c r="DB89" s="405" t="s">
        <v>363</v>
      </c>
      <c r="DC89" s="406" t="s">
        <v>85</v>
      </c>
      <c r="DD89" s="405" t="s">
        <v>917</v>
      </c>
      <c r="DE89" s="405" t="s">
        <v>5</v>
      </c>
      <c r="DF89" s="406" t="s">
        <v>85</v>
      </c>
      <c r="DG89" s="407">
        <v>45840</v>
      </c>
      <c r="DH89" s="405" t="s">
        <v>9435</v>
      </c>
      <c r="DI89" s="406">
        <v>465455</v>
      </c>
      <c r="DJ89" s="408">
        <v>5</v>
      </c>
      <c r="DK89" s="405">
        <v>1</v>
      </c>
      <c r="DL89" s="82">
        <v>468.28</v>
      </c>
      <c r="DM89" s="409">
        <v>2.3413999999999997</v>
      </c>
      <c r="DN89" s="82" t="s">
        <v>85</v>
      </c>
      <c r="DO89" s="82" t="s">
        <v>85</v>
      </c>
      <c r="DP89" s="410" t="s">
        <v>85</v>
      </c>
    </row>
    <row r="90" spans="1:120" x14ac:dyDescent="0.25">
      <c r="A90" s="16" t="s">
        <v>9439</v>
      </c>
      <c r="B90" s="16" t="s">
        <v>9440</v>
      </c>
      <c r="C90" s="16" t="s">
        <v>9441</v>
      </c>
      <c r="D90" s="16" t="s">
        <v>9295</v>
      </c>
      <c r="E90" s="16" t="s">
        <v>9442</v>
      </c>
      <c r="F90" s="16" t="s">
        <v>9443</v>
      </c>
      <c r="G90" s="16" t="s">
        <v>9444</v>
      </c>
      <c r="H90" s="16" t="s">
        <v>9445</v>
      </c>
      <c r="I90" s="16" t="s">
        <v>1690</v>
      </c>
      <c r="J90" s="16" t="s">
        <v>928</v>
      </c>
      <c r="K90" s="16" t="s">
        <v>1691</v>
      </c>
      <c r="L90" s="16" t="s">
        <v>85</v>
      </c>
      <c r="M90" s="16" t="s">
        <v>1322</v>
      </c>
      <c r="N90" s="16" t="s">
        <v>914</v>
      </c>
      <c r="O90" s="16" t="s">
        <v>1323</v>
      </c>
      <c r="P90" s="16" t="s">
        <v>914</v>
      </c>
      <c r="Q90" s="16" t="s">
        <v>1323</v>
      </c>
      <c r="R90" s="16" t="s">
        <v>915</v>
      </c>
      <c r="S90" s="16" t="s">
        <v>915</v>
      </c>
      <c r="T90" s="16" t="s">
        <v>1322</v>
      </c>
      <c r="U90" s="16" t="s">
        <v>1324</v>
      </c>
      <c r="V90" s="16" t="s">
        <v>916</v>
      </c>
      <c r="W90" s="16" t="s">
        <v>1324</v>
      </c>
      <c r="X90" s="16" t="s">
        <v>934</v>
      </c>
      <c r="Y90" s="16" t="s">
        <v>934</v>
      </c>
      <c r="Z90" s="16" t="s">
        <v>935</v>
      </c>
      <c r="DA90" s="405" t="s">
        <v>5</v>
      </c>
      <c r="DB90" s="405" t="s">
        <v>363</v>
      </c>
      <c r="DC90" s="406" t="s">
        <v>85</v>
      </c>
      <c r="DD90" s="405" t="s">
        <v>917</v>
      </c>
      <c r="DE90" s="405" t="s">
        <v>5</v>
      </c>
      <c r="DF90" s="406" t="s">
        <v>85</v>
      </c>
      <c r="DG90" s="407">
        <v>45840</v>
      </c>
      <c r="DH90" s="405" t="s">
        <v>9442</v>
      </c>
      <c r="DI90" s="406">
        <v>465455</v>
      </c>
      <c r="DJ90" s="408">
        <v>5</v>
      </c>
      <c r="DK90" s="405">
        <v>1</v>
      </c>
      <c r="DL90" s="82">
        <v>332.47</v>
      </c>
      <c r="DM90" s="409">
        <v>1.6623500000000002</v>
      </c>
      <c r="DN90" s="82" t="s">
        <v>85</v>
      </c>
      <c r="DO90" s="82" t="s">
        <v>85</v>
      </c>
      <c r="DP90" s="410" t="s">
        <v>85</v>
      </c>
    </row>
    <row r="91" spans="1:120" x14ac:dyDescent="0.25">
      <c r="A91" s="16" t="s">
        <v>9446</v>
      </c>
      <c r="B91" s="16" t="s">
        <v>9447</v>
      </c>
      <c r="C91" s="16" t="s">
        <v>9448</v>
      </c>
      <c r="D91" s="16" t="s">
        <v>9295</v>
      </c>
      <c r="E91" s="16" t="s">
        <v>9449</v>
      </c>
      <c r="F91" s="16" t="s">
        <v>9450</v>
      </c>
      <c r="G91" s="16" t="s">
        <v>9451</v>
      </c>
      <c r="H91" s="16" t="s">
        <v>9452</v>
      </c>
      <c r="I91" s="16" t="s">
        <v>2750</v>
      </c>
      <c r="J91" s="16" t="s">
        <v>995</v>
      </c>
      <c r="K91" s="16" t="s">
        <v>2751</v>
      </c>
      <c r="L91" s="16" t="s">
        <v>85</v>
      </c>
      <c r="M91" s="16" t="s">
        <v>1165</v>
      </c>
      <c r="N91" s="16" t="s">
        <v>914</v>
      </c>
      <c r="O91" s="16" t="s">
        <v>1166</v>
      </c>
      <c r="P91" s="16" t="s">
        <v>914</v>
      </c>
      <c r="Q91" s="16" t="s">
        <v>1166</v>
      </c>
      <c r="R91" s="16" t="s">
        <v>915</v>
      </c>
      <c r="S91" s="16" t="s">
        <v>915</v>
      </c>
      <c r="T91" s="16" t="s">
        <v>1167</v>
      </c>
      <c r="U91" s="16" t="s">
        <v>1168</v>
      </c>
      <c r="V91" s="16" t="s">
        <v>916</v>
      </c>
      <c r="W91" s="16" t="s">
        <v>1168</v>
      </c>
      <c r="X91" s="16" t="s">
        <v>934</v>
      </c>
      <c r="Y91" s="16" t="s">
        <v>934</v>
      </c>
      <c r="Z91" s="16" t="s">
        <v>935</v>
      </c>
      <c r="DA91" s="405" t="s">
        <v>5</v>
      </c>
      <c r="DB91" s="405" t="s">
        <v>363</v>
      </c>
      <c r="DC91" s="406" t="s">
        <v>85</v>
      </c>
      <c r="DD91" s="405" t="s">
        <v>917</v>
      </c>
      <c r="DE91" s="405" t="s">
        <v>5</v>
      </c>
      <c r="DF91" s="406" t="s">
        <v>85</v>
      </c>
      <c r="DG91" s="407">
        <v>45840</v>
      </c>
      <c r="DH91" s="405" t="s">
        <v>9449</v>
      </c>
      <c r="DI91" s="406">
        <v>465455</v>
      </c>
      <c r="DJ91" s="408">
        <v>5</v>
      </c>
      <c r="DK91" s="405">
        <v>1</v>
      </c>
      <c r="DL91" s="82">
        <v>468.28</v>
      </c>
      <c r="DM91" s="409">
        <v>2.3413999999999997</v>
      </c>
      <c r="DN91" s="82" t="s">
        <v>85</v>
      </c>
      <c r="DO91" s="82" t="s">
        <v>85</v>
      </c>
      <c r="DP91" s="410" t="s">
        <v>85</v>
      </c>
    </row>
    <row r="92" spans="1:120" x14ac:dyDescent="0.25">
      <c r="A92" s="16" t="s">
        <v>9453</v>
      </c>
      <c r="B92" s="16" t="s">
        <v>9454</v>
      </c>
      <c r="C92" s="16" t="s">
        <v>9455</v>
      </c>
      <c r="D92" s="16" t="s">
        <v>9295</v>
      </c>
      <c r="E92" s="16" t="s">
        <v>9456</v>
      </c>
      <c r="F92" s="16" t="s">
        <v>9457</v>
      </c>
      <c r="G92" s="16" t="s">
        <v>9458</v>
      </c>
      <c r="H92" s="16" t="s">
        <v>9459</v>
      </c>
      <c r="I92" s="16" t="s">
        <v>1737</v>
      </c>
      <c r="J92" s="16" t="s">
        <v>1123</v>
      </c>
      <c r="K92" s="16" t="s">
        <v>1738</v>
      </c>
      <c r="L92" s="16" t="s">
        <v>85</v>
      </c>
      <c r="M92" s="16" t="s">
        <v>1238</v>
      </c>
      <c r="N92" s="16" t="s">
        <v>914</v>
      </c>
      <c r="O92" s="16" t="s">
        <v>1239</v>
      </c>
      <c r="P92" s="16" t="s">
        <v>914</v>
      </c>
      <c r="Q92" s="16" t="s">
        <v>1239</v>
      </c>
      <c r="R92" s="16" t="s">
        <v>915</v>
      </c>
      <c r="S92" s="16" t="s">
        <v>915</v>
      </c>
      <c r="T92" s="16" t="s">
        <v>1238</v>
      </c>
      <c r="U92" s="16" t="s">
        <v>1240</v>
      </c>
      <c r="V92" s="16" t="s">
        <v>916</v>
      </c>
      <c r="W92" s="16" t="s">
        <v>1240</v>
      </c>
      <c r="X92" s="16" t="s">
        <v>934</v>
      </c>
      <c r="Y92" s="16" t="s">
        <v>934</v>
      </c>
      <c r="Z92" s="16" t="s">
        <v>935</v>
      </c>
      <c r="DA92" s="405" t="s">
        <v>5</v>
      </c>
      <c r="DB92" s="405" t="s">
        <v>363</v>
      </c>
      <c r="DC92" s="406" t="s">
        <v>85</v>
      </c>
      <c r="DD92" s="405" t="s">
        <v>917</v>
      </c>
      <c r="DE92" s="405" t="s">
        <v>5</v>
      </c>
      <c r="DF92" s="406" t="s">
        <v>85</v>
      </c>
      <c r="DG92" s="407">
        <v>45840</v>
      </c>
      <c r="DH92" s="405" t="s">
        <v>9456</v>
      </c>
      <c r="DI92" s="406">
        <v>465455</v>
      </c>
      <c r="DJ92" s="408">
        <v>5</v>
      </c>
      <c r="DK92" s="405">
        <v>1</v>
      </c>
      <c r="DL92" s="82">
        <v>383.16</v>
      </c>
      <c r="DM92" s="409">
        <v>1.9158000000000002</v>
      </c>
      <c r="DN92" s="82" t="s">
        <v>85</v>
      </c>
      <c r="DO92" s="82" t="s">
        <v>85</v>
      </c>
      <c r="DP92" s="410" t="s">
        <v>85</v>
      </c>
    </row>
    <row r="93" spans="1:120" x14ac:dyDescent="0.25">
      <c r="A93" s="16" t="s">
        <v>9460</v>
      </c>
      <c r="B93" s="16" t="s">
        <v>9461</v>
      </c>
      <c r="C93" s="16" t="s">
        <v>9462</v>
      </c>
      <c r="D93" s="16" t="s">
        <v>9295</v>
      </c>
      <c r="E93" s="16" t="s">
        <v>9463</v>
      </c>
      <c r="F93" s="16" t="s">
        <v>9464</v>
      </c>
      <c r="G93" s="16" t="s">
        <v>9465</v>
      </c>
      <c r="H93" s="16" t="s">
        <v>9464</v>
      </c>
      <c r="I93" s="16" t="s">
        <v>2876</v>
      </c>
      <c r="J93" s="16" t="s">
        <v>995</v>
      </c>
      <c r="K93" s="16" t="s">
        <v>2877</v>
      </c>
      <c r="L93" s="16" t="s">
        <v>85</v>
      </c>
      <c r="M93" s="16" t="s">
        <v>1165</v>
      </c>
      <c r="N93" s="16" t="s">
        <v>914</v>
      </c>
      <c r="O93" s="16" t="s">
        <v>1166</v>
      </c>
      <c r="P93" s="16" t="s">
        <v>914</v>
      </c>
      <c r="Q93" s="16" t="s">
        <v>1166</v>
      </c>
      <c r="R93" s="16" t="s">
        <v>915</v>
      </c>
      <c r="S93" s="16" t="s">
        <v>915</v>
      </c>
      <c r="T93" s="16" t="s">
        <v>1167</v>
      </c>
      <c r="U93" s="16" t="s">
        <v>1168</v>
      </c>
      <c r="V93" s="16" t="s">
        <v>916</v>
      </c>
      <c r="W93" s="16" t="s">
        <v>1168</v>
      </c>
      <c r="X93" s="16" t="s">
        <v>934</v>
      </c>
      <c r="Y93" s="16" t="s">
        <v>934</v>
      </c>
      <c r="Z93" s="16" t="s">
        <v>935</v>
      </c>
      <c r="DA93" s="405" t="s">
        <v>5</v>
      </c>
      <c r="DB93" s="405" t="s">
        <v>363</v>
      </c>
      <c r="DC93" s="406" t="s">
        <v>85</v>
      </c>
      <c r="DD93" s="405" t="s">
        <v>917</v>
      </c>
      <c r="DE93" s="405" t="s">
        <v>5</v>
      </c>
      <c r="DF93" s="406" t="s">
        <v>85</v>
      </c>
      <c r="DG93" s="407">
        <v>45840</v>
      </c>
      <c r="DH93" s="405" t="s">
        <v>9463</v>
      </c>
      <c r="DI93" s="406">
        <v>465455</v>
      </c>
      <c r="DJ93" s="408">
        <v>5</v>
      </c>
      <c r="DK93" s="405">
        <v>1</v>
      </c>
      <c r="DL93" s="82">
        <v>468.28</v>
      </c>
      <c r="DM93" s="409">
        <v>2.3413999999999997</v>
      </c>
      <c r="DN93" s="82" t="s">
        <v>85</v>
      </c>
      <c r="DO93" s="82" t="s">
        <v>85</v>
      </c>
      <c r="DP93" s="410" t="s">
        <v>85</v>
      </c>
    </row>
    <row r="94" spans="1:120" x14ac:dyDescent="0.25">
      <c r="A94" s="16" t="s">
        <v>9466</v>
      </c>
      <c r="B94" s="16" t="s">
        <v>9467</v>
      </c>
      <c r="C94" s="16" t="s">
        <v>9468</v>
      </c>
      <c r="D94" s="16" t="s">
        <v>9295</v>
      </c>
      <c r="E94" s="16" t="s">
        <v>9469</v>
      </c>
      <c r="F94" s="16" t="s">
        <v>9470</v>
      </c>
      <c r="G94" s="16" t="s">
        <v>9471</v>
      </c>
      <c r="H94" s="16" t="s">
        <v>9470</v>
      </c>
      <c r="I94" s="16" t="s">
        <v>1075</v>
      </c>
      <c r="J94" s="16" t="s">
        <v>1036</v>
      </c>
      <c r="K94" s="16" t="s">
        <v>1076</v>
      </c>
      <c r="L94" s="16" t="s">
        <v>85</v>
      </c>
      <c r="M94" s="16" t="s">
        <v>1216</v>
      </c>
      <c r="N94" s="16" t="s">
        <v>914</v>
      </c>
      <c r="O94" s="16" t="s">
        <v>946</v>
      </c>
      <c r="P94" s="16" t="s">
        <v>914</v>
      </c>
      <c r="Q94" s="16" t="s">
        <v>946</v>
      </c>
      <c r="R94" s="16" t="s">
        <v>915</v>
      </c>
      <c r="S94" s="16" t="s">
        <v>915</v>
      </c>
      <c r="T94" s="16" t="s">
        <v>1216</v>
      </c>
      <c r="U94" s="16" t="s">
        <v>1217</v>
      </c>
      <c r="V94" s="16" t="s">
        <v>916</v>
      </c>
      <c r="W94" s="16" t="s">
        <v>1217</v>
      </c>
      <c r="X94" s="16" t="s">
        <v>934</v>
      </c>
      <c r="Y94" s="16" t="s">
        <v>934</v>
      </c>
      <c r="Z94" s="16" t="s">
        <v>935</v>
      </c>
      <c r="DA94" s="405" t="s">
        <v>5</v>
      </c>
      <c r="DB94" s="405" t="s">
        <v>363</v>
      </c>
      <c r="DC94" s="406" t="s">
        <v>85</v>
      </c>
      <c r="DD94" s="405" t="s">
        <v>917</v>
      </c>
      <c r="DE94" s="405" t="s">
        <v>5</v>
      </c>
      <c r="DF94" s="406" t="s">
        <v>85</v>
      </c>
      <c r="DG94" s="407">
        <v>45840</v>
      </c>
      <c r="DH94" s="405" t="s">
        <v>9469</v>
      </c>
      <c r="DI94" s="406">
        <v>465455</v>
      </c>
      <c r="DJ94" s="408">
        <v>5</v>
      </c>
      <c r="DK94" s="405">
        <v>1</v>
      </c>
      <c r="DL94" s="82">
        <v>319.22000000000003</v>
      </c>
      <c r="DM94" s="409">
        <v>1.5961000000000001</v>
      </c>
      <c r="DN94" s="82" t="s">
        <v>85</v>
      </c>
      <c r="DO94" s="82" t="s">
        <v>85</v>
      </c>
      <c r="DP94" s="410" t="s">
        <v>85</v>
      </c>
    </row>
    <row r="95" spans="1:120" x14ac:dyDescent="0.25">
      <c r="A95" s="16" t="s">
        <v>9466</v>
      </c>
      <c r="B95" s="16" t="s">
        <v>9467</v>
      </c>
      <c r="C95" s="16" t="s">
        <v>9468</v>
      </c>
      <c r="D95" s="16" t="s">
        <v>9295</v>
      </c>
      <c r="E95" s="16" t="s">
        <v>9469</v>
      </c>
      <c r="F95" s="16" t="s">
        <v>9470</v>
      </c>
      <c r="G95" s="16" t="s">
        <v>9471</v>
      </c>
      <c r="H95" s="16" t="s">
        <v>9470</v>
      </c>
      <c r="I95" s="16" t="s">
        <v>1448</v>
      </c>
      <c r="J95" s="16" t="s">
        <v>1036</v>
      </c>
      <c r="K95" s="16" t="s">
        <v>1449</v>
      </c>
      <c r="L95" s="16" t="s">
        <v>85</v>
      </c>
      <c r="M95" s="16" t="s">
        <v>1216</v>
      </c>
      <c r="N95" s="16" t="s">
        <v>914</v>
      </c>
      <c r="O95" s="16" t="s">
        <v>946</v>
      </c>
      <c r="P95" s="16" t="s">
        <v>914</v>
      </c>
      <c r="Q95" s="16" t="s">
        <v>946</v>
      </c>
      <c r="R95" s="16" t="s">
        <v>915</v>
      </c>
      <c r="S95" s="16" t="s">
        <v>915</v>
      </c>
      <c r="T95" s="16" t="s">
        <v>1216</v>
      </c>
      <c r="U95" s="16" t="s">
        <v>1217</v>
      </c>
      <c r="V95" s="16" t="s">
        <v>916</v>
      </c>
      <c r="W95" s="16" t="s">
        <v>1217</v>
      </c>
      <c r="X95" s="16" t="s">
        <v>934</v>
      </c>
      <c r="Y95" s="16" t="s">
        <v>934</v>
      </c>
      <c r="Z95" s="16" t="s">
        <v>935</v>
      </c>
      <c r="DA95" s="405" t="s">
        <v>5</v>
      </c>
      <c r="DB95" s="405" t="s">
        <v>363</v>
      </c>
      <c r="DC95" s="406" t="s">
        <v>85</v>
      </c>
      <c r="DD95" s="405" t="s">
        <v>917</v>
      </c>
      <c r="DE95" s="405" t="s">
        <v>5</v>
      </c>
      <c r="DF95" s="406" t="s">
        <v>85</v>
      </c>
      <c r="DG95" s="407">
        <v>45840</v>
      </c>
      <c r="DH95" s="405" t="s">
        <v>9469</v>
      </c>
      <c r="DI95" s="406">
        <v>465455</v>
      </c>
      <c r="DJ95" s="408">
        <v>5</v>
      </c>
      <c r="DK95" s="405">
        <v>1</v>
      </c>
      <c r="DL95" s="82">
        <v>319.22000000000003</v>
      </c>
      <c r="DM95" s="409">
        <v>1.5961000000000001</v>
      </c>
      <c r="DN95" s="82" t="s">
        <v>85</v>
      </c>
      <c r="DO95" s="82" t="s">
        <v>85</v>
      </c>
      <c r="DP95" s="410" t="s">
        <v>85</v>
      </c>
    </row>
    <row r="96" spans="1:120" x14ac:dyDescent="0.25">
      <c r="A96" s="16" t="s">
        <v>9466</v>
      </c>
      <c r="B96" s="16" t="s">
        <v>9467</v>
      </c>
      <c r="C96" s="16" t="s">
        <v>9468</v>
      </c>
      <c r="D96" s="16" t="s">
        <v>9295</v>
      </c>
      <c r="E96" s="16" t="s">
        <v>9469</v>
      </c>
      <c r="F96" s="16" t="s">
        <v>9470</v>
      </c>
      <c r="G96" s="16" t="s">
        <v>9471</v>
      </c>
      <c r="H96" s="16" t="s">
        <v>9470</v>
      </c>
      <c r="I96" s="16" t="s">
        <v>1937</v>
      </c>
      <c r="J96" s="16" t="s">
        <v>1036</v>
      </c>
      <c r="K96" s="16" t="s">
        <v>1938</v>
      </c>
      <c r="L96" s="16" t="s">
        <v>85</v>
      </c>
      <c r="M96" s="16" t="s">
        <v>1216</v>
      </c>
      <c r="N96" s="16" t="s">
        <v>914</v>
      </c>
      <c r="O96" s="16" t="s">
        <v>946</v>
      </c>
      <c r="P96" s="16" t="s">
        <v>914</v>
      </c>
      <c r="Q96" s="16" t="s">
        <v>946</v>
      </c>
      <c r="R96" s="16" t="s">
        <v>915</v>
      </c>
      <c r="S96" s="16" t="s">
        <v>915</v>
      </c>
      <c r="T96" s="16" t="s">
        <v>1216</v>
      </c>
      <c r="U96" s="16" t="s">
        <v>1217</v>
      </c>
      <c r="V96" s="16" t="s">
        <v>916</v>
      </c>
      <c r="W96" s="16" t="s">
        <v>1217</v>
      </c>
      <c r="X96" s="16" t="s">
        <v>934</v>
      </c>
      <c r="Y96" s="16" t="s">
        <v>934</v>
      </c>
      <c r="Z96" s="16" t="s">
        <v>935</v>
      </c>
      <c r="DA96" s="405" t="s">
        <v>5</v>
      </c>
      <c r="DB96" s="405" t="s">
        <v>363</v>
      </c>
      <c r="DC96" s="406" t="s">
        <v>85</v>
      </c>
      <c r="DD96" s="405" t="s">
        <v>917</v>
      </c>
      <c r="DE96" s="405" t="s">
        <v>5</v>
      </c>
      <c r="DF96" s="406" t="s">
        <v>85</v>
      </c>
      <c r="DG96" s="407">
        <v>45840</v>
      </c>
      <c r="DH96" s="405" t="s">
        <v>9469</v>
      </c>
      <c r="DI96" s="406">
        <v>465455</v>
      </c>
      <c r="DJ96" s="408">
        <v>5</v>
      </c>
      <c r="DK96" s="405">
        <v>1</v>
      </c>
      <c r="DL96" s="82">
        <v>319.22000000000003</v>
      </c>
      <c r="DM96" s="409">
        <v>1.5961000000000001</v>
      </c>
      <c r="DN96" s="82" t="s">
        <v>85</v>
      </c>
      <c r="DO96" s="82" t="s">
        <v>85</v>
      </c>
      <c r="DP96" s="410" t="s">
        <v>85</v>
      </c>
    </row>
    <row r="97" spans="1:120" x14ac:dyDescent="0.25">
      <c r="A97" s="16" t="s">
        <v>9472</v>
      </c>
      <c r="B97" s="16" t="s">
        <v>9473</v>
      </c>
      <c r="C97" s="16" t="s">
        <v>9474</v>
      </c>
      <c r="D97" s="16" t="s">
        <v>9295</v>
      </c>
      <c r="E97" s="16" t="s">
        <v>9475</v>
      </c>
      <c r="F97" s="16" t="s">
        <v>9476</v>
      </c>
      <c r="G97" s="16" t="s">
        <v>9477</v>
      </c>
      <c r="H97" s="16" t="s">
        <v>9476</v>
      </c>
      <c r="I97" s="16" t="s">
        <v>1090</v>
      </c>
      <c r="J97" s="16" t="s">
        <v>943</v>
      </c>
      <c r="K97" s="16" t="s">
        <v>1091</v>
      </c>
      <c r="L97" s="16" t="s">
        <v>85</v>
      </c>
      <c r="M97" s="16" t="s">
        <v>984</v>
      </c>
      <c r="N97" s="16" t="s">
        <v>914</v>
      </c>
      <c r="O97" s="16" t="s">
        <v>985</v>
      </c>
      <c r="P97" s="16" t="s">
        <v>914</v>
      </c>
      <c r="Q97" s="16" t="s">
        <v>985</v>
      </c>
      <c r="R97" s="16" t="s">
        <v>915</v>
      </c>
      <c r="S97" s="16" t="s">
        <v>915</v>
      </c>
      <c r="T97" s="16" t="s">
        <v>986</v>
      </c>
      <c r="U97" s="16" t="s">
        <v>987</v>
      </c>
      <c r="V97" s="16" t="s">
        <v>916</v>
      </c>
      <c r="W97" s="16" t="s">
        <v>987</v>
      </c>
      <c r="X97" s="16" t="s">
        <v>934</v>
      </c>
      <c r="Y97" s="16" t="s">
        <v>934</v>
      </c>
      <c r="Z97" s="16" t="s">
        <v>935</v>
      </c>
      <c r="DA97" s="405" t="s">
        <v>5</v>
      </c>
      <c r="DB97" s="405" t="s">
        <v>363</v>
      </c>
      <c r="DC97" s="406" t="s">
        <v>85</v>
      </c>
      <c r="DD97" s="405" t="s">
        <v>917</v>
      </c>
      <c r="DE97" s="405" t="s">
        <v>5</v>
      </c>
      <c r="DF97" s="406" t="s">
        <v>85</v>
      </c>
      <c r="DG97" s="407">
        <v>45840</v>
      </c>
      <c r="DH97" s="405" t="s">
        <v>9475</v>
      </c>
      <c r="DI97" s="406">
        <v>465455</v>
      </c>
      <c r="DJ97" s="408">
        <v>5</v>
      </c>
      <c r="DK97" s="405">
        <v>1</v>
      </c>
      <c r="DL97" s="82">
        <v>340.55</v>
      </c>
      <c r="DM97" s="409">
        <v>1.70275</v>
      </c>
      <c r="DN97" s="82" t="s">
        <v>85</v>
      </c>
      <c r="DO97" s="82" t="s">
        <v>85</v>
      </c>
      <c r="DP97" s="410" t="s">
        <v>85</v>
      </c>
    </row>
    <row r="98" spans="1:120" x14ac:dyDescent="0.25">
      <c r="A98" s="16" t="s">
        <v>9472</v>
      </c>
      <c r="B98" s="16" t="s">
        <v>9473</v>
      </c>
      <c r="C98" s="16" t="s">
        <v>9474</v>
      </c>
      <c r="D98" s="16" t="s">
        <v>9295</v>
      </c>
      <c r="E98" s="16" t="s">
        <v>9475</v>
      </c>
      <c r="F98" s="16" t="s">
        <v>9476</v>
      </c>
      <c r="G98" s="16" t="s">
        <v>9477</v>
      </c>
      <c r="H98" s="16" t="s">
        <v>9476</v>
      </c>
      <c r="I98" s="16" t="s">
        <v>1620</v>
      </c>
      <c r="J98" s="16" t="s">
        <v>943</v>
      </c>
      <c r="K98" s="16" t="s">
        <v>1621</v>
      </c>
      <c r="L98" s="16" t="s">
        <v>85</v>
      </c>
      <c r="M98" s="16" t="s">
        <v>984</v>
      </c>
      <c r="N98" s="16" t="s">
        <v>914</v>
      </c>
      <c r="O98" s="16" t="s">
        <v>985</v>
      </c>
      <c r="P98" s="16" t="s">
        <v>914</v>
      </c>
      <c r="Q98" s="16" t="s">
        <v>985</v>
      </c>
      <c r="R98" s="16" t="s">
        <v>915</v>
      </c>
      <c r="S98" s="16" t="s">
        <v>915</v>
      </c>
      <c r="T98" s="16" t="s">
        <v>986</v>
      </c>
      <c r="U98" s="16" t="s">
        <v>987</v>
      </c>
      <c r="V98" s="16" t="s">
        <v>916</v>
      </c>
      <c r="W98" s="16" t="s">
        <v>987</v>
      </c>
      <c r="X98" s="16" t="s">
        <v>934</v>
      </c>
      <c r="Y98" s="16" t="s">
        <v>934</v>
      </c>
      <c r="Z98" s="16" t="s">
        <v>935</v>
      </c>
      <c r="DA98" s="405" t="s">
        <v>5</v>
      </c>
      <c r="DB98" s="405" t="s">
        <v>363</v>
      </c>
      <c r="DC98" s="406" t="s">
        <v>85</v>
      </c>
      <c r="DD98" s="405" t="s">
        <v>917</v>
      </c>
      <c r="DE98" s="405" t="s">
        <v>5</v>
      </c>
      <c r="DF98" s="406" t="s">
        <v>85</v>
      </c>
      <c r="DG98" s="407">
        <v>45840</v>
      </c>
      <c r="DH98" s="405" t="s">
        <v>9475</v>
      </c>
      <c r="DI98" s="406">
        <v>465455</v>
      </c>
      <c r="DJ98" s="408">
        <v>5</v>
      </c>
      <c r="DK98" s="405">
        <v>1</v>
      </c>
      <c r="DL98" s="82">
        <v>340.55</v>
      </c>
      <c r="DM98" s="409">
        <v>1.70275</v>
      </c>
      <c r="DN98" s="82" t="s">
        <v>85</v>
      </c>
      <c r="DO98" s="82" t="s">
        <v>85</v>
      </c>
      <c r="DP98" s="410" t="s">
        <v>85</v>
      </c>
    </row>
    <row r="99" spans="1:120" x14ac:dyDescent="0.25">
      <c r="A99" s="16" t="s">
        <v>9478</v>
      </c>
      <c r="B99" s="16" t="s">
        <v>9479</v>
      </c>
      <c r="C99" s="16" t="s">
        <v>9480</v>
      </c>
      <c r="D99" s="16" t="s">
        <v>9295</v>
      </c>
      <c r="E99" s="16" t="s">
        <v>9481</v>
      </c>
      <c r="F99" s="16" t="s">
        <v>9482</v>
      </c>
      <c r="G99" s="16" t="s">
        <v>9483</v>
      </c>
      <c r="H99" s="16" t="s">
        <v>9482</v>
      </c>
      <c r="I99" s="16" t="s">
        <v>1189</v>
      </c>
      <c r="J99" s="16" t="s">
        <v>928</v>
      </c>
      <c r="K99" s="16" t="s">
        <v>1190</v>
      </c>
      <c r="L99" s="16" t="s">
        <v>85</v>
      </c>
      <c r="M99" s="16" t="s">
        <v>1322</v>
      </c>
      <c r="N99" s="16" t="s">
        <v>914</v>
      </c>
      <c r="O99" s="16" t="s">
        <v>1323</v>
      </c>
      <c r="P99" s="16" t="s">
        <v>914</v>
      </c>
      <c r="Q99" s="16" t="s">
        <v>1323</v>
      </c>
      <c r="R99" s="16" t="s">
        <v>915</v>
      </c>
      <c r="S99" s="16" t="s">
        <v>915</v>
      </c>
      <c r="T99" s="16" t="s">
        <v>1322</v>
      </c>
      <c r="U99" s="16" t="s">
        <v>1324</v>
      </c>
      <c r="V99" s="16" t="s">
        <v>916</v>
      </c>
      <c r="W99" s="16" t="s">
        <v>1324</v>
      </c>
      <c r="X99" s="16" t="s">
        <v>934</v>
      </c>
      <c r="Y99" s="16" t="s">
        <v>934</v>
      </c>
      <c r="Z99" s="16" t="s">
        <v>935</v>
      </c>
      <c r="DA99" s="405" t="s">
        <v>5</v>
      </c>
      <c r="DB99" s="405" t="s">
        <v>363</v>
      </c>
      <c r="DC99" s="406" t="s">
        <v>85</v>
      </c>
      <c r="DD99" s="405" t="s">
        <v>917</v>
      </c>
      <c r="DE99" s="405" t="s">
        <v>5</v>
      </c>
      <c r="DF99" s="406" t="s">
        <v>85</v>
      </c>
      <c r="DG99" s="407">
        <v>45840</v>
      </c>
      <c r="DH99" s="405" t="s">
        <v>9481</v>
      </c>
      <c r="DI99" s="406">
        <v>465455</v>
      </c>
      <c r="DJ99" s="408">
        <v>5</v>
      </c>
      <c r="DK99" s="405">
        <v>1</v>
      </c>
      <c r="DL99" s="82">
        <v>332.47</v>
      </c>
      <c r="DM99" s="409">
        <v>1.6623500000000002</v>
      </c>
      <c r="DN99" s="82" t="s">
        <v>85</v>
      </c>
      <c r="DO99" s="82" t="s">
        <v>85</v>
      </c>
      <c r="DP99" s="410" t="s">
        <v>85</v>
      </c>
    </row>
    <row r="100" spans="1:120" x14ac:dyDescent="0.25">
      <c r="A100" s="16" t="s">
        <v>9478</v>
      </c>
      <c r="B100" s="16" t="s">
        <v>9479</v>
      </c>
      <c r="C100" s="16" t="s">
        <v>9480</v>
      </c>
      <c r="D100" s="16" t="s">
        <v>9295</v>
      </c>
      <c r="E100" s="16" t="s">
        <v>9481</v>
      </c>
      <c r="F100" s="16" t="s">
        <v>9482</v>
      </c>
      <c r="G100" s="16" t="s">
        <v>9483</v>
      </c>
      <c r="H100" s="16" t="s">
        <v>9482</v>
      </c>
      <c r="I100" s="16" t="s">
        <v>1301</v>
      </c>
      <c r="J100" s="16" t="s">
        <v>928</v>
      </c>
      <c r="K100" s="16" t="s">
        <v>1302</v>
      </c>
      <c r="L100" s="16" t="s">
        <v>85</v>
      </c>
      <c r="M100" s="16" t="s">
        <v>1322</v>
      </c>
      <c r="N100" s="16" t="s">
        <v>914</v>
      </c>
      <c r="O100" s="16" t="s">
        <v>1323</v>
      </c>
      <c r="P100" s="16" t="s">
        <v>914</v>
      </c>
      <c r="Q100" s="16" t="s">
        <v>1323</v>
      </c>
      <c r="R100" s="16" t="s">
        <v>915</v>
      </c>
      <c r="S100" s="16" t="s">
        <v>915</v>
      </c>
      <c r="T100" s="16" t="s">
        <v>1322</v>
      </c>
      <c r="U100" s="16" t="s">
        <v>1324</v>
      </c>
      <c r="V100" s="16" t="s">
        <v>916</v>
      </c>
      <c r="W100" s="16" t="s">
        <v>1324</v>
      </c>
      <c r="X100" s="16" t="s">
        <v>934</v>
      </c>
      <c r="Y100" s="16" t="s">
        <v>934</v>
      </c>
      <c r="Z100" s="16" t="s">
        <v>935</v>
      </c>
      <c r="DA100" s="405" t="s">
        <v>5</v>
      </c>
      <c r="DB100" s="405" t="s">
        <v>363</v>
      </c>
      <c r="DC100" s="406" t="s">
        <v>85</v>
      </c>
      <c r="DD100" s="405" t="s">
        <v>917</v>
      </c>
      <c r="DE100" s="405" t="s">
        <v>5</v>
      </c>
      <c r="DF100" s="406" t="s">
        <v>85</v>
      </c>
      <c r="DG100" s="407">
        <v>45840</v>
      </c>
      <c r="DH100" s="405" t="s">
        <v>9481</v>
      </c>
      <c r="DI100" s="406">
        <v>465455</v>
      </c>
      <c r="DJ100" s="408">
        <v>5</v>
      </c>
      <c r="DK100" s="405">
        <v>1</v>
      </c>
      <c r="DL100" s="82">
        <v>332.47</v>
      </c>
      <c r="DM100" s="409">
        <v>1.6623500000000002</v>
      </c>
      <c r="DN100" s="82" t="s">
        <v>85</v>
      </c>
      <c r="DO100" s="82" t="s">
        <v>85</v>
      </c>
      <c r="DP100" s="410" t="s">
        <v>85</v>
      </c>
    </row>
    <row r="101" spans="1:120" x14ac:dyDescent="0.25">
      <c r="A101" s="16" t="s">
        <v>9484</v>
      </c>
      <c r="B101" s="16" t="s">
        <v>9485</v>
      </c>
      <c r="C101" s="16" t="s">
        <v>9486</v>
      </c>
      <c r="D101" s="16" t="s">
        <v>9295</v>
      </c>
      <c r="E101" s="16" t="s">
        <v>9487</v>
      </c>
      <c r="F101" s="16" t="s">
        <v>9488</v>
      </c>
      <c r="G101" s="16" t="s">
        <v>9489</v>
      </c>
      <c r="H101" s="16" t="s">
        <v>9488</v>
      </c>
      <c r="I101" s="16" t="s">
        <v>2368</v>
      </c>
      <c r="J101" s="16" t="s">
        <v>2369</v>
      </c>
      <c r="K101" s="16" t="s">
        <v>2370</v>
      </c>
      <c r="L101" s="16" t="s">
        <v>85</v>
      </c>
      <c r="M101" s="16" t="s">
        <v>1955</v>
      </c>
      <c r="N101" s="16" t="s">
        <v>914</v>
      </c>
      <c r="O101" s="16" t="s">
        <v>1039</v>
      </c>
      <c r="P101" s="16" t="s">
        <v>914</v>
      </c>
      <c r="Q101" s="16" t="s">
        <v>1039</v>
      </c>
      <c r="R101" s="16" t="s">
        <v>915</v>
      </c>
      <c r="S101" s="16" t="s">
        <v>915</v>
      </c>
      <c r="T101" s="16" t="s">
        <v>1955</v>
      </c>
      <c r="U101" s="16" t="s">
        <v>1956</v>
      </c>
      <c r="V101" s="16" t="s">
        <v>916</v>
      </c>
      <c r="W101" s="16" t="s">
        <v>1956</v>
      </c>
      <c r="X101" s="16" t="s">
        <v>934</v>
      </c>
      <c r="Y101" s="16" t="s">
        <v>934</v>
      </c>
      <c r="Z101" s="16" t="s">
        <v>935</v>
      </c>
      <c r="DA101" s="405" t="s">
        <v>5</v>
      </c>
      <c r="DB101" s="405" t="s">
        <v>363</v>
      </c>
      <c r="DC101" s="406" t="s">
        <v>85</v>
      </c>
      <c r="DD101" s="405" t="s">
        <v>917</v>
      </c>
      <c r="DE101" s="405" t="s">
        <v>5</v>
      </c>
      <c r="DF101" s="406" t="s">
        <v>85</v>
      </c>
      <c r="DG101" s="407">
        <v>45840</v>
      </c>
      <c r="DH101" s="405" t="s">
        <v>9487</v>
      </c>
      <c r="DI101" s="406">
        <v>465455</v>
      </c>
      <c r="DJ101" s="408">
        <v>5</v>
      </c>
      <c r="DK101" s="405">
        <v>1</v>
      </c>
      <c r="DL101" s="82">
        <v>311.2</v>
      </c>
      <c r="DM101" s="409">
        <v>1.556</v>
      </c>
      <c r="DN101" s="82" t="s">
        <v>85</v>
      </c>
      <c r="DO101" s="82" t="s">
        <v>85</v>
      </c>
      <c r="DP101" s="410" t="s">
        <v>85</v>
      </c>
    </row>
    <row r="102" spans="1:120" x14ac:dyDescent="0.25">
      <c r="A102" s="16" t="s">
        <v>9490</v>
      </c>
      <c r="B102" s="16" t="s">
        <v>9491</v>
      </c>
      <c r="C102" s="16" t="s">
        <v>9492</v>
      </c>
      <c r="D102" s="16" t="s">
        <v>9295</v>
      </c>
      <c r="E102" s="16" t="s">
        <v>9493</v>
      </c>
      <c r="F102" s="16" t="s">
        <v>9494</v>
      </c>
      <c r="G102" s="16" t="s">
        <v>9495</v>
      </c>
      <c r="H102" s="16" t="s">
        <v>9494</v>
      </c>
      <c r="I102" s="16" t="s">
        <v>2136</v>
      </c>
      <c r="J102" s="16" t="s">
        <v>943</v>
      </c>
      <c r="K102" s="16" t="s">
        <v>2137</v>
      </c>
      <c r="L102" s="16" t="s">
        <v>85</v>
      </c>
      <c r="M102" s="16" t="s">
        <v>984</v>
      </c>
      <c r="N102" s="16" t="s">
        <v>914</v>
      </c>
      <c r="O102" s="16" t="s">
        <v>985</v>
      </c>
      <c r="P102" s="16" t="s">
        <v>914</v>
      </c>
      <c r="Q102" s="16" t="s">
        <v>985</v>
      </c>
      <c r="R102" s="16" t="s">
        <v>915</v>
      </c>
      <c r="S102" s="16" t="s">
        <v>915</v>
      </c>
      <c r="T102" s="16" t="s">
        <v>986</v>
      </c>
      <c r="U102" s="16" t="s">
        <v>987</v>
      </c>
      <c r="V102" s="16" t="s">
        <v>916</v>
      </c>
      <c r="W102" s="16" t="s">
        <v>987</v>
      </c>
      <c r="X102" s="16" t="s">
        <v>934</v>
      </c>
      <c r="Y102" s="16" t="s">
        <v>934</v>
      </c>
      <c r="Z102" s="16" t="s">
        <v>935</v>
      </c>
      <c r="DA102" s="405" t="s">
        <v>5</v>
      </c>
      <c r="DB102" s="405" t="s">
        <v>363</v>
      </c>
      <c r="DC102" s="406" t="s">
        <v>85</v>
      </c>
      <c r="DD102" s="405" t="s">
        <v>917</v>
      </c>
      <c r="DE102" s="405" t="s">
        <v>5</v>
      </c>
      <c r="DF102" s="406" t="s">
        <v>85</v>
      </c>
      <c r="DG102" s="407">
        <v>45840</v>
      </c>
      <c r="DH102" s="405" t="s">
        <v>9493</v>
      </c>
      <c r="DI102" s="406">
        <v>465455</v>
      </c>
      <c r="DJ102" s="408">
        <v>5</v>
      </c>
      <c r="DK102" s="405">
        <v>1</v>
      </c>
      <c r="DL102" s="82">
        <v>340.55</v>
      </c>
      <c r="DM102" s="409">
        <v>1.70275</v>
      </c>
      <c r="DN102" s="82" t="s">
        <v>85</v>
      </c>
      <c r="DO102" s="82" t="s">
        <v>85</v>
      </c>
      <c r="DP102" s="410" t="s">
        <v>85</v>
      </c>
    </row>
    <row r="103" spans="1:120" x14ac:dyDescent="0.25">
      <c r="A103" s="16" t="s">
        <v>9496</v>
      </c>
      <c r="B103" s="16" t="s">
        <v>9497</v>
      </c>
      <c r="C103" s="16" t="s">
        <v>9498</v>
      </c>
      <c r="D103" s="16" t="s">
        <v>9295</v>
      </c>
      <c r="E103" s="16" t="s">
        <v>9499</v>
      </c>
      <c r="F103" s="16" t="s">
        <v>9500</v>
      </c>
      <c r="G103" s="16" t="s">
        <v>9501</v>
      </c>
      <c r="H103" s="16" t="s">
        <v>9500</v>
      </c>
      <c r="I103" s="16" t="s">
        <v>9502</v>
      </c>
      <c r="J103" s="16" t="s">
        <v>8571</v>
      </c>
      <c r="K103" s="16" t="s">
        <v>9503</v>
      </c>
      <c r="L103" s="16" t="s">
        <v>85</v>
      </c>
      <c r="M103" s="16" t="s">
        <v>1216</v>
      </c>
      <c r="N103" s="16" t="s">
        <v>914</v>
      </c>
      <c r="O103" s="16" t="s">
        <v>946</v>
      </c>
      <c r="P103" s="16" t="s">
        <v>914</v>
      </c>
      <c r="Q103" s="16" t="s">
        <v>946</v>
      </c>
      <c r="R103" s="16" t="s">
        <v>915</v>
      </c>
      <c r="S103" s="16" t="s">
        <v>915</v>
      </c>
      <c r="T103" s="16" t="s">
        <v>1216</v>
      </c>
      <c r="U103" s="16" t="s">
        <v>1217</v>
      </c>
      <c r="V103" s="16" t="s">
        <v>916</v>
      </c>
      <c r="W103" s="16" t="s">
        <v>1217</v>
      </c>
      <c r="X103" s="16" t="s">
        <v>934</v>
      </c>
      <c r="Y103" s="16" t="s">
        <v>934</v>
      </c>
      <c r="Z103" s="16" t="s">
        <v>935</v>
      </c>
      <c r="DA103" s="405" t="s">
        <v>5</v>
      </c>
      <c r="DB103" s="405" t="s">
        <v>363</v>
      </c>
      <c r="DC103" s="406" t="s">
        <v>85</v>
      </c>
      <c r="DD103" s="405" t="s">
        <v>917</v>
      </c>
      <c r="DE103" s="405" t="s">
        <v>5</v>
      </c>
      <c r="DF103" s="406" t="s">
        <v>85</v>
      </c>
      <c r="DG103" s="407">
        <v>45840</v>
      </c>
      <c r="DH103" s="405" t="s">
        <v>9499</v>
      </c>
      <c r="DI103" s="406">
        <v>465455</v>
      </c>
      <c r="DJ103" s="408">
        <v>5</v>
      </c>
      <c r="DK103" s="405">
        <v>1</v>
      </c>
      <c r="DL103" s="82">
        <v>319.22000000000003</v>
      </c>
      <c r="DM103" s="409">
        <v>1.5961000000000001</v>
      </c>
      <c r="DN103" s="82" t="s">
        <v>85</v>
      </c>
      <c r="DO103" s="82" t="s">
        <v>85</v>
      </c>
      <c r="DP103" s="410" t="s">
        <v>85</v>
      </c>
    </row>
    <row r="104" spans="1:120" x14ac:dyDescent="0.25">
      <c r="A104" s="16" t="s">
        <v>9504</v>
      </c>
      <c r="B104" s="16" t="s">
        <v>9505</v>
      </c>
      <c r="C104" s="16" t="s">
        <v>9506</v>
      </c>
      <c r="D104" s="16" t="s">
        <v>9295</v>
      </c>
      <c r="E104" s="16" t="s">
        <v>9507</v>
      </c>
      <c r="F104" s="16" t="s">
        <v>9508</v>
      </c>
      <c r="G104" s="16" t="s">
        <v>9509</v>
      </c>
      <c r="H104" s="16" t="s">
        <v>9508</v>
      </c>
      <c r="I104" s="16" t="s">
        <v>1269</v>
      </c>
      <c r="J104" s="16" t="s">
        <v>943</v>
      </c>
      <c r="K104" s="16" t="s">
        <v>1270</v>
      </c>
      <c r="L104" s="16" t="s">
        <v>85</v>
      </c>
      <c r="M104" s="16" t="s">
        <v>984</v>
      </c>
      <c r="N104" s="16" t="s">
        <v>914</v>
      </c>
      <c r="O104" s="16" t="s">
        <v>985</v>
      </c>
      <c r="P104" s="16" t="s">
        <v>914</v>
      </c>
      <c r="Q104" s="16" t="s">
        <v>985</v>
      </c>
      <c r="R104" s="16" t="s">
        <v>915</v>
      </c>
      <c r="S104" s="16" t="s">
        <v>915</v>
      </c>
      <c r="T104" s="16" t="s">
        <v>986</v>
      </c>
      <c r="U104" s="16" t="s">
        <v>987</v>
      </c>
      <c r="V104" s="16" t="s">
        <v>916</v>
      </c>
      <c r="W104" s="16" t="s">
        <v>987</v>
      </c>
      <c r="X104" s="16" t="s">
        <v>934</v>
      </c>
      <c r="Y104" s="16" t="s">
        <v>934</v>
      </c>
      <c r="Z104" s="16" t="s">
        <v>935</v>
      </c>
      <c r="DA104" s="405" t="s">
        <v>5</v>
      </c>
      <c r="DB104" s="405" t="s">
        <v>363</v>
      </c>
      <c r="DC104" s="406" t="s">
        <v>85</v>
      </c>
      <c r="DD104" s="405" t="s">
        <v>917</v>
      </c>
      <c r="DE104" s="405" t="s">
        <v>5</v>
      </c>
      <c r="DF104" s="406" t="s">
        <v>85</v>
      </c>
      <c r="DG104" s="407">
        <v>45840</v>
      </c>
      <c r="DH104" s="405" t="s">
        <v>9507</v>
      </c>
      <c r="DI104" s="406">
        <v>465455</v>
      </c>
      <c r="DJ104" s="408">
        <v>5</v>
      </c>
      <c r="DK104" s="405">
        <v>1</v>
      </c>
      <c r="DL104" s="82">
        <v>340.55</v>
      </c>
      <c r="DM104" s="409">
        <v>1.70275</v>
      </c>
      <c r="DN104" s="82" t="s">
        <v>85</v>
      </c>
      <c r="DO104" s="82" t="s">
        <v>85</v>
      </c>
      <c r="DP104" s="410" t="s">
        <v>85</v>
      </c>
    </row>
    <row r="105" spans="1:120" x14ac:dyDescent="0.25">
      <c r="A105" s="16" t="s">
        <v>9510</v>
      </c>
      <c r="B105" s="16" t="s">
        <v>9511</v>
      </c>
      <c r="C105" s="16" t="s">
        <v>9512</v>
      </c>
      <c r="D105" s="16" t="s">
        <v>9295</v>
      </c>
      <c r="E105" s="16" t="s">
        <v>9513</v>
      </c>
      <c r="F105" s="16" t="s">
        <v>9514</v>
      </c>
      <c r="G105" s="16" t="s">
        <v>9515</v>
      </c>
      <c r="H105" s="16" t="s">
        <v>9514</v>
      </c>
      <c r="I105" s="16" t="s">
        <v>1066</v>
      </c>
      <c r="J105" s="16" t="s">
        <v>943</v>
      </c>
      <c r="K105" s="16" t="s">
        <v>1067</v>
      </c>
      <c r="L105" s="16" t="s">
        <v>85</v>
      </c>
      <c r="M105" s="16" t="s">
        <v>984</v>
      </c>
      <c r="N105" s="16" t="s">
        <v>914</v>
      </c>
      <c r="O105" s="16" t="s">
        <v>985</v>
      </c>
      <c r="P105" s="16" t="s">
        <v>914</v>
      </c>
      <c r="Q105" s="16" t="s">
        <v>985</v>
      </c>
      <c r="R105" s="16" t="s">
        <v>915</v>
      </c>
      <c r="S105" s="16" t="s">
        <v>915</v>
      </c>
      <c r="T105" s="16" t="s">
        <v>986</v>
      </c>
      <c r="U105" s="16" t="s">
        <v>987</v>
      </c>
      <c r="V105" s="16" t="s">
        <v>916</v>
      </c>
      <c r="W105" s="16" t="s">
        <v>987</v>
      </c>
      <c r="X105" s="16" t="s">
        <v>934</v>
      </c>
      <c r="Y105" s="16" t="s">
        <v>934</v>
      </c>
      <c r="Z105" s="16" t="s">
        <v>935</v>
      </c>
      <c r="DA105" s="405" t="s">
        <v>5</v>
      </c>
      <c r="DB105" s="405" t="s">
        <v>363</v>
      </c>
      <c r="DC105" s="406" t="s">
        <v>85</v>
      </c>
      <c r="DD105" s="405" t="s">
        <v>917</v>
      </c>
      <c r="DE105" s="405" t="s">
        <v>5</v>
      </c>
      <c r="DF105" s="406" t="s">
        <v>85</v>
      </c>
      <c r="DG105" s="407">
        <v>45840</v>
      </c>
      <c r="DH105" s="405" t="s">
        <v>9513</v>
      </c>
      <c r="DI105" s="406">
        <v>465455</v>
      </c>
      <c r="DJ105" s="408">
        <v>5</v>
      </c>
      <c r="DK105" s="405">
        <v>1</v>
      </c>
      <c r="DL105" s="82">
        <v>340.55</v>
      </c>
      <c r="DM105" s="409">
        <v>1.70275</v>
      </c>
      <c r="DN105" s="82" t="s">
        <v>85</v>
      </c>
      <c r="DO105" s="82" t="s">
        <v>85</v>
      </c>
      <c r="DP105" s="410" t="s">
        <v>85</v>
      </c>
    </row>
    <row r="106" spans="1:120" x14ac:dyDescent="0.25">
      <c r="A106" s="16" t="s">
        <v>9049</v>
      </c>
      <c r="B106" s="16" t="s">
        <v>9050</v>
      </c>
      <c r="C106" s="16" t="s">
        <v>9051</v>
      </c>
      <c r="D106" s="16" t="s">
        <v>9052</v>
      </c>
      <c r="E106" s="16" t="s">
        <v>9053</v>
      </c>
      <c r="F106" s="16" t="s">
        <v>9054</v>
      </c>
      <c r="G106" s="16" t="s">
        <v>9055</v>
      </c>
      <c r="H106" s="16" t="s">
        <v>9054</v>
      </c>
      <c r="I106" s="16" t="s">
        <v>1163</v>
      </c>
      <c r="J106" s="16" t="s">
        <v>995</v>
      </c>
      <c r="K106" s="16" t="s">
        <v>1164</v>
      </c>
      <c r="L106" s="16" t="s">
        <v>85</v>
      </c>
      <c r="M106" s="16" t="s">
        <v>1165</v>
      </c>
      <c r="N106" s="16" t="s">
        <v>914</v>
      </c>
      <c r="O106" s="16" t="s">
        <v>1166</v>
      </c>
      <c r="P106" s="16" t="s">
        <v>914</v>
      </c>
      <c r="Q106" s="16" t="s">
        <v>1166</v>
      </c>
      <c r="R106" s="16" t="s">
        <v>915</v>
      </c>
      <c r="S106" s="16" t="s">
        <v>915</v>
      </c>
      <c r="T106" s="16" t="s">
        <v>1167</v>
      </c>
      <c r="U106" s="16" t="s">
        <v>1168</v>
      </c>
      <c r="V106" s="16" t="s">
        <v>916</v>
      </c>
      <c r="W106" s="16" t="s">
        <v>1168</v>
      </c>
      <c r="X106" s="16" t="s">
        <v>934</v>
      </c>
      <c r="Y106" s="16" t="s">
        <v>934</v>
      </c>
      <c r="Z106" s="16" t="s">
        <v>935</v>
      </c>
      <c r="DA106" s="405" t="s">
        <v>5</v>
      </c>
      <c r="DB106" s="405" t="s">
        <v>363</v>
      </c>
      <c r="DC106" s="406" t="s">
        <v>85</v>
      </c>
      <c r="DD106" s="405" t="s">
        <v>917</v>
      </c>
      <c r="DE106" s="405" t="s">
        <v>5</v>
      </c>
      <c r="DF106" s="406" t="s">
        <v>85</v>
      </c>
      <c r="DG106" s="407">
        <v>45841</v>
      </c>
      <c r="DH106" s="405" t="s">
        <v>9053</v>
      </c>
      <c r="DI106" s="406">
        <v>465455</v>
      </c>
      <c r="DJ106" s="408">
        <v>5</v>
      </c>
      <c r="DK106" s="405">
        <v>1</v>
      </c>
      <c r="DL106" s="82">
        <v>468.28</v>
      </c>
      <c r="DM106" s="409">
        <v>2.3413999999999997</v>
      </c>
      <c r="DN106" s="82" t="s">
        <v>85</v>
      </c>
      <c r="DO106" s="82" t="s">
        <v>85</v>
      </c>
      <c r="DP106" s="410" t="s">
        <v>85</v>
      </c>
    </row>
    <row r="107" spans="1:120" x14ac:dyDescent="0.25">
      <c r="A107" s="16" t="s">
        <v>9056</v>
      </c>
      <c r="B107" s="16" t="s">
        <v>9057</v>
      </c>
      <c r="C107" s="16" t="s">
        <v>9058</v>
      </c>
      <c r="D107" s="16" t="s">
        <v>9052</v>
      </c>
      <c r="E107" s="16" t="s">
        <v>9059</v>
      </c>
      <c r="F107" s="16" t="s">
        <v>9060</v>
      </c>
      <c r="G107" s="16" t="s">
        <v>9061</v>
      </c>
      <c r="H107" s="16" t="s">
        <v>9062</v>
      </c>
      <c r="I107" s="16" t="s">
        <v>2556</v>
      </c>
      <c r="J107" s="16" t="s">
        <v>928</v>
      </c>
      <c r="K107" s="16" t="s">
        <v>2557</v>
      </c>
      <c r="L107" s="16" t="s">
        <v>85</v>
      </c>
      <c r="M107" s="16" t="s">
        <v>1322</v>
      </c>
      <c r="N107" s="16" t="s">
        <v>914</v>
      </c>
      <c r="O107" s="16" t="s">
        <v>1323</v>
      </c>
      <c r="P107" s="16" t="s">
        <v>914</v>
      </c>
      <c r="Q107" s="16" t="s">
        <v>1323</v>
      </c>
      <c r="R107" s="16" t="s">
        <v>915</v>
      </c>
      <c r="S107" s="16" t="s">
        <v>915</v>
      </c>
      <c r="T107" s="16" t="s">
        <v>1322</v>
      </c>
      <c r="U107" s="16" t="s">
        <v>1324</v>
      </c>
      <c r="V107" s="16" t="s">
        <v>916</v>
      </c>
      <c r="W107" s="16" t="s">
        <v>1324</v>
      </c>
      <c r="X107" s="16" t="s">
        <v>934</v>
      </c>
      <c r="Y107" s="16" t="s">
        <v>934</v>
      </c>
      <c r="Z107" s="16" t="s">
        <v>935</v>
      </c>
      <c r="DA107" s="405" t="s">
        <v>5</v>
      </c>
      <c r="DB107" s="405" t="s">
        <v>363</v>
      </c>
      <c r="DC107" s="406" t="s">
        <v>85</v>
      </c>
      <c r="DD107" s="405" t="s">
        <v>917</v>
      </c>
      <c r="DE107" s="405" t="s">
        <v>5</v>
      </c>
      <c r="DF107" s="406" t="s">
        <v>85</v>
      </c>
      <c r="DG107" s="407">
        <v>45841</v>
      </c>
      <c r="DH107" s="405" t="s">
        <v>9059</v>
      </c>
      <c r="DI107" s="406">
        <v>465455</v>
      </c>
      <c r="DJ107" s="408">
        <v>5</v>
      </c>
      <c r="DK107" s="405">
        <v>1</v>
      </c>
      <c r="DL107" s="82">
        <v>332.47</v>
      </c>
      <c r="DM107" s="409">
        <v>1.6623500000000002</v>
      </c>
      <c r="DN107" s="82" t="s">
        <v>85</v>
      </c>
      <c r="DO107" s="82" t="s">
        <v>85</v>
      </c>
      <c r="DP107" s="410" t="s">
        <v>85</v>
      </c>
    </row>
    <row r="108" spans="1:120" x14ac:dyDescent="0.25">
      <c r="A108" s="16" t="s">
        <v>9063</v>
      </c>
      <c r="B108" s="16" t="s">
        <v>9064</v>
      </c>
      <c r="C108" s="16" t="s">
        <v>9065</v>
      </c>
      <c r="D108" s="16" t="s">
        <v>9052</v>
      </c>
      <c r="E108" s="16" t="s">
        <v>9066</v>
      </c>
      <c r="F108" s="16" t="s">
        <v>9067</v>
      </c>
      <c r="G108" s="16" t="s">
        <v>9068</v>
      </c>
      <c r="H108" s="16" t="s">
        <v>9069</v>
      </c>
      <c r="I108" s="16" t="s">
        <v>9070</v>
      </c>
      <c r="J108" s="16" t="s">
        <v>9071</v>
      </c>
      <c r="K108" s="16" t="s">
        <v>9072</v>
      </c>
      <c r="L108" s="16" t="s">
        <v>85</v>
      </c>
      <c r="M108" s="16" t="s">
        <v>9073</v>
      </c>
      <c r="N108" s="16" t="s">
        <v>914</v>
      </c>
      <c r="O108" s="16" t="s">
        <v>9074</v>
      </c>
      <c r="P108" s="16" t="s">
        <v>914</v>
      </c>
      <c r="Q108" s="16" t="s">
        <v>9074</v>
      </c>
      <c r="R108" s="16" t="s">
        <v>915</v>
      </c>
      <c r="S108" s="16" t="s">
        <v>915</v>
      </c>
      <c r="T108" s="16" t="s">
        <v>9073</v>
      </c>
      <c r="U108" s="16" t="s">
        <v>9075</v>
      </c>
      <c r="V108" s="16" t="s">
        <v>916</v>
      </c>
      <c r="W108" s="16" t="s">
        <v>9075</v>
      </c>
      <c r="X108" s="16" t="s">
        <v>934</v>
      </c>
      <c r="Y108" s="16" t="s">
        <v>934</v>
      </c>
      <c r="Z108" s="16" t="s">
        <v>935</v>
      </c>
      <c r="DA108" s="405" t="s">
        <v>5</v>
      </c>
      <c r="DB108" s="405" t="s">
        <v>363</v>
      </c>
      <c r="DC108" s="406" t="s">
        <v>85</v>
      </c>
      <c r="DD108" s="405" t="s">
        <v>917</v>
      </c>
      <c r="DE108" s="405" t="s">
        <v>5</v>
      </c>
      <c r="DF108" s="406" t="s">
        <v>85</v>
      </c>
      <c r="DG108" s="407">
        <v>45841</v>
      </c>
      <c r="DH108" s="405" t="s">
        <v>9066</v>
      </c>
      <c r="DI108" s="406">
        <v>465455</v>
      </c>
      <c r="DJ108" s="408">
        <v>5</v>
      </c>
      <c r="DK108" s="405">
        <v>1</v>
      </c>
      <c r="DL108" s="82">
        <v>359.12</v>
      </c>
      <c r="DM108" s="409">
        <v>1.7956000000000001</v>
      </c>
      <c r="DN108" s="82" t="s">
        <v>85</v>
      </c>
      <c r="DO108" s="82" t="s">
        <v>85</v>
      </c>
      <c r="DP108" s="410" t="s">
        <v>85</v>
      </c>
    </row>
    <row r="109" spans="1:120" x14ac:dyDescent="0.25">
      <c r="A109" s="16" t="s">
        <v>9076</v>
      </c>
      <c r="B109" s="16" t="s">
        <v>9077</v>
      </c>
      <c r="C109" s="16" t="s">
        <v>9078</v>
      </c>
      <c r="D109" s="16" t="s">
        <v>9052</v>
      </c>
      <c r="E109" s="16" t="s">
        <v>9079</v>
      </c>
      <c r="F109" s="16" t="s">
        <v>9080</v>
      </c>
      <c r="G109" s="16" t="s">
        <v>9081</v>
      </c>
      <c r="H109" s="16" t="s">
        <v>9082</v>
      </c>
      <c r="I109" s="16" t="s">
        <v>994</v>
      </c>
      <c r="J109" s="16" t="s">
        <v>995</v>
      </c>
      <c r="K109" s="16" t="s">
        <v>996</v>
      </c>
      <c r="L109" s="16" t="s">
        <v>85</v>
      </c>
      <c r="M109" s="16" t="s">
        <v>1165</v>
      </c>
      <c r="N109" s="16" t="s">
        <v>914</v>
      </c>
      <c r="O109" s="16" t="s">
        <v>1166</v>
      </c>
      <c r="P109" s="16" t="s">
        <v>914</v>
      </c>
      <c r="Q109" s="16" t="s">
        <v>1166</v>
      </c>
      <c r="R109" s="16" t="s">
        <v>915</v>
      </c>
      <c r="S109" s="16" t="s">
        <v>915</v>
      </c>
      <c r="T109" s="16" t="s">
        <v>1167</v>
      </c>
      <c r="U109" s="16" t="s">
        <v>1168</v>
      </c>
      <c r="V109" s="16" t="s">
        <v>916</v>
      </c>
      <c r="W109" s="16" t="s">
        <v>1168</v>
      </c>
      <c r="X109" s="16" t="s">
        <v>934</v>
      </c>
      <c r="Y109" s="16" t="s">
        <v>934</v>
      </c>
      <c r="Z109" s="16" t="s">
        <v>935</v>
      </c>
      <c r="DA109" s="405" t="s">
        <v>5</v>
      </c>
      <c r="DB109" s="405" t="s">
        <v>363</v>
      </c>
      <c r="DC109" s="406" t="s">
        <v>85</v>
      </c>
      <c r="DD109" s="405" t="s">
        <v>917</v>
      </c>
      <c r="DE109" s="405" t="s">
        <v>5</v>
      </c>
      <c r="DF109" s="406" t="s">
        <v>85</v>
      </c>
      <c r="DG109" s="407">
        <v>45841</v>
      </c>
      <c r="DH109" s="405" t="s">
        <v>9079</v>
      </c>
      <c r="DI109" s="406">
        <v>465455</v>
      </c>
      <c r="DJ109" s="408">
        <v>5</v>
      </c>
      <c r="DK109" s="405">
        <v>1</v>
      </c>
      <c r="DL109" s="82">
        <v>468.28</v>
      </c>
      <c r="DM109" s="409">
        <v>2.3413999999999997</v>
      </c>
      <c r="DN109" s="82" t="s">
        <v>85</v>
      </c>
      <c r="DO109" s="82" t="s">
        <v>85</v>
      </c>
      <c r="DP109" s="410" t="s">
        <v>85</v>
      </c>
    </row>
    <row r="110" spans="1:120" x14ac:dyDescent="0.25">
      <c r="A110" s="16" t="s">
        <v>9083</v>
      </c>
      <c r="B110" s="16" t="s">
        <v>9084</v>
      </c>
      <c r="C110" s="16" t="s">
        <v>9085</v>
      </c>
      <c r="D110" s="16" t="s">
        <v>9052</v>
      </c>
      <c r="E110" s="16" t="s">
        <v>9086</v>
      </c>
      <c r="F110" s="16" t="s">
        <v>9087</v>
      </c>
      <c r="G110" s="16" t="s">
        <v>9088</v>
      </c>
      <c r="H110" s="16" t="s">
        <v>9089</v>
      </c>
      <c r="I110" s="16" t="s">
        <v>9090</v>
      </c>
      <c r="J110" s="16" t="s">
        <v>2369</v>
      </c>
      <c r="K110" s="16" t="s">
        <v>9091</v>
      </c>
      <c r="L110" s="16" t="s">
        <v>85</v>
      </c>
      <c r="M110" s="16" t="s">
        <v>1955</v>
      </c>
      <c r="N110" s="16" t="s">
        <v>914</v>
      </c>
      <c r="O110" s="16" t="s">
        <v>1039</v>
      </c>
      <c r="P110" s="16" t="s">
        <v>914</v>
      </c>
      <c r="Q110" s="16" t="s">
        <v>1039</v>
      </c>
      <c r="R110" s="16" t="s">
        <v>915</v>
      </c>
      <c r="S110" s="16" t="s">
        <v>915</v>
      </c>
      <c r="T110" s="16" t="s">
        <v>1955</v>
      </c>
      <c r="U110" s="16" t="s">
        <v>1956</v>
      </c>
      <c r="V110" s="16" t="s">
        <v>916</v>
      </c>
      <c r="W110" s="16" t="s">
        <v>1956</v>
      </c>
      <c r="X110" s="16" t="s">
        <v>934</v>
      </c>
      <c r="Y110" s="16" t="s">
        <v>934</v>
      </c>
      <c r="Z110" s="16" t="s">
        <v>935</v>
      </c>
      <c r="DA110" s="405" t="s">
        <v>5</v>
      </c>
      <c r="DB110" s="405" t="s">
        <v>363</v>
      </c>
      <c r="DC110" s="406" t="s">
        <v>85</v>
      </c>
      <c r="DD110" s="405" t="s">
        <v>917</v>
      </c>
      <c r="DE110" s="405" t="s">
        <v>5</v>
      </c>
      <c r="DF110" s="406" t="s">
        <v>85</v>
      </c>
      <c r="DG110" s="407">
        <v>45841</v>
      </c>
      <c r="DH110" s="405" t="s">
        <v>9086</v>
      </c>
      <c r="DI110" s="406">
        <v>465455</v>
      </c>
      <c r="DJ110" s="408">
        <v>5</v>
      </c>
      <c r="DK110" s="405">
        <v>1</v>
      </c>
      <c r="DL110" s="82">
        <v>311.2</v>
      </c>
      <c r="DM110" s="409">
        <v>1.556</v>
      </c>
      <c r="DN110" s="82" t="s">
        <v>85</v>
      </c>
      <c r="DO110" s="82" t="s">
        <v>85</v>
      </c>
      <c r="DP110" s="410" t="s">
        <v>85</v>
      </c>
    </row>
    <row r="111" spans="1:120" x14ac:dyDescent="0.25">
      <c r="A111" s="16" t="s">
        <v>9092</v>
      </c>
      <c r="B111" s="16" t="s">
        <v>9093</v>
      </c>
      <c r="C111" s="16" t="s">
        <v>9094</v>
      </c>
      <c r="D111" s="16" t="s">
        <v>9052</v>
      </c>
      <c r="E111" s="16" t="s">
        <v>9095</v>
      </c>
      <c r="F111" s="16" t="s">
        <v>9096</v>
      </c>
      <c r="G111" s="16" t="s">
        <v>9097</v>
      </c>
      <c r="H111" s="16" t="s">
        <v>9098</v>
      </c>
      <c r="I111" s="16" t="s">
        <v>1781</v>
      </c>
      <c r="J111" s="16" t="s">
        <v>995</v>
      </c>
      <c r="K111" s="16" t="s">
        <v>1782</v>
      </c>
      <c r="L111" s="16" t="s">
        <v>85</v>
      </c>
      <c r="M111" s="16" t="s">
        <v>1165</v>
      </c>
      <c r="N111" s="16" t="s">
        <v>914</v>
      </c>
      <c r="O111" s="16" t="s">
        <v>1166</v>
      </c>
      <c r="P111" s="16" t="s">
        <v>914</v>
      </c>
      <c r="Q111" s="16" t="s">
        <v>1166</v>
      </c>
      <c r="R111" s="16" t="s">
        <v>915</v>
      </c>
      <c r="S111" s="16" t="s">
        <v>915</v>
      </c>
      <c r="T111" s="16" t="s">
        <v>1167</v>
      </c>
      <c r="U111" s="16" t="s">
        <v>1168</v>
      </c>
      <c r="V111" s="16" t="s">
        <v>916</v>
      </c>
      <c r="W111" s="16" t="s">
        <v>1168</v>
      </c>
      <c r="X111" s="16" t="s">
        <v>934</v>
      </c>
      <c r="Y111" s="16" t="s">
        <v>934</v>
      </c>
      <c r="Z111" s="16" t="s">
        <v>935</v>
      </c>
      <c r="DA111" s="405" t="s">
        <v>5</v>
      </c>
      <c r="DB111" s="405" t="s">
        <v>363</v>
      </c>
      <c r="DC111" s="406" t="s">
        <v>85</v>
      </c>
      <c r="DD111" s="405" t="s">
        <v>917</v>
      </c>
      <c r="DE111" s="405" t="s">
        <v>5</v>
      </c>
      <c r="DF111" s="406" t="s">
        <v>85</v>
      </c>
      <c r="DG111" s="407">
        <v>45841</v>
      </c>
      <c r="DH111" s="405" t="s">
        <v>9095</v>
      </c>
      <c r="DI111" s="406">
        <v>465455</v>
      </c>
      <c r="DJ111" s="408">
        <v>5</v>
      </c>
      <c r="DK111" s="405">
        <v>1</v>
      </c>
      <c r="DL111" s="82">
        <v>468.28</v>
      </c>
      <c r="DM111" s="409">
        <v>2.3413999999999997</v>
      </c>
      <c r="DN111" s="82" t="s">
        <v>85</v>
      </c>
      <c r="DO111" s="82" t="s">
        <v>85</v>
      </c>
      <c r="DP111" s="410" t="s">
        <v>85</v>
      </c>
    </row>
    <row r="112" spans="1:120" x14ac:dyDescent="0.25">
      <c r="A112" s="16" t="s">
        <v>9099</v>
      </c>
      <c r="B112" s="16" t="s">
        <v>9100</v>
      </c>
      <c r="C112" s="16" t="s">
        <v>9101</v>
      </c>
      <c r="D112" s="16" t="s">
        <v>9052</v>
      </c>
      <c r="E112" s="16" t="s">
        <v>9102</v>
      </c>
      <c r="F112" s="16" t="s">
        <v>9103</v>
      </c>
      <c r="G112" s="16" t="s">
        <v>9104</v>
      </c>
      <c r="H112" s="16" t="s">
        <v>9105</v>
      </c>
      <c r="I112" s="16" t="s">
        <v>1017</v>
      </c>
      <c r="J112" s="16" t="s">
        <v>995</v>
      </c>
      <c r="K112" s="16" t="s">
        <v>1018</v>
      </c>
      <c r="L112" s="16" t="s">
        <v>85</v>
      </c>
      <c r="M112" s="16" t="s">
        <v>1165</v>
      </c>
      <c r="N112" s="16" t="s">
        <v>914</v>
      </c>
      <c r="O112" s="16" t="s">
        <v>1166</v>
      </c>
      <c r="P112" s="16" t="s">
        <v>914</v>
      </c>
      <c r="Q112" s="16" t="s">
        <v>1166</v>
      </c>
      <c r="R112" s="16" t="s">
        <v>915</v>
      </c>
      <c r="S112" s="16" t="s">
        <v>915</v>
      </c>
      <c r="T112" s="16" t="s">
        <v>1167</v>
      </c>
      <c r="U112" s="16" t="s">
        <v>1168</v>
      </c>
      <c r="V112" s="16" t="s">
        <v>916</v>
      </c>
      <c r="W112" s="16" t="s">
        <v>1168</v>
      </c>
      <c r="X112" s="16" t="s">
        <v>934</v>
      </c>
      <c r="Y112" s="16" t="s">
        <v>934</v>
      </c>
      <c r="Z112" s="16" t="s">
        <v>935</v>
      </c>
      <c r="DA112" s="405" t="s">
        <v>5</v>
      </c>
      <c r="DB112" s="405" t="s">
        <v>363</v>
      </c>
      <c r="DC112" s="406" t="s">
        <v>85</v>
      </c>
      <c r="DD112" s="405" t="s">
        <v>917</v>
      </c>
      <c r="DE112" s="405" t="s">
        <v>5</v>
      </c>
      <c r="DF112" s="406" t="s">
        <v>85</v>
      </c>
      <c r="DG112" s="407">
        <v>45841</v>
      </c>
      <c r="DH112" s="405" t="s">
        <v>9102</v>
      </c>
      <c r="DI112" s="406">
        <v>465455</v>
      </c>
      <c r="DJ112" s="408">
        <v>5</v>
      </c>
      <c r="DK112" s="405">
        <v>1</v>
      </c>
      <c r="DL112" s="82">
        <v>468.28</v>
      </c>
      <c r="DM112" s="409">
        <v>2.3413999999999997</v>
      </c>
      <c r="DN112" s="82" t="s">
        <v>85</v>
      </c>
      <c r="DO112" s="82" t="s">
        <v>85</v>
      </c>
      <c r="DP112" s="410" t="s">
        <v>85</v>
      </c>
    </row>
    <row r="113" spans="1:120" x14ac:dyDescent="0.25">
      <c r="A113" s="16" t="s">
        <v>9106</v>
      </c>
      <c r="B113" s="16" t="s">
        <v>9107</v>
      </c>
      <c r="C113" s="16" t="s">
        <v>9108</v>
      </c>
      <c r="D113" s="16" t="s">
        <v>9052</v>
      </c>
      <c r="E113" s="16" t="s">
        <v>9109</v>
      </c>
      <c r="F113" s="16" t="s">
        <v>9110</v>
      </c>
      <c r="G113" s="16" t="s">
        <v>9111</v>
      </c>
      <c r="H113" s="16" t="s">
        <v>9110</v>
      </c>
      <c r="I113" s="16" t="s">
        <v>1997</v>
      </c>
      <c r="J113" s="16" t="s">
        <v>1359</v>
      </c>
      <c r="K113" s="16" t="s">
        <v>1998</v>
      </c>
      <c r="L113" s="16" t="s">
        <v>85</v>
      </c>
      <c r="M113" s="16" t="s">
        <v>1350</v>
      </c>
      <c r="N113" s="16" t="s">
        <v>914</v>
      </c>
      <c r="O113" s="16" t="s">
        <v>1351</v>
      </c>
      <c r="P113" s="16" t="s">
        <v>914</v>
      </c>
      <c r="Q113" s="16" t="s">
        <v>1351</v>
      </c>
      <c r="R113" s="16" t="s">
        <v>915</v>
      </c>
      <c r="S113" s="16" t="s">
        <v>915</v>
      </c>
      <c r="T113" s="16" t="s">
        <v>1352</v>
      </c>
      <c r="U113" s="16" t="s">
        <v>1353</v>
      </c>
      <c r="V113" s="16" t="s">
        <v>916</v>
      </c>
      <c r="W113" s="16" t="s">
        <v>1353</v>
      </c>
      <c r="X113" s="16" t="s">
        <v>934</v>
      </c>
      <c r="Y113" s="16" t="s">
        <v>934</v>
      </c>
      <c r="Z113" s="16" t="s">
        <v>935</v>
      </c>
      <c r="DA113" s="405" t="s">
        <v>5</v>
      </c>
      <c r="DB113" s="405" t="s">
        <v>363</v>
      </c>
      <c r="DC113" s="406" t="s">
        <v>85</v>
      </c>
      <c r="DD113" s="405" t="s">
        <v>917</v>
      </c>
      <c r="DE113" s="405" t="s">
        <v>5</v>
      </c>
      <c r="DF113" s="406" t="s">
        <v>85</v>
      </c>
      <c r="DG113" s="407">
        <v>45841</v>
      </c>
      <c r="DH113" s="405" t="s">
        <v>9109</v>
      </c>
      <c r="DI113" s="406">
        <v>465455</v>
      </c>
      <c r="DJ113" s="408">
        <v>5</v>
      </c>
      <c r="DK113" s="405">
        <v>1</v>
      </c>
      <c r="DL113" s="82">
        <v>303.3</v>
      </c>
      <c r="DM113" s="409">
        <v>1.5165000000000002</v>
      </c>
      <c r="DN113" s="82" t="s">
        <v>85</v>
      </c>
      <c r="DO113" s="82" t="s">
        <v>85</v>
      </c>
      <c r="DP113" s="410" t="s">
        <v>85</v>
      </c>
    </row>
    <row r="114" spans="1:120" x14ac:dyDescent="0.25">
      <c r="A114" s="16" t="s">
        <v>9112</v>
      </c>
      <c r="B114" s="16" t="s">
        <v>9113</v>
      </c>
      <c r="C114" s="16" t="s">
        <v>9114</v>
      </c>
      <c r="D114" s="16" t="s">
        <v>9052</v>
      </c>
      <c r="E114" s="16" t="s">
        <v>9115</v>
      </c>
      <c r="F114" s="16" t="s">
        <v>9116</v>
      </c>
      <c r="G114" s="16" t="s">
        <v>9117</v>
      </c>
      <c r="H114" s="16" t="s">
        <v>9116</v>
      </c>
      <c r="I114" s="16" t="s">
        <v>1075</v>
      </c>
      <c r="J114" s="16" t="s">
        <v>1036</v>
      </c>
      <c r="K114" s="16" t="s">
        <v>1076</v>
      </c>
      <c r="L114" s="16" t="s">
        <v>85</v>
      </c>
      <c r="M114" s="16" t="s">
        <v>1216</v>
      </c>
      <c r="N114" s="16" t="s">
        <v>914</v>
      </c>
      <c r="O114" s="16" t="s">
        <v>946</v>
      </c>
      <c r="P114" s="16" t="s">
        <v>914</v>
      </c>
      <c r="Q114" s="16" t="s">
        <v>946</v>
      </c>
      <c r="R114" s="16" t="s">
        <v>915</v>
      </c>
      <c r="S114" s="16" t="s">
        <v>915</v>
      </c>
      <c r="T114" s="16" t="s">
        <v>1216</v>
      </c>
      <c r="U114" s="16" t="s">
        <v>1217</v>
      </c>
      <c r="V114" s="16" t="s">
        <v>916</v>
      </c>
      <c r="W114" s="16" t="s">
        <v>1217</v>
      </c>
      <c r="X114" s="16" t="s">
        <v>934</v>
      </c>
      <c r="Y114" s="16" t="s">
        <v>934</v>
      </c>
      <c r="Z114" s="16" t="s">
        <v>935</v>
      </c>
      <c r="DA114" s="405" t="s">
        <v>5</v>
      </c>
      <c r="DB114" s="405" t="s">
        <v>363</v>
      </c>
      <c r="DC114" s="406" t="s">
        <v>85</v>
      </c>
      <c r="DD114" s="405" t="s">
        <v>917</v>
      </c>
      <c r="DE114" s="405" t="s">
        <v>5</v>
      </c>
      <c r="DF114" s="406" t="s">
        <v>85</v>
      </c>
      <c r="DG114" s="407">
        <v>45841</v>
      </c>
      <c r="DH114" s="405" t="s">
        <v>9115</v>
      </c>
      <c r="DI114" s="406">
        <v>465455</v>
      </c>
      <c r="DJ114" s="408">
        <v>5</v>
      </c>
      <c r="DK114" s="405">
        <v>1</v>
      </c>
      <c r="DL114" s="82">
        <v>319.22000000000003</v>
      </c>
      <c r="DM114" s="409">
        <v>1.5961000000000001</v>
      </c>
      <c r="DN114" s="82" t="s">
        <v>85</v>
      </c>
      <c r="DO114" s="82" t="s">
        <v>85</v>
      </c>
      <c r="DP114" s="410" t="s">
        <v>85</v>
      </c>
    </row>
    <row r="115" spans="1:120" x14ac:dyDescent="0.25">
      <c r="A115" s="16" t="s">
        <v>9118</v>
      </c>
      <c r="B115" s="16" t="s">
        <v>9119</v>
      </c>
      <c r="C115" s="16" t="s">
        <v>9120</v>
      </c>
      <c r="D115" s="16" t="s">
        <v>9052</v>
      </c>
      <c r="E115" s="16" t="s">
        <v>9121</v>
      </c>
      <c r="F115" s="16" t="s">
        <v>9122</v>
      </c>
      <c r="G115" s="16" t="s">
        <v>9123</v>
      </c>
      <c r="H115" s="16" t="s">
        <v>9124</v>
      </c>
      <c r="I115" s="16" t="s">
        <v>9125</v>
      </c>
      <c r="J115" s="16" t="s">
        <v>1847</v>
      </c>
      <c r="K115" s="16" t="s">
        <v>9126</v>
      </c>
      <c r="L115" s="16" t="s">
        <v>85</v>
      </c>
      <c r="M115" s="16" t="s">
        <v>1849</v>
      </c>
      <c r="N115" s="16" t="s">
        <v>914</v>
      </c>
      <c r="O115" s="16" t="s">
        <v>1850</v>
      </c>
      <c r="P115" s="16" t="s">
        <v>914</v>
      </c>
      <c r="Q115" s="16" t="s">
        <v>1850</v>
      </c>
      <c r="R115" s="16" t="s">
        <v>915</v>
      </c>
      <c r="S115" s="16" t="s">
        <v>915</v>
      </c>
      <c r="T115" s="16" t="s">
        <v>1851</v>
      </c>
      <c r="U115" s="16" t="s">
        <v>1852</v>
      </c>
      <c r="V115" s="16" t="s">
        <v>916</v>
      </c>
      <c r="W115" s="16" t="s">
        <v>1852</v>
      </c>
      <c r="X115" s="16" t="s">
        <v>934</v>
      </c>
      <c r="Y115" s="16" t="s">
        <v>934</v>
      </c>
      <c r="Z115" s="16" t="s">
        <v>935</v>
      </c>
      <c r="DA115" s="405" t="s">
        <v>5</v>
      </c>
      <c r="DB115" s="405" t="s">
        <v>363</v>
      </c>
      <c r="DC115" s="406" t="s">
        <v>85</v>
      </c>
      <c r="DD115" s="405" t="s">
        <v>917</v>
      </c>
      <c r="DE115" s="405" t="s">
        <v>5</v>
      </c>
      <c r="DF115" s="406" t="s">
        <v>85</v>
      </c>
      <c r="DG115" s="407">
        <v>45841</v>
      </c>
      <c r="DH115" s="405" t="s">
        <v>9121</v>
      </c>
      <c r="DI115" s="406">
        <v>465455</v>
      </c>
      <c r="DJ115" s="408">
        <v>5</v>
      </c>
      <c r="DK115" s="405">
        <v>1</v>
      </c>
      <c r="DL115" s="82">
        <v>447.02</v>
      </c>
      <c r="DM115" s="409">
        <v>2.2351000000000001</v>
      </c>
      <c r="DN115" s="82" t="s">
        <v>85</v>
      </c>
      <c r="DO115" s="82" t="s">
        <v>85</v>
      </c>
      <c r="DP115" s="410" t="s">
        <v>85</v>
      </c>
    </row>
    <row r="116" spans="1:120" x14ac:dyDescent="0.25">
      <c r="A116" s="16" t="s">
        <v>9127</v>
      </c>
      <c r="B116" s="16" t="s">
        <v>9128</v>
      </c>
      <c r="C116" s="16" t="s">
        <v>9129</v>
      </c>
      <c r="D116" s="16" t="s">
        <v>9052</v>
      </c>
      <c r="E116" s="16" t="s">
        <v>9130</v>
      </c>
      <c r="F116" s="16" t="s">
        <v>9131</v>
      </c>
      <c r="G116" s="16" t="s">
        <v>9132</v>
      </c>
      <c r="H116" s="16" t="s">
        <v>9133</v>
      </c>
      <c r="I116" s="16" t="s">
        <v>9134</v>
      </c>
      <c r="J116" s="16" t="s">
        <v>9135</v>
      </c>
      <c r="K116" s="16" t="s">
        <v>9136</v>
      </c>
      <c r="L116" s="16" t="s">
        <v>85</v>
      </c>
      <c r="M116" s="16" t="s">
        <v>1955</v>
      </c>
      <c r="N116" s="16" t="s">
        <v>914</v>
      </c>
      <c r="O116" s="16" t="s">
        <v>1039</v>
      </c>
      <c r="P116" s="16" t="s">
        <v>914</v>
      </c>
      <c r="Q116" s="16" t="s">
        <v>1039</v>
      </c>
      <c r="R116" s="16" t="s">
        <v>915</v>
      </c>
      <c r="S116" s="16" t="s">
        <v>915</v>
      </c>
      <c r="T116" s="16" t="s">
        <v>1955</v>
      </c>
      <c r="U116" s="16" t="s">
        <v>1956</v>
      </c>
      <c r="V116" s="16" t="s">
        <v>916</v>
      </c>
      <c r="W116" s="16" t="s">
        <v>1956</v>
      </c>
      <c r="X116" s="16" t="s">
        <v>934</v>
      </c>
      <c r="Y116" s="16" t="s">
        <v>934</v>
      </c>
      <c r="Z116" s="16" t="s">
        <v>935</v>
      </c>
      <c r="DA116" s="405" t="s">
        <v>5</v>
      </c>
      <c r="DB116" s="405" t="s">
        <v>363</v>
      </c>
      <c r="DC116" s="406" t="s">
        <v>85</v>
      </c>
      <c r="DD116" s="405" t="s">
        <v>917</v>
      </c>
      <c r="DE116" s="405" t="s">
        <v>5</v>
      </c>
      <c r="DF116" s="406" t="s">
        <v>85</v>
      </c>
      <c r="DG116" s="407">
        <v>45841</v>
      </c>
      <c r="DH116" s="405" t="s">
        <v>9130</v>
      </c>
      <c r="DI116" s="406">
        <v>465455</v>
      </c>
      <c r="DJ116" s="408">
        <v>5</v>
      </c>
      <c r="DK116" s="405">
        <v>1</v>
      </c>
      <c r="DL116" s="82">
        <v>311.2</v>
      </c>
      <c r="DM116" s="409">
        <v>1.556</v>
      </c>
      <c r="DN116" s="82" t="s">
        <v>85</v>
      </c>
      <c r="DO116" s="82" t="s">
        <v>85</v>
      </c>
      <c r="DP116" s="410" t="s">
        <v>85</v>
      </c>
    </row>
    <row r="117" spans="1:120" x14ac:dyDescent="0.25">
      <c r="A117" s="16" t="s">
        <v>9137</v>
      </c>
      <c r="B117" s="16" t="s">
        <v>9138</v>
      </c>
      <c r="C117" s="16" t="s">
        <v>9139</v>
      </c>
      <c r="D117" s="16" t="s">
        <v>9052</v>
      </c>
      <c r="E117" s="16" t="s">
        <v>9140</v>
      </c>
      <c r="F117" s="16" t="s">
        <v>9141</v>
      </c>
      <c r="G117" s="16" t="s">
        <v>9142</v>
      </c>
      <c r="H117" s="16" t="s">
        <v>9143</v>
      </c>
      <c r="I117" s="16" t="s">
        <v>1584</v>
      </c>
      <c r="J117" s="16" t="s">
        <v>928</v>
      </c>
      <c r="K117" s="16" t="s">
        <v>1585</v>
      </c>
      <c r="L117" s="16" t="s">
        <v>85</v>
      </c>
      <c r="M117" s="16" t="s">
        <v>1322</v>
      </c>
      <c r="N117" s="16" t="s">
        <v>914</v>
      </c>
      <c r="O117" s="16" t="s">
        <v>1323</v>
      </c>
      <c r="P117" s="16" t="s">
        <v>914</v>
      </c>
      <c r="Q117" s="16" t="s">
        <v>1323</v>
      </c>
      <c r="R117" s="16" t="s">
        <v>915</v>
      </c>
      <c r="S117" s="16" t="s">
        <v>915</v>
      </c>
      <c r="T117" s="16" t="s">
        <v>1322</v>
      </c>
      <c r="U117" s="16" t="s">
        <v>1324</v>
      </c>
      <c r="V117" s="16" t="s">
        <v>916</v>
      </c>
      <c r="W117" s="16" t="s">
        <v>1324</v>
      </c>
      <c r="X117" s="16" t="s">
        <v>934</v>
      </c>
      <c r="Y117" s="16" t="s">
        <v>934</v>
      </c>
      <c r="Z117" s="16" t="s">
        <v>935</v>
      </c>
      <c r="DA117" s="405" t="s">
        <v>5</v>
      </c>
      <c r="DB117" s="405" t="s">
        <v>363</v>
      </c>
      <c r="DC117" s="406" t="s">
        <v>85</v>
      </c>
      <c r="DD117" s="405" t="s">
        <v>917</v>
      </c>
      <c r="DE117" s="405" t="s">
        <v>5</v>
      </c>
      <c r="DF117" s="406" t="s">
        <v>85</v>
      </c>
      <c r="DG117" s="407">
        <v>45841</v>
      </c>
      <c r="DH117" s="405" t="s">
        <v>9140</v>
      </c>
      <c r="DI117" s="406">
        <v>465455</v>
      </c>
      <c r="DJ117" s="408">
        <v>5</v>
      </c>
      <c r="DK117" s="405">
        <v>1</v>
      </c>
      <c r="DL117" s="82">
        <v>332.47</v>
      </c>
      <c r="DM117" s="409">
        <v>1.6623500000000002</v>
      </c>
      <c r="DN117" s="82" t="s">
        <v>85</v>
      </c>
      <c r="DO117" s="82" t="s">
        <v>85</v>
      </c>
      <c r="DP117" s="410" t="s">
        <v>85</v>
      </c>
    </row>
    <row r="118" spans="1:120" x14ac:dyDescent="0.25">
      <c r="A118" s="16" t="s">
        <v>9144</v>
      </c>
      <c r="B118" s="16" t="s">
        <v>9145</v>
      </c>
      <c r="C118" s="16" t="s">
        <v>9146</v>
      </c>
      <c r="D118" s="16" t="s">
        <v>9052</v>
      </c>
      <c r="E118" s="16" t="s">
        <v>9147</v>
      </c>
      <c r="F118" s="16" t="s">
        <v>9148</v>
      </c>
      <c r="G118" s="16" t="s">
        <v>9149</v>
      </c>
      <c r="H118" s="16" t="s">
        <v>9148</v>
      </c>
      <c r="I118" s="16" t="s">
        <v>1017</v>
      </c>
      <c r="J118" s="16" t="s">
        <v>995</v>
      </c>
      <c r="K118" s="16" t="s">
        <v>1018</v>
      </c>
      <c r="L118" s="16" t="s">
        <v>85</v>
      </c>
      <c r="M118" s="16" t="s">
        <v>1165</v>
      </c>
      <c r="N118" s="16" t="s">
        <v>914</v>
      </c>
      <c r="O118" s="16" t="s">
        <v>1166</v>
      </c>
      <c r="P118" s="16" t="s">
        <v>914</v>
      </c>
      <c r="Q118" s="16" t="s">
        <v>1166</v>
      </c>
      <c r="R118" s="16" t="s">
        <v>915</v>
      </c>
      <c r="S118" s="16" t="s">
        <v>915</v>
      </c>
      <c r="T118" s="16" t="s">
        <v>1167</v>
      </c>
      <c r="U118" s="16" t="s">
        <v>1168</v>
      </c>
      <c r="V118" s="16" t="s">
        <v>916</v>
      </c>
      <c r="W118" s="16" t="s">
        <v>1168</v>
      </c>
      <c r="X118" s="16" t="s">
        <v>934</v>
      </c>
      <c r="Y118" s="16" t="s">
        <v>934</v>
      </c>
      <c r="Z118" s="16" t="s">
        <v>935</v>
      </c>
      <c r="DA118" s="405" t="s">
        <v>5</v>
      </c>
      <c r="DB118" s="405" t="s">
        <v>363</v>
      </c>
      <c r="DC118" s="406" t="s">
        <v>85</v>
      </c>
      <c r="DD118" s="405" t="s">
        <v>917</v>
      </c>
      <c r="DE118" s="405" t="s">
        <v>5</v>
      </c>
      <c r="DF118" s="406" t="s">
        <v>85</v>
      </c>
      <c r="DG118" s="407">
        <v>45841</v>
      </c>
      <c r="DH118" s="405" t="s">
        <v>9147</v>
      </c>
      <c r="DI118" s="406">
        <v>465455</v>
      </c>
      <c r="DJ118" s="408">
        <v>5</v>
      </c>
      <c r="DK118" s="405">
        <v>1</v>
      </c>
      <c r="DL118" s="82">
        <v>468.28</v>
      </c>
      <c r="DM118" s="409">
        <v>2.3413999999999997</v>
      </c>
      <c r="DN118" s="82" t="s">
        <v>85</v>
      </c>
      <c r="DO118" s="82" t="s">
        <v>85</v>
      </c>
      <c r="DP118" s="410" t="s">
        <v>85</v>
      </c>
    </row>
    <row r="119" spans="1:120" x14ac:dyDescent="0.25">
      <c r="A119" s="16" t="s">
        <v>9150</v>
      </c>
      <c r="B119" s="16" t="s">
        <v>9151</v>
      </c>
      <c r="C119" s="16" t="s">
        <v>9152</v>
      </c>
      <c r="D119" s="16" t="s">
        <v>9052</v>
      </c>
      <c r="E119" s="16" t="s">
        <v>9153</v>
      </c>
      <c r="F119" s="16" t="s">
        <v>9154</v>
      </c>
      <c r="G119" s="16" t="s">
        <v>9155</v>
      </c>
      <c r="H119" s="16" t="s">
        <v>9154</v>
      </c>
      <c r="I119" s="16" t="s">
        <v>1309</v>
      </c>
      <c r="J119" s="16" t="s">
        <v>1109</v>
      </c>
      <c r="K119" s="16" t="s">
        <v>1310</v>
      </c>
      <c r="L119" s="16" t="s">
        <v>85</v>
      </c>
      <c r="M119" s="16" t="s">
        <v>1311</v>
      </c>
      <c r="N119" s="16" t="s">
        <v>914</v>
      </c>
      <c r="O119" s="16" t="s">
        <v>1312</v>
      </c>
      <c r="P119" s="16" t="s">
        <v>914</v>
      </c>
      <c r="Q119" s="16" t="s">
        <v>1312</v>
      </c>
      <c r="R119" s="16" t="s">
        <v>915</v>
      </c>
      <c r="S119" s="16" t="s">
        <v>915</v>
      </c>
      <c r="T119" s="16" t="s">
        <v>1311</v>
      </c>
      <c r="U119" s="16" t="s">
        <v>1313</v>
      </c>
      <c r="V119" s="16" t="s">
        <v>916</v>
      </c>
      <c r="W119" s="16" t="s">
        <v>1313</v>
      </c>
      <c r="X119" s="16" t="s">
        <v>934</v>
      </c>
      <c r="Y119" s="16" t="s">
        <v>934</v>
      </c>
      <c r="Z119" s="16" t="s">
        <v>935</v>
      </c>
      <c r="DA119" s="405" t="s">
        <v>5</v>
      </c>
      <c r="DB119" s="405" t="s">
        <v>363</v>
      </c>
      <c r="DC119" s="406" t="s">
        <v>85</v>
      </c>
      <c r="DD119" s="405" t="s">
        <v>917</v>
      </c>
      <c r="DE119" s="405" t="s">
        <v>5</v>
      </c>
      <c r="DF119" s="406" t="s">
        <v>85</v>
      </c>
      <c r="DG119" s="407">
        <v>45841</v>
      </c>
      <c r="DH119" s="405" t="s">
        <v>9153</v>
      </c>
      <c r="DI119" s="406">
        <v>465455</v>
      </c>
      <c r="DJ119" s="408">
        <v>5</v>
      </c>
      <c r="DK119" s="405">
        <v>1</v>
      </c>
      <c r="DL119" s="82">
        <v>531.54</v>
      </c>
      <c r="DM119" s="409">
        <v>2.6576999999999997</v>
      </c>
      <c r="DN119" s="82" t="s">
        <v>85</v>
      </c>
      <c r="DO119" s="82" t="s">
        <v>85</v>
      </c>
      <c r="DP119" s="410" t="s">
        <v>85</v>
      </c>
    </row>
    <row r="120" spans="1:120" x14ac:dyDescent="0.25">
      <c r="A120" s="16" t="s">
        <v>9156</v>
      </c>
      <c r="B120" s="16" t="s">
        <v>9157</v>
      </c>
      <c r="C120" s="16" t="s">
        <v>9158</v>
      </c>
      <c r="D120" s="16" t="s">
        <v>9052</v>
      </c>
      <c r="E120" s="16" t="s">
        <v>9159</v>
      </c>
      <c r="F120" s="16" t="s">
        <v>9160</v>
      </c>
      <c r="G120" s="16" t="s">
        <v>9161</v>
      </c>
      <c r="H120" s="16" t="s">
        <v>9162</v>
      </c>
      <c r="I120" s="16" t="s">
        <v>968</v>
      </c>
      <c r="J120" s="16" t="s">
        <v>943</v>
      </c>
      <c r="K120" s="16" t="s">
        <v>969</v>
      </c>
      <c r="L120" s="16" t="s">
        <v>85</v>
      </c>
      <c r="M120" s="16" t="s">
        <v>984</v>
      </c>
      <c r="N120" s="16" t="s">
        <v>914</v>
      </c>
      <c r="O120" s="16" t="s">
        <v>985</v>
      </c>
      <c r="P120" s="16" t="s">
        <v>914</v>
      </c>
      <c r="Q120" s="16" t="s">
        <v>985</v>
      </c>
      <c r="R120" s="16" t="s">
        <v>915</v>
      </c>
      <c r="S120" s="16" t="s">
        <v>915</v>
      </c>
      <c r="T120" s="16" t="s">
        <v>986</v>
      </c>
      <c r="U120" s="16" t="s">
        <v>987</v>
      </c>
      <c r="V120" s="16" t="s">
        <v>916</v>
      </c>
      <c r="W120" s="16" t="s">
        <v>987</v>
      </c>
      <c r="X120" s="16" t="s">
        <v>934</v>
      </c>
      <c r="Y120" s="16" t="s">
        <v>934</v>
      </c>
      <c r="Z120" s="16" t="s">
        <v>935</v>
      </c>
      <c r="DA120" s="405" t="s">
        <v>5</v>
      </c>
      <c r="DB120" s="405" t="s">
        <v>363</v>
      </c>
      <c r="DC120" s="406" t="s">
        <v>85</v>
      </c>
      <c r="DD120" s="405" t="s">
        <v>917</v>
      </c>
      <c r="DE120" s="405" t="s">
        <v>5</v>
      </c>
      <c r="DF120" s="406" t="s">
        <v>85</v>
      </c>
      <c r="DG120" s="407">
        <v>45841</v>
      </c>
      <c r="DH120" s="405" t="s">
        <v>9159</v>
      </c>
      <c r="DI120" s="406">
        <v>465455</v>
      </c>
      <c r="DJ120" s="408">
        <v>5</v>
      </c>
      <c r="DK120" s="405">
        <v>1</v>
      </c>
      <c r="DL120" s="82">
        <v>340.55</v>
      </c>
      <c r="DM120" s="409">
        <v>1.70275</v>
      </c>
      <c r="DN120" s="82" t="s">
        <v>85</v>
      </c>
      <c r="DO120" s="82" t="s">
        <v>85</v>
      </c>
      <c r="DP120" s="410" t="s">
        <v>85</v>
      </c>
    </row>
    <row r="121" spans="1:120" x14ac:dyDescent="0.25">
      <c r="A121" s="16" t="s">
        <v>9163</v>
      </c>
      <c r="B121" s="16" t="s">
        <v>9164</v>
      </c>
      <c r="C121" s="16" t="s">
        <v>9165</v>
      </c>
      <c r="D121" s="16" t="s">
        <v>9052</v>
      </c>
      <c r="E121" s="16" t="s">
        <v>9166</v>
      </c>
      <c r="F121" s="16" t="s">
        <v>9167</v>
      </c>
      <c r="G121" s="16" t="s">
        <v>9168</v>
      </c>
      <c r="H121" s="16" t="s">
        <v>9167</v>
      </c>
      <c r="I121" s="16" t="s">
        <v>1301</v>
      </c>
      <c r="J121" s="16" t="s">
        <v>928</v>
      </c>
      <c r="K121" s="16" t="s">
        <v>1302</v>
      </c>
      <c r="L121" s="16" t="s">
        <v>85</v>
      </c>
      <c r="M121" s="16" t="s">
        <v>1322</v>
      </c>
      <c r="N121" s="16" t="s">
        <v>914</v>
      </c>
      <c r="O121" s="16" t="s">
        <v>1323</v>
      </c>
      <c r="P121" s="16" t="s">
        <v>914</v>
      </c>
      <c r="Q121" s="16" t="s">
        <v>1323</v>
      </c>
      <c r="R121" s="16" t="s">
        <v>915</v>
      </c>
      <c r="S121" s="16" t="s">
        <v>915</v>
      </c>
      <c r="T121" s="16" t="s">
        <v>1322</v>
      </c>
      <c r="U121" s="16" t="s">
        <v>1324</v>
      </c>
      <c r="V121" s="16" t="s">
        <v>916</v>
      </c>
      <c r="W121" s="16" t="s">
        <v>1324</v>
      </c>
      <c r="X121" s="16" t="s">
        <v>934</v>
      </c>
      <c r="Y121" s="16" t="s">
        <v>934</v>
      </c>
      <c r="Z121" s="16" t="s">
        <v>935</v>
      </c>
      <c r="DA121" s="405" t="s">
        <v>5</v>
      </c>
      <c r="DB121" s="405" t="s">
        <v>363</v>
      </c>
      <c r="DC121" s="406" t="s">
        <v>85</v>
      </c>
      <c r="DD121" s="405" t="s">
        <v>917</v>
      </c>
      <c r="DE121" s="405" t="s">
        <v>5</v>
      </c>
      <c r="DF121" s="406" t="s">
        <v>85</v>
      </c>
      <c r="DG121" s="407">
        <v>45841</v>
      </c>
      <c r="DH121" s="405" t="s">
        <v>9166</v>
      </c>
      <c r="DI121" s="406">
        <v>465455</v>
      </c>
      <c r="DJ121" s="408">
        <v>5</v>
      </c>
      <c r="DK121" s="405">
        <v>1</v>
      </c>
      <c r="DL121" s="82">
        <v>332.47</v>
      </c>
      <c r="DM121" s="409">
        <v>1.6623500000000002</v>
      </c>
      <c r="DN121" s="82" t="s">
        <v>85</v>
      </c>
      <c r="DO121" s="82" t="s">
        <v>85</v>
      </c>
      <c r="DP121" s="410" t="s">
        <v>85</v>
      </c>
    </row>
    <row r="122" spans="1:120" x14ac:dyDescent="0.25">
      <c r="A122" s="16" t="s">
        <v>9169</v>
      </c>
      <c r="B122" s="16" t="s">
        <v>9170</v>
      </c>
      <c r="C122" s="16" t="s">
        <v>9171</v>
      </c>
      <c r="D122" s="16" t="s">
        <v>9052</v>
      </c>
      <c r="E122" s="16" t="s">
        <v>9172</v>
      </c>
      <c r="F122" s="16" t="s">
        <v>9173</v>
      </c>
      <c r="G122" s="16" t="s">
        <v>9174</v>
      </c>
      <c r="H122" s="16" t="s">
        <v>9175</v>
      </c>
      <c r="I122" s="16" t="s">
        <v>9176</v>
      </c>
      <c r="J122" s="16" t="s">
        <v>3135</v>
      </c>
      <c r="K122" s="16" t="s">
        <v>9177</v>
      </c>
      <c r="L122" s="16" t="s">
        <v>85</v>
      </c>
      <c r="M122" s="16" t="s">
        <v>945</v>
      </c>
      <c r="N122" s="16" t="s">
        <v>914</v>
      </c>
      <c r="O122" s="16" t="s">
        <v>946</v>
      </c>
      <c r="P122" s="16" t="s">
        <v>914</v>
      </c>
      <c r="Q122" s="16" t="s">
        <v>946</v>
      </c>
      <c r="R122" s="16" t="s">
        <v>915</v>
      </c>
      <c r="S122" s="16" t="s">
        <v>915</v>
      </c>
      <c r="T122" s="16" t="s">
        <v>945</v>
      </c>
      <c r="U122" s="16" t="s">
        <v>947</v>
      </c>
      <c r="V122" s="16" t="s">
        <v>916</v>
      </c>
      <c r="W122" s="16" t="s">
        <v>947</v>
      </c>
      <c r="X122" s="16" t="s">
        <v>934</v>
      </c>
      <c r="Y122" s="16" t="s">
        <v>934</v>
      </c>
      <c r="Z122" s="16" t="s">
        <v>935</v>
      </c>
      <c r="DA122" s="405" t="s">
        <v>5</v>
      </c>
      <c r="DB122" s="405" t="s">
        <v>363</v>
      </c>
      <c r="DC122" s="406" t="s">
        <v>85</v>
      </c>
      <c r="DD122" s="405" t="s">
        <v>917</v>
      </c>
      <c r="DE122" s="405" t="s">
        <v>5</v>
      </c>
      <c r="DF122" s="406" t="s">
        <v>85</v>
      </c>
      <c r="DG122" s="407">
        <v>45841</v>
      </c>
      <c r="DH122" s="405" t="s">
        <v>9172</v>
      </c>
      <c r="DI122" s="406">
        <v>465455</v>
      </c>
      <c r="DJ122" s="408">
        <v>5</v>
      </c>
      <c r="DK122" s="405">
        <v>1</v>
      </c>
      <c r="DL122" s="82">
        <v>319.27</v>
      </c>
      <c r="DM122" s="409">
        <v>1.5963499999999999</v>
      </c>
      <c r="DN122" s="82" t="s">
        <v>85</v>
      </c>
      <c r="DO122" s="82" t="s">
        <v>85</v>
      </c>
      <c r="DP122" s="410" t="s">
        <v>85</v>
      </c>
    </row>
    <row r="123" spans="1:120" x14ac:dyDescent="0.25">
      <c r="A123" s="16" t="s">
        <v>9178</v>
      </c>
      <c r="B123" s="16" t="s">
        <v>9179</v>
      </c>
      <c r="C123" s="16" t="s">
        <v>9180</v>
      </c>
      <c r="D123" s="16" t="s">
        <v>9052</v>
      </c>
      <c r="E123" s="16" t="s">
        <v>9181</v>
      </c>
      <c r="F123" s="16" t="s">
        <v>9182</v>
      </c>
      <c r="G123" s="16" t="s">
        <v>9183</v>
      </c>
      <c r="H123" s="16" t="s">
        <v>9182</v>
      </c>
      <c r="I123" s="16" t="s">
        <v>9184</v>
      </c>
      <c r="J123" s="16" t="s">
        <v>2699</v>
      </c>
      <c r="K123" s="16" t="s">
        <v>9185</v>
      </c>
      <c r="L123" s="16" t="s">
        <v>85</v>
      </c>
      <c r="M123" s="16" t="s">
        <v>2701</v>
      </c>
      <c r="N123" s="16" t="s">
        <v>914</v>
      </c>
      <c r="O123" s="16" t="s">
        <v>2702</v>
      </c>
      <c r="P123" s="16" t="s">
        <v>914</v>
      </c>
      <c r="Q123" s="16" t="s">
        <v>2702</v>
      </c>
      <c r="R123" s="16" t="s">
        <v>915</v>
      </c>
      <c r="S123" s="16" t="s">
        <v>915</v>
      </c>
      <c r="T123" s="16" t="s">
        <v>2703</v>
      </c>
      <c r="U123" s="16" t="s">
        <v>2704</v>
      </c>
      <c r="V123" s="16" t="s">
        <v>916</v>
      </c>
      <c r="W123" s="16" t="s">
        <v>2704</v>
      </c>
      <c r="X123" s="16" t="s">
        <v>934</v>
      </c>
      <c r="Y123" s="16" t="s">
        <v>934</v>
      </c>
      <c r="Z123" s="16" t="s">
        <v>935</v>
      </c>
      <c r="DA123" s="405" t="s">
        <v>5</v>
      </c>
      <c r="DB123" s="405" t="s">
        <v>363</v>
      </c>
      <c r="DC123" s="406" t="s">
        <v>85</v>
      </c>
      <c r="DD123" s="405" t="s">
        <v>917</v>
      </c>
      <c r="DE123" s="405" t="s">
        <v>5</v>
      </c>
      <c r="DF123" s="406" t="s">
        <v>85</v>
      </c>
      <c r="DG123" s="407">
        <v>45841</v>
      </c>
      <c r="DH123" s="405" t="s">
        <v>9181</v>
      </c>
      <c r="DI123" s="406">
        <v>465455</v>
      </c>
      <c r="DJ123" s="408">
        <v>5</v>
      </c>
      <c r="DK123" s="405">
        <v>1</v>
      </c>
      <c r="DL123" s="82">
        <v>478.9</v>
      </c>
      <c r="DM123" s="409">
        <v>2.3944999999999999</v>
      </c>
      <c r="DN123" s="82" t="s">
        <v>85</v>
      </c>
      <c r="DO123" s="82" t="s">
        <v>85</v>
      </c>
      <c r="DP123" s="410" t="s">
        <v>85</v>
      </c>
    </row>
    <row r="124" spans="1:120" x14ac:dyDescent="0.25">
      <c r="A124" s="16" t="s">
        <v>9186</v>
      </c>
      <c r="B124" s="16" t="s">
        <v>9187</v>
      </c>
      <c r="C124" s="16" t="s">
        <v>9188</v>
      </c>
      <c r="D124" s="16" t="s">
        <v>9052</v>
      </c>
      <c r="E124" s="16" t="s">
        <v>9189</v>
      </c>
      <c r="F124" s="16" t="s">
        <v>9190</v>
      </c>
      <c r="G124" s="16" t="s">
        <v>9191</v>
      </c>
      <c r="H124" s="16" t="s">
        <v>9190</v>
      </c>
      <c r="I124" s="16" t="s">
        <v>3041</v>
      </c>
      <c r="J124" s="16" t="s">
        <v>928</v>
      </c>
      <c r="K124" s="16" t="s">
        <v>3042</v>
      </c>
      <c r="L124" s="16" t="s">
        <v>85</v>
      </c>
      <c r="M124" s="16" t="s">
        <v>1322</v>
      </c>
      <c r="N124" s="16" t="s">
        <v>914</v>
      </c>
      <c r="O124" s="16" t="s">
        <v>1323</v>
      </c>
      <c r="P124" s="16" t="s">
        <v>914</v>
      </c>
      <c r="Q124" s="16" t="s">
        <v>1323</v>
      </c>
      <c r="R124" s="16" t="s">
        <v>915</v>
      </c>
      <c r="S124" s="16" t="s">
        <v>915</v>
      </c>
      <c r="T124" s="16" t="s">
        <v>1322</v>
      </c>
      <c r="U124" s="16" t="s">
        <v>1324</v>
      </c>
      <c r="V124" s="16" t="s">
        <v>916</v>
      </c>
      <c r="W124" s="16" t="s">
        <v>1324</v>
      </c>
      <c r="X124" s="16" t="s">
        <v>934</v>
      </c>
      <c r="Y124" s="16" t="s">
        <v>934</v>
      </c>
      <c r="Z124" s="16" t="s">
        <v>935</v>
      </c>
      <c r="DA124" s="405" t="s">
        <v>5</v>
      </c>
      <c r="DB124" s="405" t="s">
        <v>363</v>
      </c>
      <c r="DC124" s="406" t="s">
        <v>85</v>
      </c>
      <c r="DD124" s="405" t="s">
        <v>917</v>
      </c>
      <c r="DE124" s="405" t="s">
        <v>5</v>
      </c>
      <c r="DF124" s="406" t="s">
        <v>85</v>
      </c>
      <c r="DG124" s="407">
        <v>45841</v>
      </c>
      <c r="DH124" s="405" t="s">
        <v>9189</v>
      </c>
      <c r="DI124" s="406">
        <v>465455</v>
      </c>
      <c r="DJ124" s="408">
        <v>5</v>
      </c>
      <c r="DK124" s="405">
        <v>1</v>
      </c>
      <c r="DL124" s="82">
        <v>332.47</v>
      </c>
      <c r="DM124" s="409">
        <v>1.6623500000000002</v>
      </c>
      <c r="DN124" s="82" t="s">
        <v>85</v>
      </c>
      <c r="DO124" s="82" t="s">
        <v>85</v>
      </c>
      <c r="DP124" s="410" t="s">
        <v>85</v>
      </c>
    </row>
    <row r="125" spans="1:120" x14ac:dyDescent="0.25">
      <c r="A125" s="16" t="s">
        <v>9192</v>
      </c>
      <c r="B125" s="16" t="s">
        <v>9193</v>
      </c>
      <c r="C125" s="16" t="s">
        <v>9194</v>
      </c>
      <c r="D125" s="16" t="s">
        <v>9052</v>
      </c>
      <c r="E125" s="16" t="s">
        <v>9195</v>
      </c>
      <c r="F125" s="16" t="s">
        <v>9196</v>
      </c>
      <c r="G125" s="16" t="s">
        <v>9197</v>
      </c>
      <c r="H125" s="16" t="s">
        <v>9196</v>
      </c>
      <c r="I125" s="16" t="s">
        <v>9198</v>
      </c>
      <c r="J125" s="16" t="s">
        <v>1520</v>
      </c>
      <c r="K125" s="16" t="s">
        <v>9199</v>
      </c>
      <c r="L125" s="16" t="s">
        <v>85</v>
      </c>
      <c r="M125" s="16" t="s">
        <v>1522</v>
      </c>
      <c r="N125" s="16" t="s">
        <v>914</v>
      </c>
      <c r="O125" s="16" t="s">
        <v>1523</v>
      </c>
      <c r="P125" s="16" t="s">
        <v>914</v>
      </c>
      <c r="Q125" s="16" t="s">
        <v>1523</v>
      </c>
      <c r="R125" s="16" t="s">
        <v>915</v>
      </c>
      <c r="S125" s="16" t="s">
        <v>915</v>
      </c>
      <c r="T125" s="16" t="s">
        <v>1524</v>
      </c>
      <c r="U125" s="16" t="s">
        <v>1525</v>
      </c>
      <c r="V125" s="16" t="s">
        <v>916</v>
      </c>
      <c r="W125" s="16" t="s">
        <v>1525</v>
      </c>
      <c r="X125" s="16" t="s">
        <v>934</v>
      </c>
      <c r="Y125" s="16" t="s">
        <v>934</v>
      </c>
      <c r="Z125" s="16" t="s">
        <v>935</v>
      </c>
      <c r="DA125" s="405" t="s">
        <v>5</v>
      </c>
      <c r="DB125" s="405" t="s">
        <v>363</v>
      </c>
      <c r="DC125" s="406" t="s">
        <v>85</v>
      </c>
      <c r="DD125" s="405" t="s">
        <v>917</v>
      </c>
      <c r="DE125" s="405" t="s">
        <v>5</v>
      </c>
      <c r="DF125" s="406" t="s">
        <v>85</v>
      </c>
      <c r="DG125" s="407">
        <v>45841</v>
      </c>
      <c r="DH125" s="405" t="s">
        <v>9195</v>
      </c>
      <c r="DI125" s="406">
        <v>465455</v>
      </c>
      <c r="DJ125" s="408">
        <v>5</v>
      </c>
      <c r="DK125" s="405">
        <v>1</v>
      </c>
      <c r="DL125" s="82">
        <v>186.15</v>
      </c>
      <c r="DM125" s="409">
        <v>0.93075000000000008</v>
      </c>
      <c r="DN125" s="82" t="s">
        <v>85</v>
      </c>
      <c r="DO125" s="82" t="s">
        <v>85</v>
      </c>
      <c r="DP125" s="410" t="s">
        <v>85</v>
      </c>
    </row>
    <row r="126" spans="1:120" x14ac:dyDescent="0.25">
      <c r="A126" s="16" t="s">
        <v>9200</v>
      </c>
      <c r="B126" s="16" t="s">
        <v>9201</v>
      </c>
      <c r="C126" s="16" t="s">
        <v>9202</v>
      </c>
      <c r="D126" s="16" t="s">
        <v>9052</v>
      </c>
      <c r="E126" s="16" t="s">
        <v>9203</v>
      </c>
      <c r="F126" s="16" t="s">
        <v>9204</v>
      </c>
      <c r="G126" s="16" t="s">
        <v>9205</v>
      </c>
      <c r="H126" s="16" t="s">
        <v>9204</v>
      </c>
      <c r="I126" s="16" t="s">
        <v>1287</v>
      </c>
      <c r="J126" s="16" t="s">
        <v>943</v>
      </c>
      <c r="K126" s="16" t="s">
        <v>1288</v>
      </c>
      <c r="L126" s="16" t="s">
        <v>85</v>
      </c>
      <c r="M126" s="16" t="s">
        <v>984</v>
      </c>
      <c r="N126" s="16" t="s">
        <v>914</v>
      </c>
      <c r="O126" s="16" t="s">
        <v>985</v>
      </c>
      <c r="P126" s="16" t="s">
        <v>914</v>
      </c>
      <c r="Q126" s="16" t="s">
        <v>985</v>
      </c>
      <c r="R126" s="16" t="s">
        <v>915</v>
      </c>
      <c r="S126" s="16" t="s">
        <v>915</v>
      </c>
      <c r="T126" s="16" t="s">
        <v>986</v>
      </c>
      <c r="U126" s="16" t="s">
        <v>987</v>
      </c>
      <c r="V126" s="16" t="s">
        <v>916</v>
      </c>
      <c r="W126" s="16" t="s">
        <v>987</v>
      </c>
      <c r="X126" s="16" t="s">
        <v>934</v>
      </c>
      <c r="Y126" s="16" t="s">
        <v>934</v>
      </c>
      <c r="Z126" s="16" t="s">
        <v>935</v>
      </c>
      <c r="DA126" s="405" t="s">
        <v>5</v>
      </c>
      <c r="DB126" s="405" t="s">
        <v>363</v>
      </c>
      <c r="DC126" s="406" t="s">
        <v>85</v>
      </c>
      <c r="DD126" s="405" t="s">
        <v>917</v>
      </c>
      <c r="DE126" s="405" t="s">
        <v>5</v>
      </c>
      <c r="DF126" s="406" t="s">
        <v>85</v>
      </c>
      <c r="DG126" s="407">
        <v>45841</v>
      </c>
      <c r="DH126" s="405" t="s">
        <v>9203</v>
      </c>
      <c r="DI126" s="406">
        <v>465455</v>
      </c>
      <c r="DJ126" s="408">
        <v>5</v>
      </c>
      <c r="DK126" s="405">
        <v>1</v>
      </c>
      <c r="DL126" s="82">
        <v>340.55</v>
      </c>
      <c r="DM126" s="409">
        <v>1.70275</v>
      </c>
      <c r="DN126" s="82" t="s">
        <v>85</v>
      </c>
      <c r="DO126" s="82" t="s">
        <v>85</v>
      </c>
      <c r="DP126" s="410" t="s">
        <v>85</v>
      </c>
    </row>
    <row r="127" spans="1:120" x14ac:dyDescent="0.25">
      <c r="A127" s="16" t="s">
        <v>9200</v>
      </c>
      <c r="B127" s="16" t="s">
        <v>9201</v>
      </c>
      <c r="C127" s="16" t="s">
        <v>9202</v>
      </c>
      <c r="D127" s="16" t="s">
        <v>9052</v>
      </c>
      <c r="E127" s="16" t="s">
        <v>9203</v>
      </c>
      <c r="F127" s="16" t="s">
        <v>9204</v>
      </c>
      <c r="G127" s="16" t="s">
        <v>9205</v>
      </c>
      <c r="H127" s="16" t="s">
        <v>9204</v>
      </c>
      <c r="I127" s="16" t="s">
        <v>3013</v>
      </c>
      <c r="J127" s="16" t="s">
        <v>943</v>
      </c>
      <c r="K127" s="16" t="s">
        <v>3014</v>
      </c>
      <c r="L127" s="16" t="s">
        <v>85</v>
      </c>
      <c r="M127" s="16" t="s">
        <v>984</v>
      </c>
      <c r="N127" s="16" t="s">
        <v>914</v>
      </c>
      <c r="O127" s="16" t="s">
        <v>985</v>
      </c>
      <c r="P127" s="16" t="s">
        <v>914</v>
      </c>
      <c r="Q127" s="16" t="s">
        <v>985</v>
      </c>
      <c r="R127" s="16" t="s">
        <v>915</v>
      </c>
      <c r="S127" s="16" t="s">
        <v>915</v>
      </c>
      <c r="T127" s="16" t="s">
        <v>986</v>
      </c>
      <c r="U127" s="16" t="s">
        <v>987</v>
      </c>
      <c r="V127" s="16" t="s">
        <v>916</v>
      </c>
      <c r="W127" s="16" t="s">
        <v>987</v>
      </c>
      <c r="X127" s="16" t="s">
        <v>934</v>
      </c>
      <c r="Y127" s="16" t="s">
        <v>934</v>
      </c>
      <c r="Z127" s="16" t="s">
        <v>935</v>
      </c>
      <c r="DA127" s="405" t="s">
        <v>5</v>
      </c>
      <c r="DB127" s="405" t="s">
        <v>363</v>
      </c>
      <c r="DC127" s="406" t="s">
        <v>85</v>
      </c>
      <c r="DD127" s="405" t="s">
        <v>917</v>
      </c>
      <c r="DE127" s="405" t="s">
        <v>5</v>
      </c>
      <c r="DF127" s="406" t="s">
        <v>85</v>
      </c>
      <c r="DG127" s="407">
        <v>45841</v>
      </c>
      <c r="DH127" s="405" t="s">
        <v>9203</v>
      </c>
      <c r="DI127" s="406">
        <v>465455</v>
      </c>
      <c r="DJ127" s="408">
        <v>5</v>
      </c>
      <c r="DK127" s="405">
        <v>1</v>
      </c>
      <c r="DL127" s="82">
        <v>340.55</v>
      </c>
      <c r="DM127" s="409">
        <v>1.70275</v>
      </c>
      <c r="DN127" s="82" t="s">
        <v>85</v>
      </c>
      <c r="DO127" s="82" t="s">
        <v>85</v>
      </c>
      <c r="DP127" s="410" t="s">
        <v>85</v>
      </c>
    </row>
    <row r="128" spans="1:120" x14ac:dyDescent="0.25">
      <c r="A128" s="16" t="s">
        <v>9206</v>
      </c>
      <c r="B128" s="16" t="s">
        <v>9207</v>
      </c>
      <c r="C128" s="16" t="s">
        <v>9208</v>
      </c>
      <c r="D128" s="16" t="s">
        <v>9052</v>
      </c>
      <c r="E128" s="16" t="s">
        <v>9209</v>
      </c>
      <c r="F128" s="16" t="s">
        <v>9210</v>
      </c>
      <c r="G128" s="16" t="s">
        <v>9211</v>
      </c>
      <c r="H128" s="16" t="s">
        <v>9210</v>
      </c>
      <c r="I128" s="16" t="s">
        <v>2091</v>
      </c>
      <c r="J128" s="16" t="s">
        <v>928</v>
      </c>
      <c r="K128" s="16" t="s">
        <v>2092</v>
      </c>
      <c r="L128" s="16" t="s">
        <v>85</v>
      </c>
      <c r="M128" s="16" t="s">
        <v>1322</v>
      </c>
      <c r="N128" s="16" t="s">
        <v>914</v>
      </c>
      <c r="O128" s="16" t="s">
        <v>1323</v>
      </c>
      <c r="P128" s="16" t="s">
        <v>914</v>
      </c>
      <c r="Q128" s="16" t="s">
        <v>1323</v>
      </c>
      <c r="R128" s="16" t="s">
        <v>915</v>
      </c>
      <c r="S128" s="16" t="s">
        <v>915</v>
      </c>
      <c r="T128" s="16" t="s">
        <v>1322</v>
      </c>
      <c r="U128" s="16" t="s">
        <v>1324</v>
      </c>
      <c r="V128" s="16" t="s">
        <v>916</v>
      </c>
      <c r="W128" s="16" t="s">
        <v>1324</v>
      </c>
      <c r="X128" s="16" t="s">
        <v>934</v>
      </c>
      <c r="Y128" s="16" t="s">
        <v>934</v>
      </c>
      <c r="Z128" s="16" t="s">
        <v>935</v>
      </c>
      <c r="DA128" s="405" t="s">
        <v>5</v>
      </c>
      <c r="DB128" s="405" t="s">
        <v>363</v>
      </c>
      <c r="DC128" s="406" t="s">
        <v>85</v>
      </c>
      <c r="DD128" s="405" t="s">
        <v>917</v>
      </c>
      <c r="DE128" s="405" t="s">
        <v>5</v>
      </c>
      <c r="DF128" s="406" t="s">
        <v>85</v>
      </c>
      <c r="DG128" s="407">
        <v>45841</v>
      </c>
      <c r="DH128" s="405" t="s">
        <v>9209</v>
      </c>
      <c r="DI128" s="406">
        <v>465455</v>
      </c>
      <c r="DJ128" s="408">
        <v>5</v>
      </c>
      <c r="DK128" s="405">
        <v>1</v>
      </c>
      <c r="DL128" s="82">
        <v>332.47</v>
      </c>
      <c r="DM128" s="409">
        <v>1.6623500000000002</v>
      </c>
      <c r="DN128" s="82" t="s">
        <v>85</v>
      </c>
      <c r="DO128" s="82" t="s">
        <v>85</v>
      </c>
      <c r="DP128" s="410" t="s">
        <v>85</v>
      </c>
    </row>
    <row r="129" spans="1:120" x14ac:dyDescent="0.25">
      <c r="A129" s="16" t="s">
        <v>9206</v>
      </c>
      <c r="B129" s="16" t="s">
        <v>9207</v>
      </c>
      <c r="C129" s="16" t="s">
        <v>9208</v>
      </c>
      <c r="D129" s="16" t="s">
        <v>9052</v>
      </c>
      <c r="E129" s="16" t="s">
        <v>9209</v>
      </c>
      <c r="F129" s="16" t="s">
        <v>9210</v>
      </c>
      <c r="G129" s="16" t="s">
        <v>9211</v>
      </c>
      <c r="H129" s="16" t="s">
        <v>9210</v>
      </c>
      <c r="I129" s="16" t="s">
        <v>2721</v>
      </c>
      <c r="J129" s="16" t="s">
        <v>928</v>
      </c>
      <c r="K129" s="16" t="s">
        <v>2722</v>
      </c>
      <c r="L129" s="16" t="s">
        <v>85</v>
      </c>
      <c r="M129" s="16" t="s">
        <v>1322</v>
      </c>
      <c r="N129" s="16" t="s">
        <v>914</v>
      </c>
      <c r="O129" s="16" t="s">
        <v>1323</v>
      </c>
      <c r="P129" s="16" t="s">
        <v>914</v>
      </c>
      <c r="Q129" s="16" t="s">
        <v>1323</v>
      </c>
      <c r="R129" s="16" t="s">
        <v>915</v>
      </c>
      <c r="S129" s="16" t="s">
        <v>915</v>
      </c>
      <c r="T129" s="16" t="s">
        <v>1322</v>
      </c>
      <c r="U129" s="16" t="s">
        <v>1324</v>
      </c>
      <c r="V129" s="16" t="s">
        <v>916</v>
      </c>
      <c r="W129" s="16" t="s">
        <v>1324</v>
      </c>
      <c r="X129" s="16" t="s">
        <v>934</v>
      </c>
      <c r="Y129" s="16" t="s">
        <v>934</v>
      </c>
      <c r="Z129" s="16" t="s">
        <v>935</v>
      </c>
      <c r="DA129" s="405" t="s">
        <v>5</v>
      </c>
      <c r="DB129" s="405" t="s">
        <v>363</v>
      </c>
      <c r="DC129" s="406" t="s">
        <v>85</v>
      </c>
      <c r="DD129" s="405" t="s">
        <v>917</v>
      </c>
      <c r="DE129" s="405" t="s">
        <v>5</v>
      </c>
      <c r="DF129" s="406" t="s">
        <v>85</v>
      </c>
      <c r="DG129" s="407">
        <v>45841</v>
      </c>
      <c r="DH129" s="405" t="s">
        <v>9209</v>
      </c>
      <c r="DI129" s="406">
        <v>465455</v>
      </c>
      <c r="DJ129" s="408">
        <v>5</v>
      </c>
      <c r="DK129" s="405">
        <v>1</v>
      </c>
      <c r="DL129" s="82">
        <v>332.47</v>
      </c>
      <c r="DM129" s="409">
        <v>1.6623500000000002</v>
      </c>
      <c r="DN129" s="82" t="s">
        <v>85</v>
      </c>
      <c r="DO129" s="82" t="s">
        <v>85</v>
      </c>
      <c r="DP129" s="410" t="s">
        <v>85</v>
      </c>
    </row>
    <row r="130" spans="1:120" x14ac:dyDescent="0.25">
      <c r="A130" s="16" t="s">
        <v>9206</v>
      </c>
      <c r="B130" s="16" t="s">
        <v>9207</v>
      </c>
      <c r="C130" s="16" t="s">
        <v>9208</v>
      </c>
      <c r="D130" s="16" t="s">
        <v>9052</v>
      </c>
      <c r="E130" s="16" t="s">
        <v>9209</v>
      </c>
      <c r="F130" s="16" t="s">
        <v>9210</v>
      </c>
      <c r="G130" s="16" t="s">
        <v>9211</v>
      </c>
      <c r="H130" s="16" t="s">
        <v>9210</v>
      </c>
      <c r="I130" s="16" t="s">
        <v>9212</v>
      </c>
      <c r="J130" s="16" t="s">
        <v>928</v>
      </c>
      <c r="K130" s="16" t="s">
        <v>9213</v>
      </c>
      <c r="L130" s="16" t="s">
        <v>85</v>
      </c>
      <c r="M130" s="16" t="s">
        <v>1322</v>
      </c>
      <c r="N130" s="16" t="s">
        <v>914</v>
      </c>
      <c r="O130" s="16" t="s">
        <v>1323</v>
      </c>
      <c r="P130" s="16" t="s">
        <v>914</v>
      </c>
      <c r="Q130" s="16" t="s">
        <v>1323</v>
      </c>
      <c r="R130" s="16" t="s">
        <v>915</v>
      </c>
      <c r="S130" s="16" t="s">
        <v>915</v>
      </c>
      <c r="T130" s="16" t="s">
        <v>1322</v>
      </c>
      <c r="U130" s="16" t="s">
        <v>1324</v>
      </c>
      <c r="V130" s="16" t="s">
        <v>916</v>
      </c>
      <c r="W130" s="16" t="s">
        <v>1324</v>
      </c>
      <c r="X130" s="16" t="s">
        <v>934</v>
      </c>
      <c r="Y130" s="16" t="s">
        <v>934</v>
      </c>
      <c r="Z130" s="16" t="s">
        <v>935</v>
      </c>
      <c r="DA130" s="405" t="s">
        <v>5</v>
      </c>
      <c r="DB130" s="405" t="s">
        <v>363</v>
      </c>
      <c r="DC130" s="406" t="s">
        <v>85</v>
      </c>
      <c r="DD130" s="405" t="s">
        <v>917</v>
      </c>
      <c r="DE130" s="405" t="s">
        <v>5</v>
      </c>
      <c r="DF130" s="406" t="s">
        <v>85</v>
      </c>
      <c r="DG130" s="407">
        <v>45841</v>
      </c>
      <c r="DH130" s="405" t="s">
        <v>9209</v>
      </c>
      <c r="DI130" s="406">
        <v>465455</v>
      </c>
      <c r="DJ130" s="408">
        <v>5</v>
      </c>
      <c r="DK130" s="405">
        <v>1</v>
      </c>
      <c r="DL130" s="82">
        <v>332.47</v>
      </c>
      <c r="DM130" s="409">
        <v>1.6623500000000002</v>
      </c>
      <c r="DN130" s="82" t="s">
        <v>85</v>
      </c>
      <c r="DO130" s="82" t="s">
        <v>85</v>
      </c>
      <c r="DP130" s="410" t="s">
        <v>85</v>
      </c>
    </row>
    <row r="131" spans="1:120" x14ac:dyDescent="0.25">
      <c r="A131" s="16" t="s">
        <v>9214</v>
      </c>
      <c r="B131" s="16" t="s">
        <v>9215</v>
      </c>
      <c r="C131" s="16" t="s">
        <v>9216</v>
      </c>
      <c r="D131" s="16" t="s">
        <v>9052</v>
      </c>
      <c r="E131" s="16" t="s">
        <v>9217</v>
      </c>
      <c r="F131" s="16" t="s">
        <v>9218</v>
      </c>
      <c r="G131" s="16" t="s">
        <v>9219</v>
      </c>
      <c r="H131" s="16" t="s">
        <v>9218</v>
      </c>
      <c r="I131" s="16" t="s">
        <v>1017</v>
      </c>
      <c r="J131" s="16" t="s">
        <v>995</v>
      </c>
      <c r="K131" s="16" t="s">
        <v>1018</v>
      </c>
      <c r="L131" s="16" t="s">
        <v>85</v>
      </c>
      <c r="M131" s="16" t="s">
        <v>1165</v>
      </c>
      <c r="N131" s="16" t="s">
        <v>914</v>
      </c>
      <c r="O131" s="16" t="s">
        <v>1166</v>
      </c>
      <c r="P131" s="16" t="s">
        <v>914</v>
      </c>
      <c r="Q131" s="16" t="s">
        <v>1166</v>
      </c>
      <c r="R131" s="16" t="s">
        <v>915</v>
      </c>
      <c r="S131" s="16" t="s">
        <v>915</v>
      </c>
      <c r="T131" s="16" t="s">
        <v>1167</v>
      </c>
      <c r="U131" s="16" t="s">
        <v>1168</v>
      </c>
      <c r="V131" s="16" t="s">
        <v>916</v>
      </c>
      <c r="W131" s="16" t="s">
        <v>1168</v>
      </c>
      <c r="X131" s="16" t="s">
        <v>934</v>
      </c>
      <c r="Y131" s="16" t="s">
        <v>934</v>
      </c>
      <c r="Z131" s="16" t="s">
        <v>935</v>
      </c>
      <c r="DA131" s="405" t="s">
        <v>5</v>
      </c>
      <c r="DB131" s="405" t="s">
        <v>363</v>
      </c>
      <c r="DC131" s="406" t="s">
        <v>85</v>
      </c>
      <c r="DD131" s="405" t="s">
        <v>917</v>
      </c>
      <c r="DE131" s="405" t="s">
        <v>5</v>
      </c>
      <c r="DF131" s="406" t="s">
        <v>85</v>
      </c>
      <c r="DG131" s="407">
        <v>45841</v>
      </c>
      <c r="DH131" s="405" t="s">
        <v>9217</v>
      </c>
      <c r="DI131" s="406">
        <v>465455</v>
      </c>
      <c r="DJ131" s="408">
        <v>5</v>
      </c>
      <c r="DK131" s="405">
        <v>1</v>
      </c>
      <c r="DL131" s="82">
        <v>468.28</v>
      </c>
      <c r="DM131" s="409">
        <v>2.3413999999999997</v>
      </c>
      <c r="DN131" s="82" t="s">
        <v>85</v>
      </c>
      <c r="DO131" s="82" t="s">
        <v>85</v>
      </c>
      <c r="DP131" s="410" t="s">
        <v>85</v>
      </c>
    </row>
    <row r="132" spans="1:120" x14ac:dyDescent="0.25">
      <c r="A132" s="16" t="s">
        <v>9220</v>
      </c>
      <c r="B132" s="16" t="s">
        <v>9221</v>
      </c>
      <c r="C132" s="16" t="s">
        <v>9222</v>
      </c>
      <c r="D132" s="16" t="s">
        <v>9052</v>
      </c>
      <c r="E132" s="16" t="s">
        <v>9223</v>
      </c>
      <c r="F132" s="16" t="s">
        <v>9224</v>
      </c>
      <c r="G132" s="16" t="s">
        <v>9225</v>
      </c>
      <c r="H132" s="16" t="s">
        <v>9224</v>
      </c>
      <c r="I132" s="16" t="s">
        <v>1248</v>
      </c>
      <c r="J132" s="16" t="s">
        <v>995</v>
      </c>
      <c r="K132" s="16" t="s">
        <v>1249</v>
      </c>
      <c r="L132" s="16" t="s">
        <v>85</v>
      </c>
      <c r="M132" s="16" t="s">
        <v>1165</v>
      </c>
      <c r="N132" s="16" t="s">
        <v>914</v>
      </c>
      <c r="O132" s="16" t="s">
        <v>1166</v>
      </c>
      <c r="P132" s="16" t="s">
        <v>914</v>
      </c>
      <c r="Q132" s="16" t="s">
        <v>1166</v>
      </c>
      <c r="R132" s="16" t="s">
        <v>915</v>
      </c>
      <c r="S132" s="16" t="s">
        <v>915</v>
      </c>
      <c r="T132" s="16" t="s">
        <v>1167</v>
      </c>
      <c r="U132" s="16" t="s">
        <v>1168</v>
      </c>
      <c r="V132" s="16" t="s">
        <v>916</v>
      </c>
      <c r="W132" s="16" t="s">
        <v>1168</v>
      </c>
      <c r="X132" s="16" t="s">
        <v>934</v>
      </c>
      <c r="Y132" s="16" t="s">
        <v>934</v>
      </c>
      <c r="Z132" s="16" t="s">
        <v>935</v>
      </c>
      <c r="DA132" s="405" t="s">
        <v>5</v>
      </c>
      <c r="DB132" s="405" t="s">
        <v>363</v>
      </c>
      <c r="DC132" s="406" t="s">
        <v>85</v>
      </c>
      <c r="DD132" s="405" t="s">
        <v>917</v>
      </c>
      <c r="DE132" s="405" t="s">
        <v>5</v>
      </c>
      <c r="DF132" s="406" t="s">
        <v>85</v>
      </c>
      <c r="DG132" s="407">
        <v>45841</v>
      </c>
      <c r="DH132" s="405" t="s">
        <v>9223</v>
      </c>
      <c r="DI132" s="406">
        <v>465455</v>
      </c>
      <c r="DJ132" s="408">
        <v>5</v>
      </c>
      <c r="DK132" s="405">
        <v>1</v>
      </c>
      <c r="DL132" s="82">
        <v>468.28</v>
      </c>
      <c r="DM132" s="409">
        <v>2.3413999999999997</v>
      </c>
      <c r="DN132" s="82" t="s">
        <v>85</v>
      </c>
      <c r="DO132" s="82" t="s">
        <v>85</v>
      </c>
      <c r="DP132" s="410" t="s">
        <v>85</v>
      </c>
    </row>
    <row r="133" spans="1:120" x14ac:dyDescent="0.25">
      <c r="A133" s="16" t="s">
        <v>9226</v>
      </c>
      <c r="B133" s="16" t="s">
        <v>9227</v>
      </c>
      <c r="C133" s="16" t="s">
        <v>9228</v>
      </c>
      <c r="D133" s="16" t="s">
        <v>9052</v>
      </c>
      <c r="E133" s="16" t="s">
        <v>9229</v>
      </c>
      <c r="F133" s="16" t="s">
        <v>9230</v>
      </c>
      <c r="G133" s="16" t="s">
        <v>9231</v>
      </c>
      <c r="H133" s="16" t="s">
        <v>9230</v>
      </c>
      <c r="I133" s="16" t="s">
        <v>1620</v>
      </c>
      <c r="J133" s="16" t="s">
        <v>943</v>
      </c>
      <c r="K133" s="16" t="s">
        <v>1621</v>
      </c>
      <c r="L133" s="16" t="s">
        <v>85</v>
      </c>
      <c r="M133" s="16" t="s">
        <v>984</v>
      </c>
      <c r="N133" s="16" t="s">
        <v>914</v>
      </c>
      <c r="O133" s="16" t="s">
        <v>985</v>
      </c>
      <c r="P133" s="16" t="s">
        <v>914</v>
      </c>
      <c r="Q133" s="16" t="s">
        <v>985</v>
      </c>
      <c r="R133" s="16" t="s">
        <v>915</v>
      </c>
      <c r="S133" s="16" t="s">
        <v>915</v>
      </c>
      <c r="T133" s="16" t="s">
        <v>986</v>
      </c>
      <c r="U133" s="16" t="s">
        <v>987</v>
      </c>
      <c r="V133" s="16" t="s">
        <v>916</v>
      </c>
      <c r="W133" s="16" t="s">
        <v>987</v>
      </c>
      <c r="X133" s="16" t="s">
        <v>934</v>
      </c>
      <c r="Y133" s="16" t="s">
        <v>934</v>
      </c>
      <c r="Z133" s="16" t="s">
        <v>935</v>
      </c>
      <c r="DA133" s="405" t="s">
        <v>5</v>
      </c>
      <c r="DB133" s="405" t="s">
        <v>363</v>
      </c>
      <c r="DC133" s="406" t="s">
        <v>85</v>
      </c>
      <c r="DD133" s="405" t="s">
        <v>917</v>
      </c>
      <c r="DE133" s="405" t="s">
        <v>5</v>
      </c>
      <c r="DF133" s="406" t="s">
        <v>85</v>
      </c>
      <c r="DG133" s="407">
        <v>45841</v>
      </c>
      <c r="DH133" s="405" t="s">
        <v>9229</v>
      </c>
      <c r="DI133" s="406">
        <v>465455</v>
      </c>
      <c r="DJ133" s="408">
        <v>5</v>
      </c>
      <c r="DK133" s="405">
        <v>1</v>
      </c>
      <c r="DL133" s="82">
        <v>340.55</v>
      </c>
      <c r="DM133" s="409">
        <v>1.70275</v>
      </c>
      <c r="DN133" s="82" t="s">
        <v>85</v>
      </c>
      <c r="DO133" s="82" t="s">
        <v>85</v>
      </c>
      <c r="DP133" s="410" t="s">
        <v>85</v>
      </c>
    </row>
    <row r="134" spans="1:120" x14ac:dyDescent="0.25">
      <c r="A134" s="16" t="s">
        <v>9226</v>
      </c>
      <c r="B134" s="16" t="s">
        <v>9227</v>
      </c>
      <c r="C134" s="16" t="s">
        <v>9228</v>
      </c>
      <c r="D134" s="16" t="s">
        <v>9052</v>
      </c>
      <c r="E134" s="16" t="s">
        <v>9229</v>
      </c>
      <c r="F134" s="16" t="s">
        <v>9230</v>
      </c>
      <c r="G134" s="16" t="s">
        <v>9231</v>
      </c>
      <c r="H134" s="16" t="s">
        <v>9230</v>
      </c>
      <c r="I134" s="16" t="s">
        <v>1719</v>
      </c>
      <c r="J134" s="16" t="s">
        <v>943</v>
      </c>
      <c r="K134" s="16" t="s">
        <v>1720</v>
      </c>
      <c r="L134" s="16" t="s">
        <v>85</v>
      </c>
      <c r="M134" s="16" t="s">
        <v>984</v>
      </c>
      <c r="N134" s="16" t="s">
        <v>914</v>
      </c>
      <c r="O134" s="16" t="s">
        <v>985</v>
      </c>
      <c r="P134" s="16" t="s">
        <v>914</v>
      </c>
      <c r="Q134" s="16" t="s">
        <v>985</v>
      </c>
      <c r="R134" s="16" t="s">
        <v>915</v>
      </c>
      <c r="S134" s="16" t="s">
        <v>915</v>
      </c>
      <c r="T134" s="16" t="s">
        <v>986</v>
      </c>
      <c r="U134" s="16" t="s">
        <v>987</v>
      </c>
      <c r="V134" s="16" t="s">
        <v>916</v>
      </c>
      <c r="W134" s="16" t="s">
        <v>987</v>
      </c>
      <c r="X134" s="16" t="s">
        <v>934</v>
      </c>
      <c r="Y134" s="16" t="s">
        <v>934</v>
      </c>
      <c r="Z134" s="16" t="s">
        <v>935</v>
      </c>
      <c r="DA134" s="405" t="s">
        <v>5</v>
      </c>
      <c r="DB134" s="405" t="s">
        <v>363</v>
      </c>
      <c r="DC134" s="406" t="s">
        <v>85</v>
      </c>
      <c r="DD134" s="405" t="s">
        <v>917</v>
      </c>
      <c r="DE134" s="405" t="s">
        <v>5</v>
      </c>
      <c r="DF134" s="406" t="s">
        <v>85</v>
      </c>
      <c r="DG134" s="407">
        <v>45841</v>
      </c>
      <c r="DH134" s="405" t="s">
        <v>9229</v>
      </c>
      <c r="DI134" s="406">
        <v>465455</v>
      </c>
      <c r="DJ134" s="408">
        <v>5</v>
      </c>
      <c r="DK134" s="405">
        <v>1</v>
      </c>
      <c r="DL134" s="82">
        <v>340.55</v>
      </c>
      <c r="DM134" s="409">
        <v>1.70275</v>
      </c>
      <c r="DN134" s="82" t="s">
        <v>85</v>
      </c>
      <c r="DO134" s="82" t="s">
        <v>85</v>
      </c>
      <c r="DP134" s="410" t="s">
        <v>85</v>
      </c>
    </row>
    <row r="135" spans="1:120" x14ac:dyDescent="0.25">
      <c r="A135" s="16" t="s">
        <v>9232</v>
      </c>
      <c r="B135" s="16" t="s">
        <v>9233</v>
      </c>
      <c r="C135" s="16" t="s">
        <v>9234</v>
      </c>
      <c r="D135" s="16" t="s">
        <v>9052</v>
      </c>
      <c r="E135" s="16" t="s">
        <v>9235</v>
      </c>
      <c r="F135" s="16" t="s">
        <v>9236</v>
      </c>
      <c r="G135" s="16" t="s">
        <v>9237</v>
      </c>
      <c r="H135" s="16" t="s">
        <v>9238</v>
      </c>
      <c r="I135" s="16" t="s">
        <v>2091</v>
      </c>
      <c r="J135" s="16" t="s">
        <v>928</v>
      </c>
      <c r="K135" s="16" t="s">
        <v>2092</v>
      </c>
      <c r="L135" s="16" t="s">
        <v>85</v>
      </c>
      <c r="M135" s="16" t="s">
        <v>1322</v>
      </c>
      <c r="N135" s="16" t="s">
        <v>914</v>
      </c>
      <c r="O135" s="16" t="s">
        <v>1323</v>
      </c>
      <c r="P135" s="16" t="s">
        <v>914</v>
      </c>
      <c r="Q135" s="16" t="s">
        <v>1323</v>
      </c>
      <c r="R135" s="16" t="s">
        <v>915</v>
      </c>
      <c r="S135" s="16" t="s">
        <v>915</v>
      </c>
      <c r="T135" s="16" t="s">
        <v>1322</v>
      </c>
      <c r="U135" s="16" t="s">
        <v>1324</v>
      </c>
      <c r="V135" s="16" t="s">
        <v>916</v>
      </c>
      <c r="W135" s="16" t="s">
        <v>1324</v>
      </c>
      <c r="X135" s="16" t="s">
        <v>934</v>
      </c>
      <c r="Y135" s="16" t="s">
        <v>934</v>
      </c>
      <c r="Z135" s="16" t="s">
        <v>935</v>
      </c>
      <c r="DA135" s="405" t="s">
        <v>5</v>
      </c>
      <c r="DB135" s="405" t="s">
        <v>363</v>
      </c>
      <c r="DC135" s="406" t="s">
        <v>85</v>
      </c>
      <c r="DD135" s="405" t="s">
        <v>917</v>
      </c>
      <c r="DE135" s="405" t="s">
        <v>5</v>
      </c>
      <c r="DF135" s="406" t="s">
        <v>85</v>
      </c>
      <c r="DG135" s="407">
        <v>45841</v>
      </c>
      <c r="DH135" s="405" t="s">
        <v>9235</v>
      </c>
      <c r="DI135" s="406">
        <v>465455</v>
      </c>
      <c r="DJ135" s="408">
        <v>5</v>
      </c>
      <c r="DK135" s="405">
        <v>1</v>
      </c>
      <c r="DL135" s="82">
        <v>332.47</v>
      </c>
      <c r="DM135" s="409">
        <v>1.6623500000000002</v>
      </c>
      <c r="DN135" s="82" t="s">
        <v>85</v>
      </c>
      <c r="DO135" s="82" t="s">
        <v>85</v>
      </c>
      <c r="DP135" s="410" t="s">
        <v>85</v>
      </c>
    </row>
    <row r="136" spans="1:120" x14ac:dyDescent="0.25">
      <c r="A136" s="16" t="s">
        <v>9232</v>
      </c>
      <c r="B136" s="16" t="s">
        <v>9233</v>
      </c>
      <c r="C136" s="16" t="s">
        <v>9234</v>
      </c>
      <c r="D136" s="16" t="s">
        <v>9052</v>
      </c>
      <c r="E136" s="16" t="s">
        <v>9235</v>
      </c>
      <c r="F136" s="16" t="s">
        <v>9236</v>
      </c>
      <c r="G136" s="16" t="s">
        <v>9237</v>
      </c>
      <c r="H136" s="16" t="s">
        <v>9238</v>
      </c>
      <c r="I136" s="16" t="s">
        <v>2721</v>
      </c>
      <c r="J136" s="16" t="s">
        <v>928</v>
      </c>
      <c r="K136" s="16" t="s">
        <v>2722</v>
      </c>
      <c r="L136" s="16" t="s">
        <v>85</v>
      </c>
      <c r="M136" s="16" t="s">
        <v>1322</v>
      </c>
      <c r="N136" s="16" t="s">
        <v>914</v>
      </c>
      <c r="O136" s="16" t="s">
        <v>1323</v>
      </c>
      <c r="P136" s="16" t="s">
        <v>914</v>
      </c>
      <c r="Q136" s="16" t="s">
        <v>1323</v>
      </c>
      <c r="R136" s="16" t="s">
        <v>915</v>
      </c>
      <c r="S136" s="16" t="s">
        <v>915</v>
      </c>
      <c r="T136" s="16" t="s">
        <v>1322</v>
      </c>
      <c r="U136" s="16" t="s">
        <v>1324</v>
      </c>
      <c r="V136" s="16" t="s">
        <v>916</v>
      </c>
      <c r="W136" s="16" t="s">
        <v>1324</v>
      </c>
      <c r="X136" s="16" t="s">
        <v>934</v>
      </c>
      <c r="Y136" s="16" t="s">
        <v>934</v>
      </c>
      <c r="Z136" s="16" t="s">
        <v>935</v>
      </c>
      <c r="DA136" s="405" t="s">
        <v>5</v>
      </c>
      <c r="DB136" s="405" t="s">
        <v>363</v>
      </c>
      <c r="DC136" s="406" t="s">
        <v>85</v>
      </c>
      <c r="DD136" s="405" t="s">
        <v>917</v>
      </c>
      <c r="DE136" s="405" t="s">
        <v>5</v>
      </c>
      <c r="DF136" s="406" t="s">
        <v>85</v>
      </c>
      <c r="DG136" s="407">
        <v>45841</v>
      </c>
      <c r="DH136" s="405" t="s">
        <v>9235</v>
      </c>
      <c r="DI136" s="406">
        <v>465455</v>
      </c>
      <c r="DJ136" s="408">
        <v>5</v>
      </c>
      <c r="DK136" s="405">
        <v>1</v>
      </c>
      <c r="DL136" s="82">
        <v>332.47</v>
      </c>
      <c r="DM136" s="409">
        <v>1.6623500000000002</v>
      </c>
      <c r="DN136" s="82" t="s">
        <v>85</v>
      </c>
      <c r="DO136" s="82" t="s">
        <v>85</v>
      </c>
      <c r="DP136" s="410" t="s">
        <v>85</v>
      </c>
    </row>
    <row r="137" spans="1:120" x14ac:dyDescent="0.25">
      <c r="A137" s="16" t="s">
        <v>9232</v>
      </c>
      <c r="B137" s="16" t="s">
        <v>9233</v>
      </c>
      <c r="C137" s="16" t="s">
        <v>9234</v>
      </c>
      <c r="D137" s="16" t="s">
        <v>9052</v>
      </c>
      <c r="E137" s="16" t="s">
        <v>9235</v>
      </c>
      <c r="F137" s="16" t="s">
        <v>9236</v>
      </c>
      <c r="G137" s="16" t="s">
        <v>9237</v>
      </c>
      <c r="H137" s="16" t="s">
        <v>9238</v>
      </c>
      <c r="I137" s="16" t="s">
        <v>1007</v>
      </c>
      <c r="J137" s="16" t="s">
        <v>928</v>
      </c>
      <c r="K137" s="16" t="s">
        <v>1008</v>
      </c>
      <c r="L137" s="16" t="s">
        <v>85</v>
      </c>
      <c r="M137" s="16" t="s">
        <v>1322</v>
      </c>
      <c r="N137" s="16" t="s">
        <v>914</v>
      </c>
      <c r="O137" s="16" t="s">
        <v>1323</v>
      </c>
      <c r="P137" s="16" t="s">
        <v>914</v>
      </c>
      <c r="Q137" s="16" t="s">
        <v>1323</v>
      </c>
      <c r="R137" s="16" t="s">
        <v>915</v>
      </c>
      <c r="S137" s="16" t="s">
        <v>915</v>
      </c>
      <c r="T137" s="16" t="s">
        <v>1322</v>
      </c>
      <c r="U137" s="16" t="s">
        <v>1324</v>
      </c>
      <c r="V137" s="16" t="s">
        <v>916</v>
      </c>
      <c r="W137" s="16" t="s">
        <v>1324</v>
      </c>
      <c r="X137" s="16" t="s">
        <v>934</v>
      </c>
      <c r="Y137" s="16" t="s">
        <v>934</v>
      </c>
      <c r="Z137" s="16" t="s">
        <v>935</v>
      </c>
      <c r="DA137" s="405" t="s">
        <v>5</v>
      </c>
      <c r="DB137" s="405" t="s">
        <v>363</v>
      </c>
      <c r="DC137" s="406" t="s">
        <v>85</v>
      </c>
      <c r="DD137" s="405" t="s">
        <v>917</v>
      </c>
      <c r="DE137" s="405" t="s">
        <v>5</v>
      </c>
      <c r="DF137" s="406" t="s">
        <v>85</v>
      </c>
      <c r="DG137" s="407">
        <v>45841</v>
      </c>
      <c r="DH137" s="405" t="s">
        <v>9235</v>
      </c>
      <c r="DI137" s="406">
        <v>465455</v>
      </c>
      <c r="DJ137" s="408">
        <v>5</v>
      </c>
      <c r="DK137" s="405">
        <v>1</v>
      </c>
      <c r="DL137" s="82">
        <v>332.47</v>
      </c>
      <c r="DM137" s="409">
        <v>1.6623500000000002</v>
      </c>
      <c r="DN137" s="82" t="s">
        <v>85</v>
      </c>
      <c r="DO137" s="82" t="s">
        <v>85</v>
      </c>
      <c r="DP137" s="410" t="s">
        <v>85</v>
      </c>
    </row>
    <row r="138" spans="1:120" x14ac:dyDescent="0.25">
      <c r="A138" s="16" t="s">
        <v>9232</v>
      </c>
      <c r="B138" s="16" t="s">
        <v>9233</v>
      </c>
      <c r="C138" s="16" t="s">
        <v>9234</v>
      </c>
      <c r="D138" s="16" t="s">
        <v>9052</v>
      </c>
      <c r="E138" s="16" t="s">
        <v>9235</v>
      </c>
      <c r="F138" s="16" t="s">
        <v>9236</v>
      </c>
      <c r="G138" s="16" t="s">
        <v>9237</v>
      </c>
      <c r="H138" s="16" t="s">
        <v>9238</v>
      </c>
      <c r="I138" s="16" t="s">
        <v>9212</v>
      </c>
      <c r="J138" s="16" t="s">
        <v>928</v>
      </c>
      <c r="K138" s="16" t="s">
        <v>9213</v>
      </c>
      <c r="L138" s="16" t="s">
        <v>85</v>
      </c>
      <c r="M138" s="16" t="s">
        <v>1322</v>
      </c>
      <c r="N138" s="16" t="s">
        <v>914</v>
      </c>
      <c r="O138" s="16" t="s">
        <v>1323</v>
      </c>
      <c r="P138" s="16" t="s">
        <v>914</v>
      </c>
      <c r="Q138" s="16" t="s">
        <v>1323</v>
      </c>
      <c r="R138" s="16" t="s">
        <v>915</v>
      </c>
      <c r="S138" s="16" t="s">
        <v>915</v>
      </c>
      <c r="T138" s="16" t="s">
        <v>1322</v>
      </c>
      <c r="U138" s="16" t="s">
        <v>1324</v>
      </c>
      <c r="V138" s="16" t="s">
        <v>916</v>
      </c>
      <c r="W138" s="16" t="s">
        <v>1324</v>
      </c>
      <c r="X138" s="16" t="s">
        <v>934</v>
      </c>
      <c r="Y138" s="16" t="s">
        <v>934</v>
      </c>
      <c r="Z138" s="16" t="s">
        <v>935</v>
      </c>
      <c r="DA138" s="405" t="s">
        <v>5</v>
      </c>
      <c r="DB138" s="405" t="s">
        <v>363</v>
      </c>
      <c r="DC138" s="406" t="s">
        <v>85</v>
      </c>
      <c r="DD138" s="405" t="s">
        <v>917</v>
      </c>
      <c r="DE138" s="405" t="s">
        <v>5</v>
      </c>
      <c r="DF138" s="406" t="s">
        <v>85</v>
      </c>
      <c r="DG138" s="407">
        <v>45841</v>
      </c>
      <c r="DH138" s="405" t="s">
        <v>9235</v>
      </c>
      <c r="DI138" s="406">
        <v>465455</v>
      </c>
      <c r="DJ138" s="408">
        <v>5</v>
      </c>
      <c r="DK138" s="405">
        <v>1</v>
      </c>
      <c r="DL138" s="82">
        <v>332.47</v>
      </c>
      <c r="DM138" s="409">
        <v>1.6623500000000002</v>
      </c>
      <c r="DN138" s="82" t="s">
        <v>85</v>
      </c>
      <c r="DO138" s="82" t="s">
        <v>85</v>
      </c>
      <c r="DP138" s="410" t="s">
        <v>85</v>
      </c>
    </row>
    <row r="139" spans="1:120" x14ac:dyDescent="0.25">
      <c r="A139" s="16" t="s">
        <v>9239</v>
      </c>
      <c r="B139" s="16" t="s">
        <v>9240</v>
      </c>
      <c r="C139" s="16" t="s">
        <v>9241</v>
      </c>
      <c r="D139" s="16" t="s">
        <v>9052</v>
      </c>
      <c r="E139" s="16" t="s">
        <v>9242</v>
      </c>
      <c r="F139" s="16" t="s">
        <v>9243</v>
      </c>
      <c r="G139" s="16" t="s">
        <v>9244</v>
      </c>
      <c r="H139" s="16" t="s">
        <v>9245</v>
      </c>
      <c r="I139" s="16" t="s">
        <v>2958</v>
      </c>
      <c r="J139" s="16" t="s">
        <v>943</v>
      </c>
      <c r="K139" s="16" t="s">
        <v>2959</v>
      </c>
      <c r="L139" s="16" t="s">
        <v>85</v>
      </c>
      <c r="M139" s="16" t="s">
        <v>984</v>
      </c>
      <c r="N139" s="16" t="s">
        <v>914</v>
      </c>
      <c r="O139" s="16" t="s">
        <v>985</v>
      </c>
      <c r="P139" s="16" t="s">
        <v>914</v>
      </c>
      <c r="Q139" s="16" t="s">
        <v>985</v>
      </c>
      <c r="R139" s="16" t="s">
        <v>915</v>
      </c>
      <c r="S139" s="16" t="s">
        <v>915</v>
      </c>
      <c r="T139" s="16" t="s">
        <v>986</v>
      </c>
      <c r="U139" s="16" t="s">
        <v>987</v>
      </c>
      <c r="V139" s="16" t="s">
        <v>916</v>
      </c>
      <c r="W139" s="16" t="s">
        <v>987</v>
      </c>
      <c r="X139" s="16" t="s">
        <v>934</v>
      </c>
      <c r="Y139" s="16" t="s">
        <v>934</v>
      </c>
      <c r="Z139" s="16" t="s">
        <v>935</v>
      </c>
      <c r="DA139" s="405" t="s">
        <v>5</v>
      </c>
      <c r="DB139" s="405" t="s">
        <v>363</v>
      </c>
      <c r="DC139" s="406" t="s">
        <v>85</v>
      </c>
      <c r="DD139" s="405" t="s">
        <v>917</v>
      </c>
      <c r="DE139" s="405" t="s">
        <v>5</v>
      </c>
      <c r="DF139" s="406" t="s">
        <v>85</v>
      </c>
      <c r="DG139" s="407">
        <v>45841</v>
      </c>
      <c r="DH139" s="405" t="s">
        <v>9242</v>
      </c>
      <c r="DI139" s="406">
        <v>465455</v>
      </c>
      <c r="DJ139" s="408">
        <v>5</v>
      </c>
      <c r="DK139" s="405">
        <v>1</v>
      </c>
      <c r="DL139" s="82">
        <v>340.55</v>
      </c>
      <c r="DM139" s="409">
        <v>1.70275</v>
      </c>
      <c r="DN139" s="82" t="s">
        <v>85</v>
      </c>
      <c r="DO139" s="82" t="s">
        <v>85</v>
      </c>
      <c r="DP139" s="410" t="s">
        <v>85</v>
      </c>
    </row>
    <row r="140" spans="1:120" x14ac:dyDescent="0.25">
      <c r="A140" s="16" t="s">
        <v>9246</v>
      </c>
      <c r="B140" s="16" t="s">
        <v>9247</v>
      </c>
      <c r="C140" s="16" t="s">
        <v>9248</v>
      </c>
      <c r="D140" s="16" t="s">
        <v>9052</v>
      </c>
      <c r="E140" s="16" t="s">
        <v>9249</v>
      </c>
      <c r="F140" s="16" t="s">
        <v>9250</v>
      </c>
      <c r="G140" s="16" t="s">
        <v>9251</v>
      </c>
      <c r="H140" s="16" t="s">
        <v>9252</v>
      </c>
      <c r="I140" s="16" t="s">
        <v>7441</v>
      </c>
      <c r="J140" s="16" t="s">
        <v>2699</v>
      </c>
      <c r="K140" s="16" t="s">
        <v>7442</v>
      </c>
      <c r="L140" s="16" t="s">
        <v>85</v>
      </c>
      <c r="M140" s="16" t="s">
        <v>2701</v>
      </c>
      <c r="N140" s="16" t="s">
        <v>914</v>
      </c>
      <c r="O140" s="16" t="s">
        <v>2702</v>
      </c>
      <c r="P140" s="16" t="s">
        <v>914</v>
      </c>
      <c r="Q140" s="16" t="s">
        <v>2702</v>
      </c>
      <c r="R140" s="16" t="s">
        <v>915</v>
      </c>
      <c r="S140" s="16" t="s">
        <v>915</v>
      </c>
      <c r="T140" s="16" t="s">
        <v>2703</v>
      </c>
      <c r="U140" s="16" t="s">
        <v>2704</v>
      </c>
      <c r="V140" s="16" t="s">
        <v>916</v>
      </c>
      <c r="W140" s="16" t="s">
        <v>2704</v>
      </c>
      <c r="X140" s="16" t="s">
        <v>934</v>
      </c>
      <c r="Y140" s="16" t="s">
        <v>934</v>
      </c>
      <c r="Z140" s="16" t="s">
        <v>935</v>
      </c>
      <c r="DA140" s="405" t="s">
        <v>5</v>
      </c>
      <c r="DB140" s="405" t="s">
        <v>363</v>
      </c>
      <c r="DC140" s="406" t="s">
        <v>85</v>
      </c>
      <c r="DD140" s="405" t="s">
        <v>917</v>
      </c>
      <c r="DE140" s="405" t="s">
        <v>5</v>
      </c>
      <c r="DF140" s="406" t="s">
        <v>85</v>
      </c>
      <c r="DG140" s="407">
        <v>45841</v>
      </c>
      <c r="DH140" s="405" t="s">
        <v>9249</v>
      </c>
      <c r="DI140" s="406">
        <v>465455</v>
      </c>
      <c r="DJ140" s="408">
        <v>5</v>
      </c>
      <c r="DK140" s="405">
        <v>1</v>
      </c>
      <c r="DL140" s="82">
        <v>478.9</v>
      </c>
      <c r="DM140" s="409">
        <v>2.3944999999999999</v>
      </c>
      <c r="DN140" s="82" t="s">
        <v>85</v>
      </c>
      <c r="DO140" s="82" t="s">
        <v>85</v>
      </c>
      <c r="DP140" s="410" t="s">
        <v>85</v>
      </c>
    </row>
    <row r="141" spans="1:120" x14ac:dyDescent="0.25">
      <c r="A141" s="16" t="s">
        <v>9253</v>
      </c>
      <c r="B141" s="16" t="s">
        <v>9254</v>
      </c>
      <c r="C141" s="16" t="s">
        <v>9255</v>
      </c>
      <c r="D141" s="16" t="s">
        <v>9052</v>
      </c>
      <c r="E141" s="16" t="s">
        <v>9256</v>
      </c>
      <c r="F141" s="16" t="s">
        <v>9257</v>
      </c>
      <c r="G141" s="16" t="s">
        <v>9258</v>
      </c>
      <c r="H141" s="16" t="s">
        <v>9257</v>
      </c>
      <c r="I141" s="16" t="s">
        <v>968</v>
      </c>
      <c r="J141" s="16" t="s">
        <v>943</v>
      </c>
      <c r="K141" s="16" t="s">
        <v>969</v>
      </c>
      <c r="L141" s="16" t="s">
        <v>85</v>
      </c>
      <c r="M141" s="16" t="s">
        <v>984</v>
      </c>
      <c r="N141" s="16" t="s">
        <v>914</v>
      </c>
      <c r="O141" s="16" t="s">
        <v>985</v>
      </c>
      <c r="P141" s="16" t="s">
        <v>914</v>
      </c>
      <c r="Q141" s="16" t="s">
        <v>985</v>
      </c>
      <c r="R141" s="16" t="s">
        <v>915</v>
      </c>
      <c r="S141" s="16" t="s">
        <v>915</v>
      </c>
      <c r="T141" s="16" t="s">
        <v>986</v>
      </c>
      <c r="U141" s="16" t="s">
        <v>987</v>
      </c>
      <c r="V141" s="16" t="s">
        <v>916</v>
      </c>
      <c r="W141" s="16" t="s">
        <v>987</v>
      </c>
      <c r="X141" s="16" t="s">
        <v>934</v>
      </c>
      <c r="Y141" s="16" t="s">
        <v>934</v>
      </c>
      <c r="Z141" s="16" t="s">
        <v>935</v>
      </c>
      <c r="DA141" s="405" t="s">
        <v>5</v>
      </c>
      <c r="DB141" s="405" t="s">
        <v>363</v>
      </c>
      <c r="DC141" s="406" t="s">
        <v>85</v>
      </c>
      <c r="DD141" s="405" t="s">
        <v>917</v>
      </c>
      <c r="DE141" s="405" t="s">
        <v>5</v>
      </c>
      <c r="DF141" s="406" t="s">
        <v>85</v>
      </c>
      <c r="DG141" s="407">
        <v>45841</v>
      </c>
      <c r="DH141" s="405" t="s">
        <v>9256</v>
      </c>
      <c r="DI141" s="406">
        <v>465455</v>
      </c>
      <c r="DJ141" s="408">
        <v>5</v>
      </c>
      <c r="DK141" s="405">
        <v>1</v>
      </c>
      <c r="DL141" s="82">
        <v>340.55</v>
      </c>
      <c r="DM141" s="409">
        <v>1.70275</v>
      </c>
      <c r="DN141" s="82" t="s">
        <v>85</v>
      </c>
      <c r="DO141" s="82" t="s">
        <v>85</v>
      </c>
      <c r="DP141" s="410" t="s">
        <v>85</v>
      </c>
    </row>
    <row r="142" spans="1:120" x14ac:dyDescent="0.25">
      <c r="A142" s="16" t="s">
        <v>9259</v>
      </c>
      <c r="B142" s="16" t="s">
        <v>9260</v>
      </c>
      <c r="C142" s="16" t="s">
        <v>9261</v>
      </c>
      <c r="D142" s="16" t="s">
        <v>9052</v>
      </c>
      <c r="E142" s="16" t="s">
        <v>9262</v>
      </c>
      <c r="F142" s="16" t="s">
        <v>9263</v>
      </c>
      <c r="G142" s="16" t="s">
        <v>9264</v>
      </c>
      <c r="H142" s="16" t="s">
        <v>9265</v>
      </c>
      <c r="I142" s="16" t="s">
        <v>6791</v>
      </c>
      <c r="J142" s="16" t="s">
        <v>1109</v>
      </c>
      <c r="K142" s="16" t="s">
        <v>6792</v>
      </c>
      <c r="L142" s="16" t="s">
        <v>85</v>
      </c>
      <c r="M142" s="16" t="s">
        <v>1311</v>
      </c>
      <c r="N142" s="16" t="s">
        <v>914</v>
      </c>
      <c r="O142" s="16" t="s">
        <v>1312</v>
      </c>
      <c r="P142" s="16" t="s">
        <v>914</v>
      </c>
      <c r="Q142" s="16" t="s">
        <v>1312</v>
      </c>
      <c r="R142" s="16" t="s">
        <v>915</v>
      </c>
      <c r="S142" s="16" t="s">
        <v>915</v>
      </c>
      <c r="T142" s="16" t="s">
        <v>1311</v>
      </c>
      <c r="U142" s="16" t="s">
        <v>1313</v>
      </c>
      <c r="V142" s="16" t="s">
        <v>916</v>
      </c>
      <c r="W142" s="16" t="s">
        <v>1313</v>
      </c>
      <c r="X142" s="16" t="s">
        <v>934</v>
      </c>
      <c r="Y142" s="16" t="s">
        <v>934</v>
      </c>
      <c r="Z142" s="16" t="s">
        <v>935</v>
      </c>
      <c r="DA142" s="405" t="s">
        <v>5</v>
      </c>
      <c r="DB142" s="405" t="s">
        <v>363</v>
      </c>
      <c r="DC142" s="406" t="s">
        <v>85</v>
      </c>
      <c r="DD142" s="405" t="s">
        <v>917</v>
      </c>
      <c r="DE142" s="405" t="s">
        <v>5</v>
      </c>
      <c r="DF142" s="406" t="s">
        <v>85</v>
      </c>
      <c r="DG142" s="407">
        <v>45841</v>
      </c>
      <c r="DH142" s="405" t="s">
        <v>9262</v>
      </c>
      <c r="DI142" s="406">
        <v>465455</v>
      </c>
      <c r="DJ142" s="408">
        <v>5</v>
      </c>
      <c r="DK142" s="405">
        <v>1</v>
      </c>
      <c r="DL142" s="82">
        <v>531.54</v>
      </c>
      <c r="DM142" s="409">
        <v>2.6576999999999997</v>
      </c>
      <c r="DN142" s="82" t="s">
        <v>85</v>
      </c>
      <c r="DO142" s="82" t="s">
        <v>85</v>
      </c>
      <c r="DP142" s="410" t="s">
        <v>85</v>
      </c>
    </row>
    <row r="143" spans="1:120" x14ac:dyDescent="0.25">
      <c r="A143" s="16" t="s">
        <v>9259</v>
      </c>
      <c r="B143" s="16" t="s">
        <v>9260</v>
      </c>
      <c r="C143" s="16" t="s">
        <v>9261</v>
      </c>
      <c r="D143" s="16" t="s">
        <v>9052</v>
      </c>
      <c r="E143" s="16" t="s">
        <v>9262</v>
      </c>
      <c r="F143" s="16" t="s">
        <v>9263</v>
      </c>
      <c r="G143" s="16" t="s">
        <v>9264</v>
      </c>
      <c r="H143" s="16" t="s">
        <v>9265</v>
      </c>
      <c r="I143" s="16" t="s">
        <v>1414</v>
      </c>
      <c r="J143" s="16" t="s">
        <v>1109</v>
      </c>
      <c r="K143" s="16" t="s">
        <v>1415</v>
      </c>
      <c r="L143" s="16" t="s">
        <v>85</v>
      </c>
      <c r="M143" s="16" t="s">
        <v>1311</v>
      </c>
      <c r="N143" s="16" t="s">
        <v>914</v>
      </c>
      <c r="O143" s="16" t="s">
        <v>1312</v>
      </c>
      <c r="P143" s="16" t="s">
        <v>914</v>
      </c>
      <c r="Q143" s="16" t="s">
        <v>1312</v>
      </c>
      <c r="R143" s="16" t="s">
        <v>915</v>
      </c>
      <c r="S143" s="16" t="s">
        <v>915</v>
      </c>
      <c r="T143" s="16" t="s">
        <v>1311</v>
      </c>
      <c r="U143" s="16" t="s">
        <v>1313</v>
      </c>
      <c r="V143" s="16" t="s">
        <v>916</v>
      </c>
      <c r="W143" s="16" t="s">
        <v>1313</v>
      </c>
      <c r="X143" s="16" t="s">
        <v>934</v>
      </c>
      <c r="Y143" s="16" t="s">
        <v>934</v>
      </c>
      <c r="Z143" s="16" t="s">
        <v>935</v>
      </c>
      <c r="DA143" s="405" t="s">
        <v>5</v>
      </c>
      <c r="DB143" s="405" t="s">
        <v>363</v>
      </c>
      <c r="DC143" s="406" t="s">
        <v>85</v>
      </c>
      <c r="DD143" s="405" t="s">
        <v>917</v>
      </c>
      <c r="DE143" s="405" t="s">
        <v>5</v>
      </c>
      <c r="DF143" s="406" t="s">
        <v>85</v>
      </c>
      <c r="DG143" s="407">
        <v>45841</v>
      </c>
      <c r="DH143" s="405" t="s">
        <v>9262</v>
      </c>
      <c r="DI143" s="406">
        <v>465455</v>
      </c>
      <c r="DJ143" s="408">
        <v>5</v>
      </c>
      <c r="DK143" s="405">
        <v>1</v>
      </c>
      <c r="DL143" s="82">
        <v>531.54</v>
      </c>
      <c r="DM143" s="409">
        <v>2.6576999999999997</v>
      </c>
      <c r="DN143" s="82" t="s">
        <v>85</v>
      </c>
      <c r="DO143" s="82" t="s">
        <v>85</v>
      </c>
      <c r="DP143" s="410" t="s">
        <v>85</v>
      </c>
    </row>
    <row r="144" spans="1:120" x14ac:dyDescent="0.25">
      <c r="A144" s="16" t="s">
        <v>9266</v>
      </c>
      <c r="B144" s="16" t="s">
        <v>9267</v>
      </c>
      <c r="C144" s="16" t="s">
        <v>9268</v>
      </c>
      <c r="D144" s="16" t="s">
        <v>9052</v>
      </c>
      <c r="E144" s="16" t="s">
        <v>9269</v>
      </c>
      <c r="F144" s="16" t="s">
        <v>9270</v>
      </c>
      <c r="G144" s="16" t="s">
        <v>9271</v>
      </c>
      <c r="H144" s="16" t="s">
        <v>9270</v>
      </c>
      <c r="I144" s="16" t="s">
        <v>2721</v>
      </c>
      <c r="J144" s="16" t="s">
        <v>928</v>
      </c>
      <c r="K144" s="16" t="s">
        <v>2722</v>
      </c>
      <c r="L144" s="16" t="s">
        <v>85</v>
      </c>
      <c r="M144" s="16" t="s">
        <v>1322</v>
      </c>
      <c r="N144" s="16" t="s">
        <v>914</v>
      </c>
      <c r="O144" s="16" t="s">
        <v>1323</v>
      </c>
      <c r="P144" s="16" t="s">
        <v>914</v>
      </c>
      <c r="Q144" s="16" t="s">
        <v>1323</v>
      </c>
      <c r="R144" s="16" t="s">
        <v>915</v>
      </c>
      <c r="S144" s="16" t="s">
        <v>915</v>
      </c>
      <c r="T144" s="16" t="s">
        <v>1322</v>
      </c>
      <c r="U144" s="16" t="s">
        <v>1324</v>
      </c>
      <c r="V144" s="16" t="s">
        <v>916</v>
      </c>
      <c r="W144" s="16" t="s">
        <v>1324</v>
      </c>
      <c r="X144" s="16" t="s">
        <v>934</v>
      </c>
      <c r="Y144" s="16" t="s">
        <v>934</v>
      </c>
      <c r="Z144" s="16" t="s">
        <v>935</v>
      </c>
      <c r="DA144" s="405" t="s">
        <v>5</v>
      </c>
      <c r="DB144" s="405" t="s">
        <v>363</v>
      </c>
      <c r="DC144" s="406" t="s">
        <v>85</v>
      </c>
      <c r="DD144" s="405" t="s">
        <v>917</v>
      </c>
      <c r="DE144" s="405" t="s">
        <v>5</v>
      </c>
      <c r="DF144" s="406" t="s">
        <v>85</v>
      </c>
      <c r="DG144" s="407">
        <v>45841</v>
      </c>
      <c r="DH144" s="405" t="s">
        <v>9269</v>
      </c>
      <c r="DI144" s="406">
        <v>465455</v>
      </c>
      <c r="DJ144" s="408">
        <v>5</v>
      </c>
      <c r="DK144" s="405">
        <v>1</v>
      </c>
      <c r="DL144" s="82">
        <v>332.47</v>
      </c>
      <c r="DM144" s="409">
        <v>1.6623500000000002</v>
      </c>
      <c r="DN144" s="82" t="s">
        <v>85</v>
      </c>
      <c r="DO144" s="82" t="s">
        <v>85</v>
      </c>
      <c r="DP144" s="410" t="s">
        <v>85</v>
      </c>
    </row>
    <row r="145" spans="1:120" x14ac:dyDescent="0.25">
      <c r="A145" s="16" t="s">
        <v>9272</v>
      </c>
      <c r="B145" s="16" t="s">
        <v>9273</v>
      </c>
      <c r="C145" s="16" t="s">
        <v>9274</v>
      </c>
      <c r="D145" s="16" t="s">
        <v>9052</v>
      </c>
      <c r="E145" s="16" t="s">
        <v>9275</v>
      </c>
      <c r="F145" s="16" t="s">
        <v>9276</v>
      </c>
      <c r="G145" s="16" t="s">
        <v>9277</v>
      </c>
      <c r="H145" s="16" t="s">
        <v>9276</v>
      </c>
      <c r="I145" s="16" t="s">
        <v>9278</v>
      </c>
      <c r="J145" s="16" t="s">
        <v>1123</v>
      </c>
      <c r="K145" s="16" t="s">
        <v>9279</v>
      </c>
      <c r="L145" s="16" t="s">
        <v>85</v>
      </c>
      <c r="M145" s="16" t="s">
        <v>1238</v>
      </c>
      <c r="N145" s="16" t="s">
        <v>914</v>
      </c>
      <c r="O145" s="16" t="s">
        <v>1239</v>
      </c>
      <c r="P145" s="16" t="s">
        <v>914</v>
      </c>
      <c r="Q145" s="16" t="s">
        <v>1239</v>
      </c>
      <c r="R145" s="16" t="s">
        <v>915</v>
      </c>
      <c r="S145" s="16" t="s">
        <v>915</v>
      </c>
      <c r="T145" s="16" t="s">
        <v>1238</v>
      </c>
      <c r="U145" s="16" t="s">
        <v>1240</v>
      </c>
      <c r="V145" s="16" t="s">
        <v>916</v>
      </c>
      <c r="W145" s="16" t="s">
        <v>1240</v>
      </c>
      <c r="X145" s="16" t="s">
        <v>934</v>
      </c>
      <c r="Y145" s="16" t="s">
        <v>934</v>
      </c>
      <c r="Z145" s="16" t="s">
        <v>935</v>
      </c>
      <c r="DA145" s="405" t="s">
        <v>5</v>
      </c>
      <c r="DB145" s="405" t="s">
        <v>363</v>
      </c>
      <c r="DC145" s="406" t="s">
        <v>85</v>
      </c>
      <c r="DD145" s="405" t="s">
        <v>917</v>
      </c>
      <c r="DE145" s="405" t="s">
        <v>5</v>
      </c>
      <c r="DF145" s="406" t="s">
        <v>85</v>
      </c>
      <c r="DG145" s="407">
        <v>45841</v>
      </c>
      <c r="DH145" s="405" t="s">
        <v>9275</v>
      </c>
      <c r="DI145" s="406">
        <v>465455</v>
      </c>
      <c r="DJ145" s="408">
        <v>5</v>
      </c>
      <c r="DK145" s="405">
        <v>1</v>
      </c>
      <c r="DL145" s="82">
        <v>383.16</v>
      </c>
      <c r="DM145" s="409">
        <v>1.9158000000000002</v>
      </c>
      <c r="DN145" s="82" t="s">
        <v>85</v>
      </c>
      <c r="DO145" s="82" t="s">
        <v>85</v>
      </c>
      <c r="DP145" s="410" t="s">
        <v>85</v>
      </c>
    </row>
    <row r="146" spans="1:120" x14ac:dyDescent="0.25">
      <c r="A146" s="16" t="s">
        <v>9280</v>
      </c>
      <c r="B146" s="16" t="s">
        <v>9281</v>
      </c>
      <c r="C146" s="16" t="s">
        <v>9282</v>
      </c>
      <c r="D146" s="16" t="s">
        <v>9052</v>
      </c>
      <c r="E146" s="16" t="s">
        <v>9283</v>
      </c>
      <c r="F146" s="16" t="s">
        <v>9284</v>
      </c>
      <c r="G146" s="16" t="s">
        <v>9285</v>
      </c>
      <c r="H146" s="16" t="s">
        <v>9284</v>
      </c>
      <c r="I146" s="16" t="s">
        <v>5822</v>
      </c>
      <c r="J146" s="16" t="s">
        <v>1354</v>
      </c>
      <c r="K146" s="16" t="s">
        <v>5823</v>
      </c>
      <c r="L146" s="16" t="s">
        <v>85</v>
      </c>
      <c r="M146" s="16" t="s">
        <v>945</v>
      </c>
      <c r="N146" s="16" t="s">
        <v>914</v>
      </c>
      <c r="O146" s="16" t="s">
        <v>946</v>
      </c>
      <c r="P146" s="16" t="s">
        <v>914</v>
      </c>
      <c r="Q146" s="16" t="s">
        <v>946</v>
      </c>
      <c r="R146" s="16" t="s">
        <v>915</v>
      </c>
      <c r="S146" s="16" t="s">
        <v>915</v>
      </c>
      <c r="T146" s="16" t="s">
        <v>945</v>
      </c>
      <c r="U146" s="16" t="s">
        <v>947</v>
      </c>
      <c r="V146" s="16" t="s">
        <v>916</v>
      </c>
      <c r="W146" s="16" t="s">
        <v>947</v>
      </c>
      <c r="X146" s="16" t="s">
        <v>934</v>
      </c>
      <c r="Y146" s="16" t="s">
        <v>934</v>
      </c>
      <c r="Z146" s="16" t="s">
        <v>935</v>
      </c>
      <c r="DA146" s="405" t="s">
        <v>5</v>
      </c>
      <c r="DB146" s="405" t="s">
        <v>363</v>
      </c>
      <c r="DC146" s="406" t="s">
        <v>85</v>
      </c>
      <c r="DD146" s="405" t="s">
        <v>917</v>
      </c>
      <c r="DE146" s="405" t="s">
        <v>5</v>
      </c>
      <c r="DF146" s="406" t="s">
        <v>85</v>
      </c>
      <c r="DG146" s="407">
        <v>45841</v>
      </c>
      <c r="DH146" s="405" t="s">
        <v>9283</v>
      </c>
      <c r="DI146" s="406">
        <v>465455</v>
      </c>
      <c r="DJ146" s="408">
        <v>5</v>
      </c>
      <c r="DK146" s="405">
        <v>1</v>
      </c>
      <c r="DL146" s="82">
        <v>319.27</v>
      </c>
      <c r="DM146" s="409">
        <v>1.5963499999999999</v>
      </c>
      <c r="DN146" s="82" t="s">
        <v>85</v>
      </c>
      <c r="DO146" s="82" t="s">
        <v>85</v>
      </c>
      <c r="DP146" s="410" t="s">
        <v>85</v>
      </c>
    </row>
    <row r="147" spans="1:120" x14ac:dyDescent="0.25">
      <c r="A147" s="16" t="s">
        <v>9286</v>
      </c>
      <c r="B147" s="16" t="s">
        <v>9287</v>
      </c>
      <c r="C147" s="16" t="s">
        <v>9288</v>
      </c>
      <c r="D147" s="16" t="s">
        <v>9052</v>
      </c>
      <c r="E147" s="16" t="s">
        <v>9289</v>
      </c>
      <c r="F147" s="16" t="s">
        <v>9290</v>
      </c>
      <c r="G147" s="16" t="s">
        <v>9291</v>
      </c>
      <c r="H147" s="16" t="s">
        <v>9290</v>
      </c>
      <c r="I147" s="16" t="s">
        <v>3164</v>
      </c>
      <c r="J147" s="16" t="s">
        <v>995</v>
      </c>
      <c r="K147" s="16" t="s">
        <v>3165</v>
      </c>
      <c r="L147" s="16" t="s">
        <v>85</v>
      </c>
      <c r="M147" s="16" t="s">
        <v>1165</v>
      </c>
      <c r="N147" s="16" t="s">
        <v>914</v>
      </c>
      <c r="O147" s="16" t="s">
        <v>1166</v>
      </c>
      <c r="P147" s="16" t="s">
        <v>914</v>
      </c>
      <c r="Q147" s="16" t="s">
        <v>1166</v>
      </c>
      <c r="R147" s="16" t="s">
        <v>915</v>
      </c>
      <c r="S147" s="16" t="s">
        <v>915</v>
      </c>
      <c r="T147" s="16" t="s">
        <v>1167</v>
      </c>
      <c r="U147" s="16" t="s">
        <v>1168</v>
      </c>
      <c r="V147" s="16" t="s">
        <v>916</v>
      </c>
      <c r="W147" s="16" t="s">
        <v>1168</v>
      </c>
      <c r="X147" s="16" t="s">
        <v>934</v>
      </c>
      <c r="Y147" s="16" t="s">
        <v>934</v>
      </c>
      <c r="Z147" s="16" t="s">
        <v>935</v>
      </c>
      <c r="DA147" s="405" t="s">
        <v>5</v>
      </c>
      <c r="DB147" s="405" t="s">
        <v>363</v>
      </c>
      <c r="DC147" s="406" t="s">
        <v>85</v>
      </c>
      <c r="DD147" s="405" t="s">
        <v>917</v>
      </c>
      <c r="DE147" s="405" t="s">
        <v>5</v>
      </c>
      <c r="DF147" s="406" t="s">
        <v>85</v>
      </c>
      <c r="DG147" s="407">
        <v>45841</v>
      </c>
      <c r="DH147" s="405" t="s">
        <v>9289</v>
      </c>
      <c r="DI147" s="406">
        <v>465455</v>
      </c>
      <c r="DJ147" s="408">
        <v>5</v>
      </c>
      <c r="DK147" s="405">
        <v>1</v>
      </c>
      <c r="DL147" s="82">
        <v>468.28</v>
      </c>
      <c r="DM147" s="409">
        <v>2.3413999999999997</v>
      </c>
      <c r="DN147" s="82" t="s">
        <v>85</v>
      </c>
      <c r="DO147" s="82" t="s">
        <v>85</v>
      </c>
      <c r="DP147" s="410" t="s">
        <v>85</v>
      </c>
    </row>
    <row r="148" spans="1:120" x14ac:dyDescent="0.25">
      <c r="A148" s="16" t="s">
        <v>8642</v>
      </c>
      <c r="B148" s="16" t="s">
        <v>8643</v>
      </c>
      <c r="C148" s="16" t="s">
        <v>8644</v>
      </c>
      <c r="D148" s="16" t="s">
        <v>8645</v>
      </c>
      <c r="E148" s="16" t="s">
        <v>8646</v>
      </c>
      <c r="F148" s="16" t="s">
        <v>8647</v>
      </c>
      <c r="G148" s="16" t="s">
        <v>8648</v>
      </c>
      <c r="H148" s="16" t="s">
        <v>8649</v>
      </c>
      <c r="I148" s="16" t="s">
        <v>1772</v>
      </c>
      <c r="J148" s="16" t="s">
        <v>1036</v>
      </c>
      <c r="K148" s="16" t="s">
        <v>1773</v>
      </c>
      <c r="L148" s="16" t="s">
        <v>85</v>
      </c>
      <c r="M148" s="16" t="s">
        <v>1216</v>
      </c>
      <c r="N148" s="16" t="s">
        <v>914</v>
      </c>
      <c r="O148" s="16" t="s">
        <v>946</v>
      </c>
      <c r="P148" s="16" t="s">
        <v>914</v>
      </c>
      <c r="Q148" s="16" t="s">
        <v>946</v>
      </c>
      <c r="R148" s="16" t="s">
        <v>915</v>
      </c>
      <c r="S148" s="16" t="s">
        <v>915</v>
      </c>
      <c r="T148" s="16" t="s">
        <v>1216</v>
      </c>
      <c r="U148" s="16" t="s">
        <v>1217</v>
      </c>
      <c r="V148" s="16" t="s">
        <v>916</v>
      </c>
      <c r="W148" s="16" t="s">
        <v>1217</v>
      </c>
      <c r="X148" s="16" t="s">
        <v>934</v>
      </c>
      <c r="Y148" s="16" t="s">
        <v>934</v>
      </c>
      <c r="Z148" s="16" t="s">
        <v>935</v>
      </c>
      <c r="DA148" s="405" t="s">
        <v>5</v>
      </c>
      <c r="DB148" s="405" t="s">
        <v>363</v>
      </c>
      <c r="DC148" s="406" t="s">
        <v>85</v>
      </c>
      <c r="DD148" s="405" t="s">
        <v>917</v>
      </c>
      <c r="DE148" s="405" t="s">
        <v>5</v>
      </c>
      <c r="DF148" s="406" t="s">
        <v>85</v>
      </c>
      <c r="DG148" s="407">
        <v>45842</v>
      </c>
      <c r="DH148" s="405" t="s">
        <v>8646</v>
      </c>
      <c r="DI148" s="406">
        <v>465455</v>
      </c>
      <c r="DJ148" s="408">
        <v>5</v>
      </c>
      <c r="DK148" s="405">
        <v>1</v>
      </c>
      <c r="DL148" s="82">
        <v>319.22000000000003</v>
      </c>
      <c r="DM148" s="409">
        <v>1.5961000000000001</v>
      </c>
      <c r="DN148" s="82" t="s">
        <v>85</v>
      </c>
      <c r="DO148" s="82" t="s">
        <v>85</v>
      </c>
      <c r="DP148" s="410" t="s">
        <v>85</v>
      </c>
    </row>
    <row r="149" spans="1:120" x14ac:dyDescent="0.25">
      <c r="A149" s="16" t="s">
        <v>8650</v>
      </c>
      <c r="B149" s="16" t="s">
        <v>8651</v>
      </c>
      <c r="C149" s="16" t="s">
        <v>8652</v>
      </c>
      <c r="D149" s="16" t="s">
        <v>8645</v>
      </c>
      <c r="E149" s="16" t="s">
        <v>8653</v>
      </c>
      <c r="F149" s="16" t="s">
        <v>8654</v>
      </c>
      <c r="G149" s="16" t="s">
        <v>8655</v>
      </c>
      <c r="H149" s="16" t="s">
        <v>8654</v>
      </c>
      <c r="I149" s="16" t="s">
        <v>4018</v>
      </c>
      <c r="J149" s="16" t="s">
        <v>1109</v>
      </c>
      <c r="K149" s="16" t="s">
        <v>4019</v>
      </c>
      <c r="L149" s="16" t="s">
        <v>85</v>
      </c>
      <c r="M149" s="16" t="s">
        <v>8656</v>
      </c>
      <c r="N149" s="16" t="s">
        <v>914</v>
      </c>
      <c r="O149" s="16" t="s">
        <v>1312</v>
      </c>
      <c r="P149" s="16" t="s">
        <v>914</v>
      </c>
      <c r="Q149" s="16" t="s">
        <v>1312</v>
      </c>
      <c r="R149" s="16" t="s">
        <v>915</v>
      </c>
      <c r="S149" s="16" t="s">
        <v>915</v>
      </c>
      <c r="T149" s="16" t="s">
        <v>1311</v>
      </c>
      <c r="U149" s="16" t="s">
        <v>1313</v>
      </c>
      <c r="V149" s="16" t="s">
        <v>1763</v>
      </c>
      <c r="W149" s="16" t="s">
        <v>8657</v>
      </c>
      <c r="X149" s="16" t="s">
        <v>934</v>
      </c>
      <c r="Y149" s="16" t="s">
        <v>934</v>
      </c>
      <c r="Z149" s="16" t="s">
        <v>935</v>
      </c>
      <c r="DA149" s="405" t="s">
        <v>5</v>
      </c>
      <c r="DB149" s="405" t="s">
        <v>363</v>
      </c>
      <c r="DC149" s="406" t="s">
        <v>85</v>
      </c>
      <c r="DD149" s="405" t="s">
        <v>917</v>
      </c>
      <c r="DE149" s="405" t="s">
        <v>5</v>
      </c>
      <c r="DF149" s="406" t="s">
        <v>85</v>
      </c>
      <c r="DG149" s="407">
        <v>45842</v>
      </c>
      <c r="DH149" s="405" t="s">
        <v>8653</v>
      </c>
      <c r="DI149" s="406">
        <v>465455</v>
      </c>
      <c r="DJ149" s="408">
        <v>5</v>
      </c>
      <c r="DK149" s="405">
        <v>2</v>
      </c>
      <c r="DL149" s="82">
        <v>531.54</v>
      </c>
      <c r="DM149" s="409">
        <v>2.6576999999999997</v>
      </c>
      <c r="DN149" s="82" t="s">
        <v>85</v>
      </c>
      <c r="DO149" s="82" t="s">
        <v>85</v>
      </c>
      <c r="DP149" s="410" t="s">
        <v>85</v>
      </c>
    </row>
    <row r="150" spans="1:120" x14ac:dyDescent="0.25">
      <c r="A150" s="16" t="s">
        <v>8658</v>
      </c>
      <c r="B150" s="16" t="s">
        <v>8659</v>
      </c>
      <c r="C150" s="16" t="s">
        <v>8660</v>
      </c>
      <c r="D150" s="16" t="s">
        <v>8645</v>
      </c>
      <c r="E150" s="16" t="s">
        <v>8661</v>
      </c>
      <c r="F150" s="16" t="s">
        <v>8662</v>
      </c>
      <c r="G150" s="16" t="s">
        <v>8663</v>
      </c>
      <c r="H150" s="16" t="s">
        <v>8664</v>
      </c>
      <c r="I150" s="16" t="s">
        <v>8665</v>
      </c>
      <c r="J150" s="16" t="s">
        <v>1847</v>
      </c>
      <c r="K150" s="16" t="s">
        <v>8666</v>
      </c>
      <c r="L150" s="16" t="s">
        <v>85</v>
      </c>
      <c r="M150" s="16" t="s">
        <v>1849</v>
      </c>
      <c r="N150" s="16" t="s">
        <v>914</v>
      </c>
      <c r="O150" s="16" t="s">
        <v>1850</v>
      </c>
      <c r="P150" s="16" t="s">
        <v>914</v>
      </c>
      <c r="Q150" s="16" t="s">
        <v>1850</v>
      </c>
      <c r="R150" s="16" t="s">
        <v>915</v>
      </c>
      <c r="S150" s="16" t="s">
        <v>915</v>
      </c>
      <c r="T150" s="16" t="s">
        <v>1851</v>
      </c>
      <c r="U150" s="16" t="s">
        <v>1852</v>
      </c>
      <c r="V150" s="16" t="s">
        <v>916</v>
      </c>
      <c r="W150" s="16" t="s">
        <v>1852</v>
      </c>
      <c r="X150" s="16" t="s">
        <v>934</v>
      </c>
      <c r="Y150" s="16" t="s">
        <v>934</v>
      </c>
      <c r="Z150" s="16" t="s">
        <v>935</v>
      </c>
      <c r="DA150" s="405" t="s">
        <v>5</v>
      </c>
      <c r="DB150" s="405" t="s">
        <v>363</v>
      </c>
      <c r="DC150" s="406" t="s">
        <v>85</v>
      </c>
      <c r="DD150" s="405" t="s">
        <v>917</v>
      </c>
      <c r="DE150" s="405" t="s">
        <v>5</v>
      </c>
      <c r="DF150" s="406" t="s">
        <v>85</v>
      </c>
      <c r="DG150" s="407">
        <v>45842</v>
      </c>
      <c r="DH150" s="405" t="s">
        <v>8661</v>
      </c>
      <c r="DI150" s="406">
        <v>465455</v>
      </c>
      <c r="DJ150" s="408">
        <v>5</v>
      </c>
      <c r="DK150" s="405">
        <v>1</v>
      </c>
      <c r="DL150" s="82">
        <v>447.02</v>
      </c>
      <c r="DM150" s="409">
        <v>2.2351000000000001</v>
      </c>
      <c r="DN150" s="82" t="s">
        <v>85</v>
      </c>
      <c r="DO150" s="82" t="s">
        <v>85</v>
      </c>
      <c r="DP150" s="410" t="s">
        <v>85</v>
      </c>
    </row>
    <row r="151" spans="1:120" x14ac:dyDescent="0.25">
      <c r="A151" s="16" t="s">
        <v>8667</v>
      </c>
      <c r="B151" s="16" t="s">
        <v>8668</v>
      </c>
      <c r="C151" s="16" t="s">
        <v>8669</v>
      </c>
      <c r="D151" s="16" t="s">
        <v>8645</v>
      </c>
      <c r="E151" s="16" t="s">
        <v>8670</v>
      </c>
      <c r="F151" s="16" t="s">
        <v>8671</v>
      </c>
      <c r="G151" s="16" t="s">
        <v>8672</v>
      </c>
      <c r="H151" s="16" t="s">
        <v>8673</v>
      </c>
      <c r="I151" s="16" t="s">
        <v>1690</v>
      </c>
      <c r="J151" s="16" t="s">
        <v>928</v>
      </c>
      <c r="K151" s="16" t="s">
        <v>1691</v>
      </c>
      <c r="L151" s="16" t="s">
        <v>85</v>
      </c>
      <c r="M151" s="16" t="s">
        <v>1322</v>
      </c>
      <c r="N151" s="16" t="s">
        <v>914</v>
      </c>
      <c r="O151" s="16" t="s">
        <v>1323</v>
      </c>
      <c r="P151" s="16" t="s">
        <v>914</v>
      </c>
      <c r="Q151" s="16" t="s">
        <v>1323</v>
      </c>
      <c r="R151" s="16" t="s">
        <v>915</v>
      </c>
      <c r="S151" s="16" t="s">
        <v>915</v>
      </c>
      <c r="T151" s="16" t="s">
        <v>1322</v>
      </c>
      <c r="U151" s="16" t="s">
        <v>1324</v>
      </c>
      <c r="V151" s="16" t="s">
        <v>916</v>
      </c>
      <c r="W151" s="16" t="s">
        <v>1324</v>
      </c>
      <c r="X151" s="16" t="s">
        <v>934</v>
      </c>
      <c r="Y151" s="16" t="s">
        <v>934</v>
      </c>
      <c r="Z151" s="16" t="s">
        <v>935</v>
      </c>
      <c r="DA151" s="405" t="s">
        <v>5</v>
      </c>
      <c r="DB151" s="405" t="s">
        <v>363</v>
      </c>
      <c r="DC151" s="406" t="s">
        <v>85</v>
      </c>
      <c r="DD151" s="405" t="s">
        <v>917</v>
      </c>
      <c r="DE151" s="405" t="s">
        <v>5</v>
      </c>
      <c r="DF151" s="406" t="s">
        <v>85</v>
      </c>
      <c r="DG151" s="407">
        <v>45842</v>
      </c>
      <c r="DH151" s="405" t="s">
        <v>8670</v>
      </c>
      <c r="DI151" s="406">
        <v>465455</v>
      </c>
      <c r="DJ151" s="408">
        <v>5</v>
      </c>
      <c r="DK151" s="405">
        <v>1</v>
      </c>
      <c r="DL151" s="82">
        <v>332.47</v>
      </c>
      <c r="DM151" s="409">
        <v>1.6623500000000002</v>
      </c>
      <c r="DN151" s="82" t="s">
        <v>85</v>
      </c>
      <c r="DO151" s="82" t="s">
        <v>85</v>
      </c>
      <c r="DP151" s="410" t="s">
        <v>85</v>
      </c>
    </row>
    <row r="152" spans="1:120" x14ac:dyDescent="0.25">
      <c r="A152" s="16" t="s">
        <v>8674</v>
      </c>
      <c r="B152" s="16" t="s">
        <v>8675</v>
      </c>
      <c r="C152" s="16" t="s">
        <v>8676</v>
      </c>
      <c r="D152" s="16" t="s">
        <v>8645</v>
      </c>
      <c r="E152" s="16" t="s">
        <v>8677</v>
      </c>
      <c r="F152" s="16" t="s">
        <v>8678</v>
      </c>
      <c r="G152" s="16" t="s">
        <v>8679</v>
      </c>
      <c r="H152" s="16" t="s">
        <v>8680</v>
      </c>
      <c r="I152" s="16" t="s">
        <v>2271</v>
      </c>
      <c r="J152" s="16" t="s">
        <v>995</v>
      </c>
      <c r="K152" s="16" t="s">
        <v>2272</v>
      </c>
      <c r="L152" s="16" t="s">
        <v>85</v>
      </c>
      <c r="M152" s="16" t="s">
        <v>1165</v>
      </c>
      <c r="N152" s="16" t="s">
        <v>914</v>
      </c>
      <c r="O152" s="16" t="s">
        <v>1166</v>
      </c>
      <c r="P152" s="16" t="s">
        <v>914</v>
      </c>
      <c r="Q152" s="16" t="s">
        <v>1166</v>
      </c>
      <c r="R152" s="16" t="s">
        <v>915</v>
      </c>
      <c r="S152" s="16" t="s">
        <v>915</v>
      </c>
      <c r="T152" s="16" t="s">
        <v>1167</v>
      </c>
      <c r="U152" s="16" t="s">
        <v>1168</v>
      </c>
      <c r="V152" s="16" t="s">
        <v>916</v>
      </c>
      <c r="W152" s="16" t="s">
        <v>1168</v>
      </c>
      <c r="X152" s="16" t="s">
        <v>934</v>
      </c>
      <c r="Y152" s="16" t="s">
        <v>934</v>
      </c>
      <c r="Z152" s="16" t="s">
        <v>935</v>
      </c>
      <c r="DA152" s="405" t="s">
        <v>5</v>
      </c>
      <c r="DB152" s="405" t="s">
        <v>363</v>
      </c>
      <c r="DC152" s="406" t="s">
        <v>85</v>
      </c>
      <c r="DD152" s="405" t="s">
        <v>917</v>
      </c>
      <c r="DE152" s="405" t="s">
        <v>5</v>
      </c>
      <c r="DF152" s="406" t="s">
        <v>85</v>
      </c>
      <c r="DG152" s="407">
        <v>45842</v>
      </c>
      <c r="DH152" s="405" t="s">
        <v>8677</v>
      </c>
      <c r="DI152" s="406">
        <v>465455</v>
      </c>
      <c r="DJ152" s="408">
        <v>5</v>
      </c>
      <c r="DK152" s="405">
        <v>1</v>
      </c>
      <c r="DL152" s="82">
        <v>468.28</v>
      </c>
      <c r="DM152" s="409">
        <v>2.3413999999999997</v>
      </c>
      <c r="DN152" s="82" t="s">
        <v>85</v>
      </c>
      <c r="DO152" s="82" t="s">
        <v>85</v>
      </c>
      <c r="DP152" s="410" t="s">
        <v>85</v>
      </c>
    </row>
    <row r="153" spans="1:120" x14ac:dyDescent="0.25">
      <c r="A153" s="16" t="s">
        <v>8681</v>
      </c>
      <c r="B153" s="16" t="s">
        <v>8682</v>
      </c>
      <c r="C153" s="16" t="s">
        <v>8683</v>
      </c>
      <c r="D153" s="16" t="s">
        <v>8645</v>
      </c>
      <c r="E153" s="16" t="s">
        <v>8684</v>
      </c>
      <c r="F153" s="16" t="s">
        <v>8685</v>
      </c>
      <c r="G153" s="16" t="s">
        <v>8686</v>
      </c>
      <c r="H153" s="16" t="s">
        <v>8687</v>
      </c>
      <c r="I153" s="16" t="s">
        <v>1629</v>
      </c>
      <c r="J153" s="16" t="s">
        <v>1509</v>
      </c>
      <c r="K153" s="16" t="s">
        <v>1630</v>
      </c>
      <c r="L153" s="16" t="s">
        <v>85</v>
      </c>
      <c r="M153" s="16" t="s">
        <v>1511</v>
      </c>
      <c r="N153" s="16" t="s">
        <v>914</v>
      </c>
      <c r="O153" s="16" t="s">
        <v>1512</v>
      </c>
      <c r="P153" s="16" t="s">
        <v>914</v>
      </c>
      <c r="Q153" s="16" t="s">
        <v>1512</v>
      </c>
      <c r="R153" s="16" t="s">
        <v>915</v>
      </c>
      <c r="S153" s="16" t="s">
        <v>915</v>
      </c>
      <c r="T153" s="16" t="s">
        <v>1511</v>
      </c>
      <c r="U153" s="16" t="s">
        <v>1513</v>
      </c>
      <c r="V153" s="16" t="s">
        <v>916</v>
      </c>
      <c r="W153" s="16" t="s">
        <v>1513</v>
      </c>
      <c r="X153" s="16" t="s">
        <v>934</v>
      </c>
      <c r="Y153" s="16" t="s">
        <v>934</v>
      </c>
      <c r="Z153" s="16" t="s">
        <v>935</v>
      </c>
      <c r="DA153" s="405" t="s">
        <v>5</v>
      </c>
      <c r="DB153" s="405" t="s">
        <v>363</v>
      </c>
      <c r="DC153" s="406" t="s">
        <v>85</v>
      </c>
      <c r="DD153" s="405" t="s">
        <v>917</v>
      </c>
      <c r="DE153" s="405" t="s">
        <v>5</v>
      </c>
      <c r="DF153" s="406" t="s">
        <v>85</v>
      </c>
      <c r="DG153" s="407">
        <v>45842</v>
      </c>
      <c r="DH153" s="405" t="s">
        <v>8684</v>
      </c>
      <c r="DI153" s="406">
        <v>465455</v>
      </c>
      <c r="DJ153" s="408">
        <v>5</v>
      </c>
      <c r="DK153" s="405">
        <v>1</v>
      </c>
      <c r="DL153" s="82">
        <v>526.82000000000005</v>
      </c>
      <c r="DM153" s="409">
        <v>2.6341000000000001</v>
      </c>
      <c r="DN153" s="82" t="s">
        <v>85</v>
      </c>
      <c r="DO153" s="82" t="s">
        <v>85</v>
      </c>
      <c r="DP153" s="410" t="s">
        <v>85</v>
      </c>
    </row>
    <row r="154" spans="1:120" x14ac:dyDescent="0.25">
      <c r="A154" s="16" t="s">
        <v>8688</v>
      </c>
      <c r="B154" s="16" t="s">
        <v>8689</v>
      </c>
      <c r="C154" s="16" t="s">
        <v>8690</v>
      </c>
      <c r="D154" s="16" t="s">
        <v>8645</v>
      </c>
      <c r="E154" s="16" t="s">
        <v>8691</v>
      </c>
      <c r="F154" s="16" t="s">
        <v>8692</v>
      </c>
      <c r="G154" s="16" t="s">
        <v>8693</v>
      </c>
      <c r="H154" s="16" t="s">
        <v>8694</v>
      </c>
      <c r="I154" s="16" t="s">
        <v>1007</v>
      </c>
      <c r="J154" s="16" t="s">
        <v>928</v>
      </c>
      <c r="K154" s="16" t="s">
        <v>1008</v>
      </c>
      <c r="L154" s="16" t="s">
        <v>85</v>
      </c>
      <c r="M154" s="16" t="s">
        <v>1322</v>
      </c>
      <c r="N154" s="16" t="s">
        <v>914</v>
      </c>
      <c r="O154" s="16" t="s">
        <v>1323</v>
      </c>
      <c r="P154" s="16" t="s">
        <v>914</v>
      </c>
      <c r="Q154" s="16" t="s">
        <v>1323</v>
      </c>
      <c r="R154" s="16" t="s">
        <v>915</v>
      </c>
      <c r="S154" s="16" t="s">
        <v>915</v>
      </c>
      <c r="T154" s="16" t="s">
        <v>1322</v>
      </c>
      <c r="U154" s="16" t="s">
        <v>1324</v>
      </c>
      <c r="V154" s="16" t="s">
        <v>916</v>
      </c>
      <c r="W154" s="16" t="s">
        <v>1324</v>
      </c>
      <c r="X154" s="16" t="s">
        <v>934</v>
      </c>
      <c r="Y154" s="16" t="s">
        <v>934</v>
      </c>
      <c r="Z154" s="16" t="s">
        <v>935</v>
      </c>
      <c r="DA154" s="405" t="s">
        <v>5</v>
      </c>
      <c r="DB154" s="405" t="s">
        <v>363</v>
      </c>
      <c r="DC154" s="406" t="s">
        <v>85</v>
      </c>
      <c r="DD154" s="405" t="s">
        <v>917</v>
      </c>
      <c r="DE154" s="405" t="s">
        <v>5</v>
      </c>
      <c r="DF154" s="406" t="s">
        <v>85</v>
      </c>
      <c r="DG154" s="407">
        <v>45842</v>
      </c>
      <c r="DH154" s="405" t="s">
        <v>8691</v>
      </c>
      <c r="DI154" s="406">
        <v>465455</v>
      </c>
      <c r="DJ154" s="408">
        <v>5</v>
      </c>
      <c r="DK154" s="405">
        <v>1</v>
      </c>
      <c r="DL154" s="82">
        <v>332.47</v>
      </c>
      <c r="DM154" s="409">
        <v>1.6623500000000002</v>
      </c>
      <c r="DN154" s="82" t="s">
        <v>85</v>
      </c>
      <c r="DO154" s="82" t="s">
        <v>85</v>
      </c>
      <c r="DP154" s="410" t="s">
        <v>85</v>
      </c>
    </row>
    <row r="155" spans="1:120" x14ac:dyDescent="0.25">
      <c r="A155" s="16" t="s">
        <v>8695</v>
      </c>
      <c r="B155" s="16" t="s">
        <v>8696</v>
      </c>
      <c r="C155" s="16" t="s">
        <v>8697</v>
      </c>
      <c r="D155" s="16" t="s">
        <v>8645</v>
      </c>
      <c r="E155" s="16" t="s">
        <v>8698</v>
      </c>
      <c r="F155" s="16" t="s">
        <v>8699</v>
      </c>
      <c r="G155" s="16" t="s">
        <v>8700</v>
      </c>
      <c r="H155" s="16" t="s">
        <v>8699</v>
      </c>
      <c r="I155" s="16" t="s">
        <v>1719</v>
      </c>
      <c r="J155" s="16" t="s">
        <v>943</v>
      </c>
      <c r="K155" s="16" t="s">
        <v>1720</v>
      </c>
      <c r="L155" s="16" t="s">
        <v>85</v>
      </c>
      <c r="M155" s="16" t="s">
        <v>984</v>
      </c>
      <c r="N155" s="16" t="s">
        <v>914</v>
      </c>
      <c r="O155" s="16" t="s">
        <v>985</v>
      </c>
      <c r="P155" s="16" t="s">
        <v>914</v>
      </c>
      <c r="Q155" s="16" t="s">
        <v>985</v>
      </c>
      <c r="R155" s="16" t="s">
        <v>915</v>
      </c>
      <c r="S155" s="16" t="s">
        <v>915</v>
      </c>
      <c r="T155" s="16" t="s">
        <v>986</v>
      </c>
      <c r="U155" s="16" t="s">
        <v>987</v>
      </c>
      <c r="V155" s="16" t="s">
        <v>916</v>
      </c>
      <c r="W155" s="16" t="s">
        <v>987</v>
      </c>
      <c r="X155" s="16" t="s">
        <v>934</v>
      </c>
      <c r="Y155" s="16" t="s">
        <v>934</v>
      </c>
      <c r="Z155" s="16" t="s">
        <v>935</v>
      </c>
      <c r="DA155" s="405" t="s">
        <v>5</v>
      </c>
      <c r="DB155" s="405" t="s">
        <v>363</v>
      </c>
      <c r="DC155" s="406" t="s">
        <v>85</v>
      </c>
      <c r="DD155" s="405" t="s">
        <v>917</v>
      </c>
      <c r="DE155" s="405" t="s">
        <v>5</v>
      </c>
      <c r="DF155" s="406" t="s">
        <v>85</v>
      </c>
      <c r="DG155" s="407">
        <v>45842</v>
      </c>
      <c r="DH155" s="405" t="s">
        <v>8698</v>
      </c>
      <c r="DI155" s="406">
        <v>465455</v>
      </c>
      <c r="DJ155" s="408">
        <v>5</v>
      </c>
      <c r="DK155" s="405">
        <v>1</v>
      </c>
      <c r="DL155" s="82">
        <v>340.55</v>
      </c>
      <c r="DM155" s="409">
        <v>1.70275</v>
      </c>
      <c r="DN155" s="82" t="s">
        <v>85</v>
      </c>
      <c r="DO155" s="82" t="s">
        <v>85</v>
      </c>
      <c r="DP155" s="410" t="s">
        <v>85</v>
      </c>
    </row>
    <row r="156" spans="1:120" x14ac:dyDescent="0.25">
      <c r="A156" s="16" t="s">
        <v>8701</v>
      </c>
      <c r="B156" s="16" t="s">
        <v>8702</v>
      </c>
      <c r="C156" s="16" t="s">
        <v>8703</v>
      </c>
      <c r="D156" s="16" t="s">
        <v>8645</v>
      </c>
      <c r="E156" s="16" t="s">
        <v>8704</v>
      </c>
      <c r="F156" s="16" t="s">
        <v>8705</v>
      </c>
      <c r="G156" s="16" t="s">
        <v>8706</v>
      </c>
      <c r="H156" s="16" t="s">
        <v>8707</v>
      </c>
      <c r="I156" s="16" t="s">
        <v>2822</v>
      </c>
      <c r="J156" s="16" t="s">
        <v>943</v>
      </c>
      <c r="K156" s="16" t="s">
        <v>2823</v>
      </c>
      <c r="L156" s="16" t="s">
        <v>85</v>
      </c>
      <c r="M156" s="16" t="s">
        <v>984</v>
      </c>
      <c r="N156" s="16" t="s">
        <v>914</v>
      </c>
      <c r="O156" s="16" t="s">
        <v>985</v>
      </c>
      <c r="P156" s="16" t="s">
        <v>914</v>
      </c>
      <c r="Q156" s="16" t="s">
        <v>985</v>
      </c>
      <c r="R156" s="16" t="s">
        <v>915</v>
      </c>
      <c r="S156" s="16" t="s">
        <v>915</v>
      </c>
      <c r="T156" s="16" t="s">
        <v>986</v>
      </c>
      <c r="U156" s="16" t="s">
        <v>987</v>
      </c>
      <c r="V156" s="16" t="s">
        <v>916</v>
      </c>
      <c r="W156" s="16" t="s">
        <v>987</v>
      </c>
      <c r="X156" s="16" t="s">
        <v>934</v>
      </c>
      <c r="Y156" s="16" t="s">
        <v>934</v>
      </c>
      <c r="Z156" s="16" t="s">
        <v>935</v>
      </c>
      <c r="DA156" s="405" t="s">
        <v>5</v>
      </c>
      <c r="DB156" s="405" t="s">
        <v>363</v>
      </c>
      <c r="DC156" s="406" t="s">
        <v>85</v>
      </c>
      <c r="DD156" s="405" t="s">
        <v>917</v>
      </c>
      <c r="DE156" s="405" t="s">
        <v>5</v>
      </c>
      <c r="DF156" s="406" t="s">
        <v>85</v>
      </c>
      <c r="DG156" s="407">
        <v>45842</v>
      </c>
      <c r="DH156" s="405" t="s">
        <v>8704</v>
      </c>
      <c r="DI156" s="406">
        <v>465455</v>
      </c>
      <c r="DJ156" s="408">
        <v>5</v>
      </c>
      <c r="DK156" s="405">
        <v>1</v>
      </c>
      <c r="DL156" s="82">
        <v>340.55</v>
      </c>
      <c r="DM156" s="409">
        <v>1.70275</v>
      </c>
      <c r="DN156" s="82" t="s">
        <v>85</v>
      </c>
      <c r="DO156" s="82" t="s">
        <v>85</v>
      </c>
      <c r="DP156" s="410" t="s">
        <v>85</v>
      </c>
    </row>
    <row r="157" spans="1:120" x14ac:dyDescent="0.25">
      <c r="A157" s="16" t="s">
        <v>8708</v>
      </c>
      <c r="B157" s="16" t="s">
        <v>8709</v>
      </c>
      <c r="C157" s="16" t="s">
        <v>8710</v>
      </c>
      <c r="D157" s="16" t="s">
        <v>8645</v>
      </c>
      <c r="E157" s="16" t="s">
        <v>8711</v>
      </c>
      <c r="F157" s="16" t="s">
        <v>8712</v>
      </c>
      <c r="G157" s="16" t="s">
        <v>8713</v>
      </c>
      <c r="H157" s="16" t="s">
        <v>8714</v>
      </c>
      <c r="I157" s="16" t="s">
        <v>1099</v>
      </c>
      <c r="J157" s="16" t="s">
        <v>943</v>
      </c>
      <c r="K157" s="16" t="s">
        <v>1100</v>
      </c>
      <c r="L157" s="16" t="s">
        <v>85</v>
      </c>
      <c r="M157" s="16" t="s">
        <v>984</v>
      </c>
      <c r="N157" s="16" t="s">
        <v>914</v>
      </c>
      <c r="O157" s="16" t="s">
        <v>985</v>
      </c>
      <c r="P157" s="16" t="s">
        <v>914</v>
      </c>
      <c r="Q157" s="16" t="s">
        <v>985</v>
      </c>
      <c r="R157" s="16" t="s">
        <v>915</v>
      </c>
      <c r="S157" s="16" t="s">
        <v>915</v>
      </c>
      <c r="T157" s="16" t="s">
        <v>986</v>
      </c>
      <c r="U157" s="16" t="s">
        <v>987</v>
      </c>
      <c r="V157" s="16" t="s">
        <v>916</v>
      </c>
      <c r="W157" s="16" t="s">
        <v>987</v>
      </c>
      <c r="X157" s="16" t="s">
        <v>934</v>
      </c>
      <c r="Y157" s="16" t="s">
        <v>934</v>
      </c>
      <c r="Z157" s="16" t="s">
        <v>935</v>
      </c>
      <c r="DA157" s="405" t="s">
        <v>5</v>
      </c>
      <c r="DB157" s="405" t="s">
        <v>363</v>
      </c>
      <c r="DC157" s="406" t="s">
        <v>85</v>
      </c>
      <c r="DD157" s="405" t="s">
        <v>917</v>
      </c>
      <c r="DE157" s="405" t="s">
        <v>5</v>
      </c>
      <c r="DF157" s="406" t="s">
        <v>85</v>
      </c>
      <c r="DG157" s="407">
        <v>45842</v>
      </c>
      <c r="DH157" s="405" t="s">
        <v>8711</v>
      </c>
      <c r="DI157" s="406">
        <v>465455</v>
      </c>
      <c r="DJ157" s="408">
        <v>5</v>
      </c>
      <c r="DK157" s="405">
        <v>1</v>
      </c>
      <c r="DL157" s="82">
        <v>340.55</v>
      </c>
      <c r="DM157" s="409">
        <v>1.70275</v>
      </c>
      <c r="DN157" s="82" t="s">
        <v>85</v>
      </c>
      <c r="DO157" s="82" t="s">
        <v>85</v>
      </c>
      <c r="DP157" s="410" t="s">
        <v>85</v>
      </c>
    </row>
    <row r="158" spans="1:120" x14ac:dyDescent="0.25">
      <c r="A158" s="16" t="s">
        <v>8715</v>
      </c>
      <c r="B158" s="16" t="s">
        <v>8716</v>
      </c>
      <c r="C158" s="16" t="s">
        <v>8717</v>
      </c>
      <c r="D158" s="16" t="s">
        <v>8645</v>
      </c>
      <c r="E158" s="16" t="s">
        <v>8718</v>
      </c>
      <c r="F158" s="16" t="s">
        <v>8719</v>
      </c>
      <c r="G158" s="16" t="s">
        <v>8720</v>
      </c>
      <c r="H158" s="16" t="s">
        <v>8721</v>
      </c>
      <c r="I158" s="16" t="s">
        <v>2599</v>
      </c>
      <c r="J158" s="16" t="s">
        <v>2600</v>
      </c>
      <c r="K158" s="16" t="s">
        <v>2601</v>
      </c>
      <c r="L158" s="16" t="s">
        <v>85</v>
      </c>
      <c r="M158" s="16" t="s">
        <v>1955</v>
      </c>
      <c r="N158" s="16" t="s">
        <v>914</v>
      </c>
      <c r="O158" s="16" t="s">
        <v>1039</v>
      </c>
      <c r="P158" s="16" t="s">
        <v>914</v>
      </c>
      <c r="Q158" s="16" t="s">
        <v>1039</v>
      </c>
      <c r="R158" s="16" t="s">
        <v>915</v>
      </c>
      <c r="S158" s="16" t="s">
        <v>915</v>
      </c>
      <c r="T158" s="16" t="s">
        <v>1955</v>
      </c>
      <c r="U158" s="16" t="s">
        <v>1956</v>
      </c>
      <c r="V158" s="16" t="s">
        <v>916</v>
      </c>
      <c r="W158" s="16" t="s">
        <v>1956</v>
      </c>
      <c r="X158" s="16" t="s">
        <v>934</v>
      </c>
      <c r="Y158" s="16" t="s">
        <v>934</v>
      </c>
      <c r="Z158" s="16" t="s">
        <v>935</v>
      </c>
      <c r="DA158" s="405" t="s">
        <v>5</v>
      </c>
      <c r="DB158" s="405" t="s">
        <v>363</v>
      </c>
      <c r="DC158" s="406" t="s">
        <v>85</v>
      </c>
      <c r="DD158" s="405" t="s">
        <v>917</v>
      </c>
      <c r="DE158" s="405" t="s">
        <v>5</v>
      </c>
      <c r="DF158" s="406" t="s">
        <v>85</v>
      </c>
      <c r="DG158" s="407">
        <v>45842</v>
      </c>
      <c r="DH158" s="405" t="s">
        <v>8718</v>
      </c>
      <c r="DI158" s="406">
        <v>465455</v>
      </c>
      <c r="DJ158" s="408">
        <v>5</v>
      </c>
      <c r="DK158" s="405">
        <v>1</v>
      </c>
      <c r="DL158" s="82">
        <v>311.2</v>
      </c>
      <c r="DM158" s="409">
        <v>1.556</v>
      </c>
      <c r="DN158" s="82" t="s">
        <v>85</v>
      </c>
      <c r="DO158" s="82" t="s">
        <v>85</v>
      </c>
      <c r="DP158" s="410" t="s">
        <v>85</v>
      </c>
    </row>
    <row r="159" spans="1:120" x14ac:dyDescent="0.25">
      <c r="A159" s="16" t="s">
        <v>8722</v>
      </c>
      <c r="B159" s="16" t="s">
        <v>8723</v>
      </c>
      <c r="C159" s="16" t="s">
        <v>8724</v>
      </c>
      <c r="D159" s="16" t="s">
        <v>8645</v>
      </c>
      <c r="E159" s="16" t="s">
        <v>8725</v>
      </c>
      <c r="F159" s="16" t="s">
        <v>8726</v>
      </c>
      <c r="G159" s="16" t="s">
        <v>8727</v>
      </c>
      <c r="H159" s="16" t="s">
        <v>8728</v>
      </c>
      <c r="I159" s="16" t="s">
        <v>1090</v>
      </c>
      <c r="J159" s="16" t="s">
        <v>943</v>
      </c>
      <c r="K159" s="16" t="s">
        <v>1091</v>
      </c>
      <c r="L159" s="16" t="s">
        <v>85</v>
      </c>
      <c r="M159" s="16" t="s">
        <v>984</v>
      </c>
      <c r="N159" s="16" t="s">
        <v>914</v>
      </c>
      <c r="O159" s="16" t="s">
        <v>985</v>
      </c>
      <c r="P159" s="16" t="s">
        <v>914</v>
      </c>
      <c r="Q159" s="16" t="s">
        <v>985</v>
      </c>
      <c r="R159" s="16" t="s">
        <v>915</v>
      </c>
      <c r="S159" s="16" t="s">
        <v>915</v>
      </c>
      <c r="T159" s="16" t="s">
        <v>986</v>
      </c>
      <c r="U159" s="16" t="s">
        <v>987</v>
      </c>
      <c r="V159" s="16" t="s">
        <v>916</v>
      </c>
      <c r="W159" s="16" t="s">
        <v>987</v>
      </c>
      <c r="X159" s="16" t="s">
        <v>934</v>
      </c>
      <c r="Y159" s="16" t="s">
        <v>934</v>
      </c>
      <c r="Z159" s="16" t="s">
        <v>935</v>
      </c>
      <c r="DA159" s="405" t="s">
        <v>5</v>
      </c>
      <c r="DB159" s="405" t="s">
        <v>363</v>
      </c>
      <c r="DC159" s="406" t="s">
        <v>85</v>
      </c>
      <c r="DD159" s="405" t="s">
        <v>917</v>
      </c>
      <c r="DE159" s="405" t="s">
        <v>5</v>
      </c>
      <c r="DF159" s="406" t="s">
        <v>85</v>
      </c>
      <c r="DG159" s="407">
        <v>45842</v>
      </c>
      <c r="DH159" s="405" t="s">
        <v>8725</v>
      </c>
      <c r="DI159" s="406">
        <v>465455</v>
      </c>
      <c r="DJ159" s="408">
        <v>5</v>
      </c>
      <c r="DK159" s="405">
        <v>1</v>
      </c>
      <c r="DL159" s="82">
        <v>340.55</v>
      </c>
      <c r="DM159" s="409">
        <v>1.70275</v>
      </c>
      <c r="DN159" s="82" t="s">
        <v>85</v>
      </c>
      <c r="DO159" s="82" t="s">
        <v>85</v>
      </c>
      <c r="DP159" s="410" t="s">
        <v>85</v>
      </c>
    </row>
    <row r="160" spans="1:120" x14ac:dyDescent="0.25">
      <c r="A160" s="16" t="s">
        <v>8729</v>
      </c>
      <c r="B160" s="16" t="s">
        <v>8730</v>
      </c>
      <c r="C160" s="16" t="s">
        <v>8731</v>
      </c>
      <c r="D160" s="16" t="s">
        <v>8645</v>
      </c>
      <c r="E160" s="16" t="s">
        <v>8732</v>
      </c>
      <c r="F160" s="16" t="s">
        <v>8733</v>
      </c>
      <c r="G160" s="16" t="s">
        <v>8734</v>
      </c>
      <c r="H160" s="16" t="s">
        <v>8735</v>
      </c>
      <c r="I160" s="16" t="s">
        <v>1937</v>
      </c>
      <c r="J160" s="16" t="s">
        <v>1036</v>
      </c>
      <c r="K160" s="16" t="s">
        <v>1938</v>
      </c>
      <c r="L160" s="16" t="s">
        <v>85</v>
      </c>
      <c r="M160" s="16" t="s">
        <v>7262</v>
      </c>
      <c r="N160" s="16" t="s">
        <v>914</v>
      </c>
      <c r="O160" s="16" t="s">
        <v>946</v>
      </c>
      <c r="P160" s="16" t="s">
        <v>914</v>
      </c>
      <c r="Q160" s="16" t="s">
        <v>946</v>
      </c>
      <c r="R160" s="16" t="s">
        <v>915</v>
      </c>
      <c r="S160" s="16" t="s">
        <v>915</v>
      </c>
      <c r="T160" s="16" t="s">
        <v>1216</v>
      </c>
      <c r="U160" s="16" t="s">
        <v>1217</v>
      </c>
      <c r="V160" s="16" t="s">
        <v>1763</v>
      </c>
      <c r="W160" s="16" t="s">
        <v>7263</v>
      </c>
      <c r="X160" s="16" t="s">
        <v>934</v>
      </c>
      <c r="Y160" s="16" t="s">
        <v>934</v>
      </c>
      <c r="Z160" s="16" t="s">
        <v>935</v>
      </c>
      <c r="DA160" s="405" t="s">
        <v>5</v>
      </c>
      <c r="DB160" s="405" t="s">
        <v>363</v>
      </c>
      <c r="DC160" s="406" t="s">
        <v>85</v>
      </c>
      <c r="DD160" s="405" t="s">
        <v>917</v>
      </c>
      <c r="DE160" s="405" t="s">
        <v>5</v>
      </c>
      <c r="DF160" s="406" t="s">
        <v>85</v>
      </c>
      <c r="DG160" s="407">
        <v>45842</v>
      </c>
      <c r="DH160" s="405" t="s">
        <v>8732</v>
      </c>
      <c r="DI160" s="406">
        <v>465455</v>
      </c>
      <c r="DJ160" s="408">
        <v>5</v>
      </c>
      <c r="DK160" s="405">
        <v>2</v>
      </c>
      <c r="DL160" s="82">
        <v>319.22000000000003</v>
      </c>
      <c r="DM160" s="409">
        <v>1.5961000000000001</v>
      </c>
      <c r="DN160" s="82" t="s">
        <v>85</v>
      </c>
      <c r="DO160" s="82" t="s">
        <v>85</v>
      </c>
      <c r="DP160" s="410" t="s">
        <v>85</v>
      </c>
    </row>
    <row r="161" spans="1:120" x14ac:dyDescent="0.25">
      <c r="A161" s="16" t="s">
        <v>8736</v>
      </c>
      <c r="B161" s="16" t="s">
        <v>8737</v>
      </c>
      <c r="C161" s="16" t="s">
        <v>8738</v>
      </c>
      <c r="D161" s="16" t="s">
        <v>8645</v>
      </c>
      <c r="E161" s="16" t="s">
        <v>8739</v>
      </c>
      <c r="F161" s="16" t="s">
        <v>8740</v>
      </c>
      <c r="G161" s="16" t="s">
        <v>8741</v>
      </c>
      <c r="H161" s="16" t="s">
        <v>8740</v>
      </c>
      <c r="I161" s="16" t="s">
        <v>1236</v>
      </c>
      <c r="J161" s="16" t="s">
        <v>1123</v>
      </c>
      <c r="K161" s="16" t="s">
        <v>1237</v>
      </c>
      <c r="L161" s="16" t="s">
        <v>85</v>
      </c>
      <c r="M161" s="16" t="s">
        <v>1238</v>
      </c>
      <c r="N161" s="16" t="s">
        <v>914</v>
      </c>
      <c r="O161" s="16" t="s">
        <v>1239</v>
      </c>
      <c r="P161" s="16" t="s">
        <v>914</v>
      </c>
      <c r="Q161" s="16" t="s">
        <v>1239</v>
      </c>
      <c r="R161" s="16" t="s">
        <v>915</v>
      </c>
      <c r="S161" s="16" t="s">
        <v>915</v>
      </c>
      <c r="T161" s="16" t="s">
        <v>1238</v>
      </c>
      <c r="U161" s="16" t="s">
        <v>1240</v>
      </c>
      <c r="V161" s="16" t="s">
        <v>916</v>
      </c>
      <c r="W161" s="16" t="s">
        <v>1240</v>
      </c>
      <c r="X161" s="16" t="s">
        <v>934</v>
      </c>
      <c r="Y161" s="16" t="s">
        <v>934</v>
      </c>
      <c r="Z161" s="16" t="s">
        <v>935</v>
      </c>
      <c r="DA161" s="405" t="s">
        <v>5</v>
      </c>
      <c r="DB161" s="405" t="s">
        <v>363</v>
      </c>
      <c r="DC161" s="406" t="s">
        <v>85</v>
      </c>
      <c r="DD161" s="405" t="s">
        <v>917</v>
      </c>
      <c r="DE161" s="405" t="s">
        <v>5</v>
      </c>
      <c r="DF161" s="406" t="s">
        <v>85</v>
      </c>
      <c r="DG161" s="407">
        <v>45842</v>
      </c>
      <c r="DH161" s="405" t="s">
        <v>8739</v>
      </c>
      <c r="DI161" s="406">
        <v>465455</v>
      </c>
      <c r="DJ161" s="408">
        <v>5</v>
      </c>
      <c r="DK161" s="405">
        <v>1</v>
      </c>
      <c r="DL161" s="82">
        <v>383.16</v>
      </c>
      <c r="DM161" s="409">
        <v>1.9158000000000002</v>
      </c>
      <c r="DN161" s="82" t="s">
        <v>85</v>
      </c>
      <c r="DO161" s="82" t="s">
        <v>85</v>
      </c>
      <c r="DP161" s="410" t="s">
        <v>85</v>
      </c>
    </row>
    <row r="162" spans="1:120" x14ac:dyDescent="0.25">
      <c r="A162" s="16" t="s">
        <v>8742</v>
      </c>
      <c r="B162" s="16" t="s">
        <v>8743</v>
      </c>
      <c r="C162" s="16" t="s">
        <v>8744</v>
      </c>
      <c r="D162" s="16" t="s">
        <v>8645</v>
      </c>
      <c r="E162" s="16" t="s">
        <v>8745</v>
      </c>
      <c r="F162" s="16" t="s">
        <v>8746</v>
      </c>
      <c r="G162" s="16" t="s">
        <v>8747</v>
      </c>
      <c r="H162" s="16" t="s">
        <v>8746</v>
      </c>
      <c r="I162" s="16" t="s">
        <v>1765</v>
      </c>
      <c r="J162" s="16" t="s">
        <v>943</v>
      </c>
      <c r="K162" s="16" t="s">
        <v>1766</v>
      </c>
      <c r="L162" s="16" t="s">
        <v>85</v>
      </c>
      <c r="M162" s="16" t="s">
        <v>984</v>
      </c>
      <c r="N162" s="16" t="s">
        <v>914</v>
      </c>
      <c r="O162" s="16" t="s">
        <v>985</v>
      </c>
      <c r="P162" s="16" t="s">
        <v>914</v>
      </c>
      <c r="Q162" s="16" t="s">
        <v>985</v>
      </c>
      <c r="R162" s="16" t="s">
        <v>915</v>
      </c>
      <c r="S162" s="16" t="s">
        <v>915</v>
      </c>
      <c r="T162" s="16" t="s">
        <v>986</v>
      </c>
      <c r="U162" s="16" t="s">
        <v>987</v>
      </c>
      <c r="V162" s="16" t="s">
        <v>916</v>
      </c>
      <c r="W162" s="16" t="s">
        <v>987</v>
      </c>
      <c r="X162" s="16" t="s">
        <v>934</v>
      </c>
      <c r="Y162" s="16" t="s">
        <v>934</v>
      </c>
      <c r="Z162" s="16" t="s">
        <v>935</v>
      </c>
      <c r="DA162" s="405" t="s">
        <v>5</v>
      </c>
      <c r="DB162" s="405" t="s">
        <v>363</v>
      </c>
      <c r="DC162" s="406" t="s">
        <v>85</v>
      </c>
      <c r="DD162" s="405" t="s">
        <v>917</v>
      </c>
      <c r="DE162" s="405" t="s">
        <v>5</v>
      </c>
      <c r="DF162" s="406" t="s">
        <v>85</v>
      </c>
      <c r="DG162" s="407">
        <v>45842</v>
      </c>
      <c r="DH162" s="405" t="s">
        <v>8745</v>
      </c>
      <c r="DI162" s="406">
        <v>465455</v>
      </c>
      <c r="DJ162" s="408">
        <v>5</v>
      </c>
      <c r="DK162" s="405">
        <v>1</v>
      </c>
      <c r="DL162" s="82">
        <v>340.55</v>
      </c>
      <c r="DM162" s="409">
        <v>1.70275</v>
      </c>
      <c r="DN162" s="82" t="s">
        <v>85</v>
      </c>
      <c r="DO162" s="82" t="s">
        <v>85</v>
      </c>
      <c r="DP162" s="410" t="s">
        <v>85</v>
      </c>
    </row>
    <row r="163" spans="1:120" x14ac:dyDescent="0.25">
      <c r="A163" s="16" t="s">
        <v>8748</v>
      </c>
      <c r="B163" s="16" t="s">
        <v>8749</v>
      </c>
      <c r="C163" s="16" t="s">
        <v>8750</v>
      </c>
      <c r="D163" s="16" t="s">
        <v>8645</v>
      </c>
      <c r="E163" s="16" t="s">
        <v>8751</v>
      </c>
      <c r="F163" s="16" t="s">
        <v>8752</v>
      </c>
      <c r="G163" s="16" t="s">
        <v>8753</v>
      </c>
      <c r="H163" s="16" t="s">
        <v>8752</v>
      </c>
      <c r="I163" s="16" t="s">
        <v>1099</v>
      </c>
      <c r="J163" s="16" t="s">
        <v>943</v>
      </c>
      <c r="K163" s="16" t="s">
        <v>1100</v>
      </c>
      <c r="L163" s="16" t="s">
        <v>85</v>
      </c>
      <c r="M163" s="16" t="s">
        <v>984</v>
      </c>
      <c r="N163" s="16" t="s">
        <v>914</v>
      </c>
      <c r="O163" s="16" t="s">
        <v>985</v>
      </c>
      <c r="P163" s="16" t="s">
        <v>914</v>
      </c>
      <c r="Q163" s="16" t="s">
        <v>985</v>
      </c>
      <c r="R163" s="16" t="s">
        <v>915</v>
      </c>
      <c r="S163" s="16" t="s">
        <v>915</v>
      </c>
      <c r="T163" s="16" t="s">
        <v>986</v>
      </c>
      <c r="U163" s="16" t="s">
        <v>987</v>
      </c>
      <c r="V163" s="16" t="s">
        <v>916</v>
      </c>
      <c r="W163" s="16" t="s">
        <v>987</v>
      </c>
      <c r="X163" s="16" t="s">
        <v>934</v>
      </c>
      <c r="Y163" s="16" t="s">
        <v>934</v>
      </c>
      <c r="Z163" s="16" t="s">
        <v>935</v>
      </c>
      <c r="DA163" s="405" t="s">
        <v>5</v>
      </c>
      <c r="DB163" s="405" t="s">
        <v>363</v>
      </c>
      <c r="DC163" s="406" t="s">
        <v>85</v>
      </c>
      <c r="DD163" s="405" t="s">
        <v>917</v>
      </c>
      <c r="DE163" s="405" t="s">
        <v>5</v>
      </c>
      <c r="DF163" s="406" t="s">
        <v>85</v>
      </c>
      <c r="DG163" s="407">
        <v>45842</v>
      </c>
      <c r="DH163" s="405" t="s">
        <v>8751</v>
      </c>
      <c r="DI163" s="406">
        <v>465455</v>
      </c>
      <c r="DJ163" s="408">
        <v>5</v>
      </c>
      <c r="DK163" s="405">
        <v>1</v>
      </c>
      <c r="DL163" s="82">
        <v>340.55</v>
      </c>
      <c r="DM163" s="409">
        <v>1.70275</v>
      </c>
      <c r="DN163" s="82" t="s">
        <v>85</v>
      </c>
      <c r="DO163" s="82" t="s">
        <v>85</v>
      </c>
      <c r="DP163" s="410" t="s">
        <v>85</v>
      </c>
    </row>
    <row r="164" spans="1:120" x14ac:dyDescent="0.25">
      <c r="A164" s="16" t="s">
        <v>8748</v>
      </c>
      <c r="B164" s="16" t="s">
        <v>8749</v>
      </c>
      <c r="C164" s="16" t="s">
        <v>8750</v>
      </c>
      <c r="D164" s="16" t="s">
        <v>8645</v>
      </c>
      <c r="E164" s="16" t="s">
        <v>8751</v>
      </c>
      <c r="F164" s="16" t="s">
        <v>8752</v>
      </c>
      <c r="G164" s="16" t="s">
        <v>8753</v>
      </c>
      <c r="H164" s="16" t="s">
        <v>8752</v>
      </c>
      <c r="I164" s="16" t="s">
        <v>2822</v>
      </c>
      <c r="J164" s="16" t="s">
        <v>943</v>
      </c>
      <c r="K164" s="16" t="s">
        <v>2823</v>
      </c>
      <c r="L164" s="16" t="s">
        <v>85</v>
      </c>
      <c r="M164" s="16" t="s">
        <v>984</v>
      </c>
      <c r="N164" s="16" t="s">
        <v>914</v>
      </c>
      <c r="O164" s="16" t="s">
        <v>985</v>
      </c>
      <c r="P164" s="16" t="s">
        <v>914</v>
      </c>
      <c r="Q164" s="16" t="s">
        <v>985</v>
      </c>
      <c r="R164" s="16" t="s">
        <v>915</v>
      </c>
      <c r="S164" s="16" t="s">
        <v>915</v>
      </c>
      <c r="T164" s="16" t="s">
        <v>986</v>
      </c>
      <c r="U164" s="16" t="s">
        <v>987</v>
      </c>
      <c r="V164" s="16" t="s">
        <v>916</v>
      </c>
      <c r="W164" s="16" t="s">
        <v>987</v>
      </c>
      <c r="X164" s="16" t="s">
        <v>934</v>
      </c>
      <c r="Y164" s="16" t="s">
        <v>934</v>
      </c>
      <c r="Z164" s="16" t="s">
        <v>935</v>
      </c>
      <c r="DA164" s="405" t="s">
        <v>5</v>
      </c>
      <c r="DB164" s="405" t="s">
        <v>363</v>
      </c>
      <c r="DC164" s="406" t="s">
        <v>85</v>
      </c>
      <c r="DD164" s="405" t="s">
        <v>917</v>
      </c>
      <c r="DE164" s="405" t="s">
        <v>5</v>
      </c>
      <c r="DF164" s="406" t="s">
        <v>85</v>
      </c>
      <c r="DG164" s="407">
        <v>45842</v>
      </c>
      <c r="DH164" s="405" t="s">
        <v>8751</v>
      </c>
      <c r="DI164" s="406">
        <v>465455</v>
      </c>
      <c r="DJ164" s="408">
        <v>5</v>
      </c>
      <c r="DK164" s="405">
        <v>1</v>
      </c>
      <c r="DL164" s="82">
        <v>340.55</v>
      </c>
      <c r="DM164" s="409">
        <v>1.70275</v>
      </c>
      <c r="DN164" s="82" t="s">
        <v>85</v>
      </c>
      <c r="DO164" s="82" t="s">
        <v>85</v>
      </c>
      <c r="DP164" s="410" t="s">
        <v>85</v>
      </c>
    </row>
    <row r="165" spans="1:120" x14ac:dyDescent="0.25">
      <c r="A165" s="16" t="s">
        <v>8754</v>
      </c>
      <c r="B165" s="16" t="s">
        <v>8755</v>
      </c>
      <c r="C165" s="16" t="s">
        <v>8756</v>
      </c>
      <c r="D165" s="16" t="s">
        <v>8645</v>
      </c>
      <c r="E165" s="16" t="s">
        <v>8757</v>
      </c>
      <c r="F165" s="16" t="s">
        <v>8758</v>
      </c>
      <c r="G165" s="16" t="s">
        <v>8759</v>
      </c>
      <c r="H165" s="16" t="s">
        <v>8760</v>
      </c>
      <c r="I165" s="16" t="s">
        <v>2690</v>
      </c>
      <c r="J165" s="16" t="s">
        <v>1123</v>
      </c>
      <c r="K165" s="16" t="s">
        <v>2691</v>
      </c>
      <c r="L165" s="16" t="s">
        <v>85</v>
      </c>
      <c r="M165" s="16" t="s">
        <v>1238</v>
      </c>
      <c r="N165" s="16" t="s">
        <v>914</v>
      </c>
      <c r="O165" s="16" t="s">
        <v>1239</v>
      </c>
      <c r="P165" s="16" t="s">
        <v>914</v>
      </c>
      <c r="Q165" s="16" t="s">
        <v>1239</v>
      </c>
      <c r="R165" s="16" t="s">
        <v>915</v>
      </c>
      <c r="S165" s="16" t="s">
        <v>915</v>
      </c>
      <c r="T165" s="16" t="s">
        <v>1238</v>
      </c>
      <c r="U165" s="16" t="s">
        <v>1240</v>
      </c>
      <c r="V165" s="16" t="s">
        <v>916</v>
      </c>
      <c r="W165" s="16" t="s">
        <v>1240</v>
      </c>
      <c r="X165" s="16" t="s">
        <v>934</v>
      </c>
      <c r="Y165" s="16" t="s">
        <v>934</v>
      </c>
      <c r="Z165" s="16" t="s">
        <v>935</v>
      </c>
      <c r="DA165" s="405" t="s">
        <v>5</v>
      </c>
      <c r="DB165" s="405" t="s">
        <v>363</v>
      </c>
      <c r="DC165" s="406" t="s">
        <v>85</v>
      </c>
      <c r="DD165" s="405" t="s">
        <v>917</v>
      </c>
      <c r="DE165" s="405" t="s">
        <v>5</v>
      </c>
      <c r="DF165" s="406" t="s">
        <v>85</v>
      </c>
      <c r="DG165" s="407">
        <v>45842</v>
      </c>
      <c r="DH165" s="405" t="s">
        <v>8757</v>
      </c>
      <c r="DI165" s="406">
        <v>465455</v>
      </c>
      <c r="DJ165" s="408">
        <v>5</v>
      </c>
      <c r="DK165" s="405">
        <v>1</v>
      </c>
      <c r="DL165" s="82">
        <v>383.16</v>
      </c>
      <c r="DM165" s="409">
        <v>1.9158000000000002</v>
      </c>
      <c r="DN165" s="82" t="s">
        <v>85</v>
      </c>
      <c r="DO165" s="82" t="s">
        <v>85</v>
      </c>
      <c r="DP165" s="410" t="s">
        <v>85</v>
      </c>
    </row>
    <row r="166" spans="1:120" x14ac:dyDescent="0.25">
      <c r="A166" s="16" t="s">
        <v>8761</v>
      </c>
      <c r="B166" s="16" t="s">
        <v>8762</v>
      </c>
      <c r="C166" s="16" t="s">
        <v>8763</v>
      </c>
      <c r="D166" s="16" t="s">
        <v>8645</v>
      </c>
      <c r="E166" s="16" t="s">
        <v>8764</v>
      </c>
      <c r="F166" s="16" t="s">
        <v>8765</v>
      </c>
      <c r="G166" s="16" t="s">
        <v>8766</v>
      </c>
      <c r="H166" s="16" t="s">
        <v>8765</v>
      </c>
      <c r="I166" s="16" t="s">
        <v>8767</v>
      </c>
      <c r="J166" s="16" t="s">
        <v>8068</v>
      </c>
      <c r="K166" s="16" t="s">
        <v>8768</v>
      </c>
      <c r="L166" s="16" t="s">
        <v>85</v>
      </c>
      <c r="M166" s="16" t="s">
        <v>2046</v>
      </c>
      <c r="N166" s="16" t="s">
        <v>914</v>
      </c>
      <c r="O166" s="16" t="s">
        <v>1239</v>
      </c>
      <c r="P166" s="16" t="s">
        <v>914</v>
      </c>
      <c r="Q166" s="16" t="s">
        <v>1239</v>
      </c>
      <c r="R166" s="16" t="s">
        <v>915</v>
      </c>
      <c r="S166" s="16" t="s">
        <v>915</v>
      </c>
      <c r="T166" s="16" t="s">
        <v>2047</v>
      </c>
      <c r="U166" s="16" t="s">
        <v>2048</v>
      </c>
      <c r="V166" s="16" t="s">
        <v>916</v>
      </c>
      <c r="W166" s="16" t="s">
        <v>2048</v>
      </c>
      <c r="X166" s="16" t="s">
        <v>934</v>
      </c>
      <c r="Y166" s="16" t="s">
        <v>934</v>
      </c>
      <c r="Z166" s="16" t="s">
        <v>935</v>
      </c>
      <c r="DA166" s="405" t="s">
        <v>5</v>
      </c>
      <c r="DB166" s="405" t="s">
        <v>363</v>
      </c>
      <c r="DC166" s="406" t="s">
        <v>85</v>
      </c>
      <c r="DD166" s="405" t="s">
        <v>917</v>
      </c>
      <c r="DE166" s="405" t="s">
        <v>5</v>
      </c>
      <c r="DF166" s="406" t="s">
        <v>85</v>
      </c>
      <c r="DG166" s="407">
        <v>45842</v>
      </c>
      <c r="DH166" s="405" t="s">
        <v>8764</v>
      </c>
      <c r="DI166" s="406">
        <v>465455</v>
      </c>
      <c r="DJ166" s="408">
        <v>5</v>
      </c>
      <c r="DK166" s="405">
        <v>1</v>
      </c>
      <c r="DL166" s="82">
        <v>383.08</v>
      </c>
      <c r="DM166" s="409">
        <v>1.9154</v>
      </c>
      <c r="DN166" s="82" t="s">
        <v>85</v>
      </c>
      <c r="DO166" s="82" t="s">
        <v>85</v>
      </c>
      <c r="DP166" s="410" t="s">
        <v>85</v>
      </c>
    </row>
    <row r="167" spans="1:120" x14ac:dyDescent="0.25">
      <c r="A167" s="16" t="s">
        <v>8769</v>
      </c>
      <c r="B167" s="16" t="s">
        <v>8770</v>
      </c>
      <c r="C167" s="16" t="s">
        <v>8771</v>
      </c>
      <c r="D167" s="16" t="s">
        <v>8645</v>
      </c>
      <c r="E167" s="16" t="s">
        <v>8772</v>
      </c>
      <c r="F167" s="16" t="s">
        <v>8773</v>
      </c>
      <c r="G167" s="16" t="s">
        <v>8774</v>
      </c>
      <c r="H167" s="16" t="s">
        <v>8775</v>
      </c>
      <c r="I167" s="16" t="s">
        <v>5185</v>
      </c>
      <c r="J167" s="16" t="s">
        <v>928</v>
      </c>
      <c r="K167" s="16" t="s">
        <v>5186</v>
      </c>
      <c r="L167" s="16" t="s">
        <v>85</v>
      </c>
      <c r="M167" s="16" t="s">
        <v>1322</v>
      </c>
      <c r="N167" s="16" t="s">
        <v>914</v>
      </c>
      <c r="O167" s="16" t="s">
        <v>1323</v>
      </c>
      <c r="P167" s="16" t="s">
        <v>914</v>
      </c>
      <c r="Q167" s="16" t="s">
        <v>1323</v>
      </c>
      <c r="R167" s="16" t="s">
        <v>915</v>
      </c>
      <c r="S167" s="16" t="s">
        <v>915</v>
      </c>
      <c r="T167" s="16" t="s">
        <v>1322</v>
      </c>
      <c r="U167" s="16" t="s">
        <v>1324</v>
      </c>
      <c r="V167" s="16" t="s">
        <v>916</v>
      </c>
      <c r="W167" s="16" t="s">
        <v>1324</v>
      </c>
      <c r="X167" s="16" t="s">
        <v>934</v>
      </c>
      <c r="Y167" s="16" t="s">
        <v>934</v>
      </c>
      <c r="Z167" s="16" t="s">
        <v>935</v>
      </c>
      <c r="DA167" s="405" t="s">
        <v>5</v>
      </c>
      <c r="DB167" s="405" t="s">
        <v>363</v>
      </c>
      <c r="DC167" s="406" t="s">
        <v>85</v>
      </c>
      <c r="DD167" s="405" t="s">
        <v>917</v>
      </c>
      <c r="DE167" s="405" t="s">
        <v>5</v>
      </c>
      <c r="DF167" s="406" t="s">
        <v>85</v>
      </c>
      <c r="DG167" s="407">
        <v>45842</v>
      </c>
      <c r="DH167" s="405" t="s">
        <v>8772</v>
      </c>
      <c r="DI167" s="406">
        <v>465455</v>
      </c>
      <c r="DJ167" s="408">
        <v>5</v>
      </c>
      <c r="DK167" s="405">
        <v>1</v>
      </c>
      <c r="DL167" s="82">
        <v>332.47</v>
      </c>
      <c r="DM167" s="409">
        <v>1.6623500000000002</v>
      </c>
      <c r="DN167" s="82" t="s">
        <v>85</v>
      </c>
      <c r="DO167" s="82" t="s">
        <v>85</v>
      </c>
      <c r="DP167" s="410" t="s">
        <v>85</v>
      </c>
    </row>
    <row r="168" spans="1:120" x14ac:dyDescent="0.25">
      <c r="A168" s="16" t="s">
        <v>8776</v>
      </c>
      <c r="B168" s="16" t="s">
        <v>8777</v>
      </c>
      <c r="C168" s="16" t="s">
        <v>8778</v>
      </c>
      <c r="D168" s="16" t="s">
        <v>8645</v>
      </c>
      <c r="E168" s="16" t="s">
        <v>8779</v>
      </c>
      <c r="F168" s="16" t="s">
        <v>8780</v>
      </c>
      <c r="G168" s="16" t="s">
        <v>8781</v>
      </c>
      <c r="H168" s="16" t="s">
        <v>8782</v>
      </c>
      <c r="I168" s="16" t="s">
        <v>1287</v>
      </c>
      <c r="J168" s="16" t="s">
        <v>943</v>
      </c>
      <c r="K168" s="16" t="s">
        <v>1288</v>
      </c>
      <c r="L168" s="16" t="s">
        <v>85</v>
      </c>
      <c r="M168" s="16" t="s">
        <v>984</v>
      </c>
      <c r="N168" s="16" t="s">
        <v>914</v>
      </c>
      <c r="O168" s="16" t="s">
        <v>985</v>
      </c>
      <c r="P168" s="16" t="s">
        <v>914</v>
      </c>
      <c r="Q168" s="16" t="s">
        <v>985</v>
      </c>
      <c r="R168" s="16" t="s">
        <v>915</v>
      </c>
      <c r="S168" s="16" t="s">
        <v>915</v>
      </c>
      <c r="T168" s="16" t="s">
        <v>986</v>
      </c>
      <c r="U168" s="16" t="s">
        <v>987</v>
      </c>
      <c r="V168" s="16" t="s">
        <v>916</v>
      </c>
      <c r="W168" s="16" t="s">
        <v>987</v>
      </c>
      <c r="X168" s="16" t="s">
        <v>934</v>
      </c>
      <c r="Y168" s="16" t="s">
        <v>934</v>
      </c>
      <c r="Z168" s="16" t="s">
        <v>935</v>
      </c>
      <c r="DA168" s="405" t="s">
        <v>5</v>
      </c>
      <c r="DB168" s="405" t="s">
        <v>363</v>
      </c>
      <c r="DC168" s="406" t="s">
        <v>85</v>
      </c>
      <c r="DD168" s="405" t="s">
        <v>917</v>
      </c>
      <c r="DE168" s="405" t="s">
        <v>5</v>
      </c>
      <c r="DF168" s="406" t="s">
        <v>85</v>
      </c>
      <c r="DG168" s="407">
        <v>45842</v>
      </c>
      <c r="DH168" s="405" t="s">
        <v>8779</v>
      </c>
      <c r="DI168" s="406">
        <v>465455</v>
      </c>
      <c r="DJ168" s="408">
        <v>5</v>
      </c>
      <c r="DK168" s="405">
        <v>1</v>
      </c>
      <c r="DL168" s="82">
        <v>340.55</v>
      </c>
      <c r="DM168" s="409">
        <v>1.70275</v>
      </c>
      <c r="DN168" s="82" t="s">
        <v>85</v>
      </c>
      <c r="DO168" s="82" t="s">
        <v>85</v>
      </c>
      <c r="DP168" s="410" t="s">
        <v>85</v>
      </c>
    </row>
    <row r="169" spans="1:120" x14ac:dyDescent="0.25">
      <c r="A169" s="16" t="s">
        <v>8783</v>
      </c>
      <c r="B169" s="16" t="s">
        <v>8784</v>
      </c>
      <c r="C169" s="16" t="s">
        <v>8785</v>
      </c>
      <c r="D169" s="16" t="s">
        <v>8645</v>
      </c>
      <c r="E169" s="16" t="s">
        <v>8786</v>
      </c>
      <c r="F169" s="16" t="s">
        <v>8787</v>
      </c>
      <c r="G169" s="16" t="s">
        <v>8788</v>
      </c>
      <c r="H169" s="16" t="s">
        <v>8789</v>
      </c>
      <c r="I169" s="16" t="s">
        <v>1090</v>
      </c>
      <c r="J169" s="16" t="s">
        <v>943</v>
      </c>
      <c r="K169" s="16" t="s">
        <v>1091</v>
      </c>
      <c r="L169" s="16" t="s">
        <v>85</v>
      </c>
      <c r="M169" s="16" t="s">
        <v>984</v>
      </c>
      <c r="N169" s="16" t="s">
        <v>914</v>
      </c>
      <c r="O169" s="16" t="s">
        <v>985</v>
      </c>
      <c r="P169" s="16" t="s">
        <v>914</v>
      </c>
      <c r="Q169" s="16" t="s">
        <v>985</v>
      </c>
      <c r="R169" s="16" t="s">
        <v>915</v>
      </c>
      <c r="S169" s="16" t="s">
        <v>915</v>
      </c>
      <c r="T169" s="16" t="s">
        <v>986</v>
      </c>
      <c r="U169" s="16" t="s">
        <v>987</v>
      </c>
      <c r="V169" s="16" t="s">
        <v>916</v>
      </c>
      <c r="W169" s="16" t="s">
        <v>987</v>
      </c>
      <c r="X169" s="16" t="s">
        <v>934</v>
      </c>
      <c r="Y169" s="16" t="s">
        <v>934</v>
      </c>
      <c r="Z169" s="16" t="s">
        <v>935</v>
      </c>
      <c r="DA169" s="405" t="s">
        <v>5</v>
      </c>
      <c r="DB169" s="405" t="s">
        <v>363</v>
      </c>
      <c r="DC169" s="406" t="s">
        <v>85</v>
      </c>
      <c r="DD169" s="405" t="s">
        <v>917</v>
      </c>
      <c r="DE169" s="405" t="s">
        <v>5</v>
      </c>
      <c r="DF169" s="406" t="s">
        <v>85</v>
      </c>
      <c r="DG169" s="407">
        <v>45842</v>
      </c>
      <c r="DH169" s="405" t="s">
        <v>8786</v>
      </c>
      <c r="DI169" s="406">
        <v>465455</v>
      </c>
      <c r="DJ169" s="408">
        <v>5</v>
      </c>
      <c r="DK169" s="405">
        <v>1</v>
      </c>
      <c r="DL169" s="82">
        <v>340.55</v>
      </c>
      <c r="DM169" s="409">
        <v>1.70275</v>
      </c>
      <c r="DN169" s="82" t="s">
        <v>85</v>
      </c>
      <c r="DO169" s="82" t="s">
        <v>85</v>
      </c>
      <c r="DP169" s="410" t="s">
        <v>85</v>
      </c>
    </row>
    <row r="170" spans="1:120" x14ac:dyDescent="0.25">
      <c r="A170" s="16" t="s">
        <v>8790</v>
      </c>
      <c r="B170" s="16" t="s">
        <v>8791</v>
      </c>
      <c r="C170" s="16" t="s">
        <v>8792</v>
      </c>
      <c r="D170" s="16" t="s">
        <v>8645</v>
      </c>
      <c r="E170" s="16" t="s">
        <v>8793</v>
      </c>
      <c r="F170" s="16" t="s">
        <v>8794</v>
      </c>
      <c r="G170" s="16" t="s">
        <v>8795</v>
      </c>
      <c r="H170" s="16" t="s">
        <v>8796</v>
      </c>
      <c r="I170" s="16" t="s">
        <v>2997</v>
      </c>
      <c r="J170" s="16" t="s">
        <v>943</v>
      </c>
      <c r="K170" s="16" t="s">
        <v>2998</v>
      </c>
      <c r="L170" s="16" t="s">
        <v>85</v>
      </c>
      <c r="M170" s="16" t="s">
        <v>984</v>
      </c>
      <c r="N170" s="16" t="s">
        <v>914</v>
      </c>
      <c r="O170" s="16" t="s">
        <v>985</v>
      </c>
      <c r="P170" s="16" t="s">
        <v>914</v>
      </c>
      <c r="Q170" s="16" t="s">
        <v>985</v>
      </c>
      <c r="R170" s="16" t="s">
        <v>915</v>
      </c>
      <c r="S170" s="16" t="s">
        <v>915</v>
      </c>
      <c r="T170" s="16" t="s">
        <v>986</v>
      </c>
      <c r="U170" s="16" t="s">
        <v>987</v>
      </c>
      <c r="V170" s="16" t="s">
        <v>916</v>
      </c>
      <c r="W170" s="16" t="s">
        <v>987</v>
      </c>
      <c r="X170" s="16" t="s">
        <v>934</v>
      </c>
      <c r="Y170" s="16" t="s">
        <v>934</v>
      </c>
      <c r="Z170" s="16" t="s">
        <v>935</v>
      </c>
      <c r="DA170" s="405" t="s">
        <v>5</v>
      </c>
      <c r="DB170" s="405" t="s">
        <v>363</v>
      </c>
      <c r="DC170" s="406" t="s">
        <v>85</v>
      </c>
      <c r="DD170" s="405" t="s">
        <v>917</v>
      </c>
      <c r="DE170" s="405" t="s">
        <v>5</v>
      </c>
      <c r="DF170" s="406" t="s">
        <v>85</v>
      </c>
      <c r="DG170" s="407">
        <v>45842</v>
      </c>
      <c r="DH170" s="405" t="s">
        <v>8793</v>
      </c>
      <c r="DI170" s="406">
        <v>465455</v>
      </c>
      <c r="DJ170" s="408">
        <v>5</v>
      </c>
      <c r="DK170" s="405">
        <v>1</v>
      </c>
      <c r="DL170" s="82">
        <v>340.55</v>
      </c>
      <c r="DM170" s="409">
        <v>1.70275</v>
      </c>
      <c r="DN170" s="82" t="s">
        <v>85</v>
      </c>
      <c r="DO170" s="82" t="s">
        <v>85</v>
      </c>
      <c r="DP170" s="410" t="s">
        <v>85</v>
      </c>
    </row>
    <row r="171" spans="1:120" x14ac:dyDescent="0.25">
      <c r="A171" s="16" t="s">
        <v>8790</v>
      </c>
      <c r="B171" s="16" t="s">
        <v>8791</v>
      </c>
      <c r="C171" s="16" t="s">
        <v>8792</v>
      </c>
      <c r="D171" s="16" t="s">
        <v>8645</v>
      </c>
      <c r="E171" s="16" t="s">
        <v>8793</v>
      </c>
      <c r="F171" s="16" t="s">
        <v>8794</v>
      </c>
      <c r="G171" s="16" t="s">
        <v>8795</v>
      </c>
      <c r="H171" s="16" t="s">
        <v>8796</v>
      </c>
      <c r="I171" s="16" t="s">
        <v>4273</v>
      </c>
      <c r="J171" s="16" t="s">
        <v>943</v>
      </c>
      <c r="K171" s="16" t="s">
        <v>4274</v>
      </c>
      <c r="L171" s="16" t="s">
        <v>85</v>
      </c>
      <c r="M171" s="16" t="s">
        <v>984</v>
      </c>
      <c r="N171" s="16" t="s">
        <v>914</v>
      </c>
      <c r="O171" s="16" t="s">
        <v>985</v>
      </c>
      <c r="P171" s="16" t="s">
        <v>914</v>
      </c>
      <c r="Q171" s="16" t="s">
        <v>985</v>
      </c>
      <c r="R171" s="16" t="s">
        <v>915</v>
      </c>
      <c r="S171" s="16" t="s">
        <v>915</v>
      </c>
      <c r="T171" s="16" t="s">
        <v>986</v>
      </c>
      <c r="U171" s="16" t="s">
        <v>987</v>
      </c>
      <c r="V171" s="16" t="s">
        <v>916</v>
      </c>
      <c r="W171" s="16" t="s">
        <v>987</v>
      </c>
      <c r="X171" s="16" t="s">
        <v>934</v>
      </c>
      <c r="Y171" s="16" t="s">
        <v>934</v>
      </c>
      <c r="Z171" s="16" t="s">
        <v>935</v>
      </c>
      <c r="DA171" s="405" t="s">
        <v>5</v>
      </c>
      <c r="DB171" s="405" t="s">
        <v>363</v>
      </c>
      <c r="DC171" s="406" t="s">
        <v>85</v>
      </c>
      <c r="DD171" s="405" t="s">
        <v>917</v>
      </c>
      <c r="DE171" s="405" t="s">
        <v>5</v>
      </c>
      <c r="DF171" s="406" t="s">
        <v>85</v>
      </c>
      <c r="DG171" s="407">
        <v>45842</v>
      </c>
      <c r="DH171" s="405" t="s">
        <v>8793</v>
      </c>
      <c r="DI171" s="406">
        <v>465455</v>
      </c>
      <c r="DJ171" s="408">
        <v>5</v>
      </c>
      <c r="DK171" s="405">
        <v>1</v>
      </c>
      <c r="DL171" s="82">
        <v>340.55</v>
      </c>
      <c r="DM171" s="409">
        <v>1.70275</v>
      </c>
      <c r="DN171" s="82" t="s">
        <v>85</v>
      </c>
      <c r="DO171" s="82" t="s">
        <v>85</v>
      </c>
      <c r="DP171" s="410" t="s">
        <v>85</v>
      </c>
    </row>
    <row r="172" spans="1:120" x14ac:dyDescent="0.25">
      <c r="A172" s="16" t="s">
        <v>8797</v>
      </c>
      <c r="B172" s="16" t="s">
        <v>8798</v>
      </c>
      <c r="C172" s="16" t="s">
        <v>8799</v>
      </c>
      <c r="D172" s="16" t="s">
        <v>8645</v>
      </c>
      <c r="E172" s="16" t="s">
        <v>8800</v>
      </c>
      <c r="F172" s="16" t="s">
        <v>8801</v>
      </c>
      <c r="G172" s="16" t="s">
        <v>8802</v>
      </c>
      <c r="H172" s="16" t="s">
        <v>8803</v>
      </c>
      <c r="I172" s="16" t="s">
        <v>1638</v>
      </c>
      <c r="J172" s="16" t="s">
        <v>943</v>
      </c>
      <c r="K172" s="16" t="s">
        <v>1639</v>
      </c>
      <c r="L172" s="16" t="s">
        <v>85</v>
      </c>
      <c r="M172" s="16" t="s">
        <v>984</v>
      </c>
      <c r="N172" s="16" t="s">
        <v>914</v>
      </c>
      <c r="O172" s="16" t="s">
        <v>985</v>
      </c>
      <c r="P172" s="16" t="s">
        <v>914</v>
      </c>
      <c r="Q172" s="16" t="s">
        <v>985</v>
      </c>
      <c r="R172" s="16" t="s">
        <v>915</v>
      </c>
      <c r="S172" s="16" t="s">
        <v>915</v>
      </c>
      <c r="T172" s="16" t="s">
        <v>986</v>
      </c>
      <c r="U172" s="16" t="s">
        <v>987</v>
      </c>
      <c r="V172" s="16" t="s">
        <v>916</v>
      </c>
      <c r="W172" s="16" t="s">
        <v>987</v>
      </c>
      <c r="X172" s="16" t="s">
        <v>934</v>
      </c>
      <c r="Y172" s="16" t="s">
        <v>934</v>
      </c>
      <c r="Z172" s="16" t="s">
        <v>935</v>
      </c>
      <c r="DA172" s="405" t="s">
        <v>5</v>
      </c>
      <c r="DB172" s="405" t="s">
        <v>363</v>
      </c>
      <c r="DC172" s="406" t="s">
        <v>85</v>
      </c>
      <c r="DD172" s="405" t="s">
        <v>917</v>
      </c>
      <c r="DE172" s="405" t="s">
        <v>5</v>
      </c>
      <c r="DF172" s="406" t="s">
        <v>85</v>
      </c>
      <c r="DG172" s="407">
        <v>45842</v>
      </c>
      <c r="DH172" s="405" t="s">
        <v>8800</v>
      </c>
      <c r="DI172" s="406">
        <v>465455</v>
      </c>
      <c r="DJ172" s="408">
        <v>5</v>
      </c>
      <c r="DK172" s="405">
        <v>1</v>
      </c>
      <c r="DL172" s="82">
        <v>340.55</v>
      </c>
      <c r="DM172" s="409">
        <v>1.70275</v>
      </c>
      <c r="DN172" s="82" t="s">
        <v>85</v>
      </c>
      <c r="DO172" s="82" t="s">
        <v>85</v>
      </c>
      <c r="DP172" s="410" t="s">
        <v>85</v>
      </c>
    </row>
    <row r="173" spans="1:120" x14ac:dyDescent="0.25">
      <c r="A173" s="16" t="s">
        <v>8804</v>
      </c>
      <c r="B173" s="16" t="s">
        <v>8805</v>
      </c>
      <c r="C173" s="16" t="s">
        <v>8806</v>
      </c>
      <c r="D173" s="16" t="s">
        <v>8645</v>
      </c>
      <c r="E173" s="16" t="s">
        <v>8807</v>
      </c>
      <c r="F173" s="16" t="s">
        <v>8808</v>
      </c>
      <c r="G173" s="16" t="s">
        <v>8809</v>
      </c>
      <c r="H173" s="16" t="s">
        <v>8810</v>
      </c>
      <c r="I173" s="16" t="s">
        <v>1414</v>
      </c>
      <c r="J173" s="16" t="s">
        <v>1109</v>
      </c>
      <c r="K173" s="16" t="s">
        <v>1415</v>
      </c>
      <c r="L173" s="16" t="s">
        <v>85</v>
      </c>
      <c r="M173" s="16" t="s">
        <v>1311</v>
      </c>
      <c r="N173" s="16" t="s">
        <v>914</v>
      </c>
      <c r="O173" s="16" t="s">
        <v>1312</v>
      </c>
      <c r="P173" s="16" t="s">
        <v>914</v>
      </c>
      <c r="Q173" s="16" t="s">
        <v>1312</v>
      </c>
      <c r="R173" s="16" t="s">
        <v>915</v>
      </c>
      <c r="S173" s="16" t="s">
        <v>915</v>
      </c>
      <c r="T173" s="16" t="s">
        <v>1311</v>
      </c>
      <c r="U173" s="16" t="s">
        <v>1313</v>
      </c>
      <c r="V173" s="16" t="s">
        <v>916</v>
      </c>
      <c r="W173" s="16" t="s">
        <v>1313</v>
      </c>
      <c r="X173" s="16" t="s">
        <v>934</v>
      </c>
      <c r="Y173" s="16" t="s">
        <v>934</v>
      </c>
      <c r="Z173" s="16" t="s">
        <v>935</v>
      </c>
      <c r="DA173" s="405" t="s">
        <v>5</v>
      </c>
      <c r="DB173" s="405" t="s">
        <v>363</v>
      </c>
      <c r="DC173" s="406" t="s">
        <v>85</v>
      </c>
      <c r="DD173" s="405" t="s">
        <v>917</v>
      </c>
      <c r="DE173" s="405" t="s">
        <v>5</v>
      </c>
      <c r="DF173" s="406" t="s">
        <v>85</v>
      </c>
      <c r="DG173" s="407">
        <v>45842</v>
      </c>
      <c r="DH173" s="405" t="s">
        <v>8807</v>
      </c>
      <c r="DI173" s="406">
        <v>465455</v>
      </c>
      <c r="DJ173" s="408">
        <v>5</v>
      </c>
      <c r="DK173" s="405">
        <v>1</v>
      </c>
      <c r="DL173" s="82">
        <v>531.54</v>
      </c>
      <c r="DM173" s="409">
        <v>2.6576999999999997</v>
      </c>
      <c r="DN173" s="82" t="s">
        <v>85</v>
      </c>
      <c r="DO173" s="82" t="s">
        <v>85</v>
      </c>
      <c r="DP173" s="410" t="s">
        <v>85</v>
      </c>
    </row>
    <row r="174" spans="1:120" x14ac:dyDescent="0.25">
      <c r="A174" s="16" t="s">
        <v>8811</v>
      </c>
      <c r="B174" s="16" t="s">
        <v>8812</v>
      </c>
      <c r="C174" s="16" t="s">
        <v>8813</v>
      </c>
      <c r="D174" s="16" t="s">
        <v>8645</v>
      </c>
      <c r="E174" s="16" t="s">
        <v>8814</v>
      </c>
      <c r="F174" s="16" t="s">
        <v>8815</v>
      </c>
      <c r="G174" s="16" t="s">
        <v>8816</v>
      </c>
      <c r="H174" s="16" t="s">
        <v>8817</v>
      </c>
      <c r="I174" s="16" t="s">
        <v>1929</v>
      </c>
      <c r="J174" s="16" t="s">
        <v>995</v>
      </c>
      <c r="K174" s="16" t="s">
        <v>1930</v>
      </c>
      <c r="L174" s="16" t="s">
        <v>85</v>
      </c>
      <c r="M174" s="16" t="s">
        <v>1165</v>
      </c>
      <c r="N174" s="16" t="s">
        <v>914</v>
      </c>
      <c r="O174" s="16" t="s">
        <v>1166</v>
      </c>
      <c r="P174" s="16" t="s">
        <v>914</v>
      </c>
      <c r="Q174" s="16" t="s">
        <v>1166</v>
      </c>
      <c r="R174" s="16" t="s">
        <v>915</v>
      </c>
      <c r="S174" s="16" t="s">
        <v>915</v>
      </c>
      <c r="T174" s="16" t="s">
        <v>1167</v>
      </c>
      <c r="U174" s="16" t="s">
        <v>1168</v>
      </c>
      <c r="V174" s="16" t="s">
        <v>916</v>
      </c>
      <c r="W174" s="16" t="s">
        <v>1168</v>
      </c>
      <c r="X174" s="16" t="s">
        <v>934</v>
      </c>
      <c r="Y174" s="16" t="s">
        <v>934</v>
      </c>
      <c r="Z174" s="16" t="s">
        <v>935</v>
      </c>
      <c r="DA174" s="405" t="s">
        <v>5</v>
      </c>
      <c r="DB174" s="405" t="s">
        <v>363</v>
      </c>
      <c r="DC174" s="406" t="s">
        <v>85</v>
      </c>
      <c r="DD174" s="405" t="s">
        <v>917</v>
      </c>
      <c r="DE174" s="405" t="s">
        <v>5</v>
      </c>
      <c r="DF174" s="406" t="s">
        <v>85</v>
      </c>
      <c r="DG174" s="407">
        <v>45842</v>
      </c>
      <c r="DH174" s="405" t="s">
        <v>8814</v>
      </c>
      <c r="DI174" s="406">
        <v>465455</v>
      </c>
      <c r="DJ174" s="408">
        <v>5</v>
      </c>
      <c r="DK174" s="405">
        <v>1</v>
      </c>
      <c r="DL174" s="82">
        <v>468.28</v>
      </c>
      <c r="DM174" s="409">
        <v>2.3413999999999997</v>
      </c>
      <c r="DN174" s="82" t="s">
        <v>85</v>
      </c>
      <c r="DO174" s="82" t="s">
        <v>85</v>
      </c>
      <c r="DP174" s="410" t="s">
        <v>85</v>
      </c>
    </row>
    <row r="175" spans="1:120" x14ac:dyDescent="0.25">
      <c r="A175" s="16" t="s">
        <v>8818</v>
      </c>
      <c r="B175" s="16" t="s">
        <v>8819</v>
      </c>
      <c r="C175" s="16" t="s">
        <v>8820</v>
      </c>
      <c r="D175" s="16" t="s">
        <v>8645</v>
      </c>
      <c r="E175" s="16" t="s">
        <v>8821</v>
      </c>
      <c r="F175" s="16" t="s">
        <v>8822</v>
      </c>
      <c r="G175" s="16" t="s">
        <v>8823</v>
      </c>
      <c r="H175" s="16" t="s">
        <v>8824</v>
      </c>
      <c r="I175" s="16" t="s">
        <v>1150</v>
      </c>
      <c r="J175" s="16" t="s">
        <v>943</v>
      </c>
      <c r="K175" s="16" t="s">
        <v>1151</v>
      </c>
      <c r="L175" s="16" t="s">
        <v>85</v>
      </c>
      <c r="M175" s="16" t="s">
        <v>984</v>
      </c>
      <c r="N175" s="16" t="s">
        <v>914</v>
      </c>
      <c r="O175" s="16" t="s">
        <v>985</v>
      </c>
      <c r="P175" s="16" t="s">
        <v>914</v>
      </c>
      <c r="Q175" s="16" t="s">
        <v>985</v>
      </c>
      <c r="R175" s="16" t="s">
        <v>915</v>
      </c>
      <c r="S175" s="16" t="s">
        <v>915</v>
      </c>
      <c r="T175" s="16" t="s">
        <v>986</v>
      </c>
      <c r="U175" s="16" t="s">
        <v>987</v>
      </c>
      <c r="V175" s="16" t="s">
        <v>916</v>
      </c>
      <c r="W175" s="16" t="s">
        <v>987</v>
      </c>
      <c r="X175" s="16" t="s">
        <v>934</v>
      </c>
      <c r="Y175" s="16" t="s">
        <v>934</v>
      </c>
      <c r="Z175" s="16" t="s">
        <v>935</v>
      </c>
      <c r="DA175" s="405" t="s">
        <v>5</v>
      </c>
      <c r="DB175" s="405" t="s">
        <v>363</v>
      </c>
      <c r="DC175" s="406" t="s">
        <v>85</v>
      </c>
      <c r="DD175" s="405" t="s">
        <v>917</v>
      </c>
      <c r="DE175" s="405" t="s">
        <v>5</v>
      </c>
      <c r="DF175" s="406" t="s">
        <v>85</v>
      </c>
      <c r="DG175" s="407">
        <v>45842</v>
      </c>
      <c r="DH175" s="405" t="s">
        <v>8821</v>
      </c>
      <c r="DI175" s="406">
        <v>465455</v>
      </c>
      <c r="DJ175" s="408">
        <v>5</v>
      </c>
      <c r="DK175" s="405">
        <v>1</v>
      </c>
      <c r="DL175" s="82">
        <v>340.55</v>
      </c>
      <c r="DM175" s="409">
        <v>1.70275</v>
      </c>
      <c r="DN175" s="82" t="s">
        <v>85</v>
      </c>
      <c r="DO175" s="82" t="s">
        <v>85</v>
      </c>
      <c r="DP175" s="410" t="s">
        <v>85</v>
      </c>
    </row>
    <row r="176" spans="1:120" x14ac:dyDescent="0.25">
      <c r="A176" s="16" t="s">
        <v>8825</v>
      </c>
      <c r="B176" s="16" t="s">
        <v>8826</v>
      </c>
      <c r="C176" s="16" t="s">
        <v>8827</v>
      </c>
      <c r="D176" s="16" t="s">
        <v>8645</v>
      </c>
      <c r="E176" s="16" t="s">
        <v>8828</v>
      </c>
      <c r="F176" s="16" t="s">
        <v>8829</v>
      </c>
      <c r="G176" s="16" t="s">
        <v>8830</v>
      </c>
      <c r="H176" s="16" t="s">
        <v>8831</v>
      </c>
      <c r="I176" s="16" t="s">
        <v>2093</v>
      </c>
      <c r="J176" s="16" t="s">
        <v>928</v>
      </c>
      <c r="K176" s="16" t="s">
        <v>2094</v>
      </c>
      <c r="L176" s="16" t="s">
        <v>85</v>
      </c>
      <c r="M176" s="16" t="s">
        <v>1322</v>
      </c>
      <c r="N176" s="16" t="s">
        <v>914</v>
      </c>
      <c r="O176" s="16" t="s">
        <v>1323</v>
      </c>
      <c r="P176" s="16" t="s">
        <v>914</v>
      </c>
      <c r="Q176" s="16" t="s">
        <v>1323</v>
      </c>
      <c r="R176" s="16" t="s">
        <v>915</v>
      </c>
      <c r="S176" s="16" t="s">
        <v>915</v>
      </c>
      <c r="T176" s="16" t="s">
        <v>1322</v>
      </c>
      <c r="U176" s="16" t="s">
        <v>1324</v>
      </c>
      <c r="V176" s="16" t="s">
        <v>916</v>
      </c>
      <c r="W176" s="16" t="s">
        <v>1324</v>
      </c>
      <c r="X176" s="16" t="s">
        <v>934</v>
      </c>
      <c r="Y176" s="16" t="s">
        <v>934</v>
      </c>
      <c r="Z176" s="16" t="s">
        <v>935</v>
      </c>
      <c r="DA176" s="405" t="s">
        <v>5</v>
      </c>
      <c r="DB176" s="405" t="s">
        <v>363</v>
      </c>
      <c r="DC176" s="406" t="s">
        <v>85</v>
      </c>
      <c r="DD176" s="405" t="s">
        <v>917</v>
      </c>
      <c r="DE176" s="405" t="s">
        <v>5</v>
      </c>
      <c r="DF176" s="406" t="s">
        <v>85</v>
      </c>
      <c r="DG176" s="407">
        <v>45842</v>
      </c>
      <c r="DH176" s="405" t="s">
        <v>8828</v>
      </c>
      <c r="DI176" s="406">
        <v>465455</v>
      </c>
      <c r="DJ176" s="408">
        <v>5</v>
      </c>
      <c r="DK176" s="405">
        <v>1</v>
      </c>
      <c r="DL176" s="82">
        <v>332.47</v>
      </c>
      <c r="DM176" s="409">
        <v>1.6623500000000002</v>
      </c>
      <c r="DN176" s="82" t="s">
        <v>85</v>
      </c>
      <c r="DO176" s="82" t="s">
        <v>85</v>
      </c>
      <c r="DP176" s="410" t="s">
        <v>85</v>
      </c>
    </row>
    <row r="177" spans="1:120" x14ac:dyDescent="0.25">
      <c r="A177" s="16" t="s">
        <v>8832</v>
      </c>
      <c r="B177" s="16" t="s">
        <v>8833</v>
      </c>
      <c r="C177" s="16" t="s">
        <v>8834</v>
      </c>
      <c r="D177" s="16" t="s">
        <v>8645</v>
      </c>
      <c r="E177" s="16" t="s">
        <v>8835</v>
      </c>
      <c r="F177" s="16" t="s">
        <v>8836</v>
      </c>
      <c r="G177" s="16" t="s">
        <v>8837</v>
      </c>
      <c r="H177" s="16" t="s">
        <v>8838</v>
      </c>
      <c r="I177" s="16" t="s">
        <v>968</v>
      </c>
      <c r="J177" s="16" t="s">
        <v>943</v>
      </c>
      <c r="K177" s="16" t="s">
        <v>969</v>
      </c>
      <c r="L177" s="16" t="s">
        <v>85</v>
      </c>
      <c r="M177" s="16" t="s">
        <v>984</v>
      </c>
      <c r="N177" s="16" t="s">
        <v>914</v>
      </c>
      <c r="O177" s="16" t="s">
        <v>985</v>
      </c>
      <c r="P177" s="16" t="s">
        <v>914</v>
      </c>
      <c r="Q177" s="16" t="s">
        <v>985</v>
      </c>
      <c r="R177" s="16" t="s">
        <v>915</v>
      </c>
      <c r="S177" s="16" t="s">
        <v>915</v>
      </c>
      <c r="T177" s="16" t="s">
        <v>986</v>
      </c>
      <c r="U177" s="16" t="s">
        <v>987</v>
      </c>
      <c r="V177" s="16" t="s">
        <v>916</v>
      </c>
      <c r="W177" s="16" t="s">
        <v>987</v>
      </c>
      <c r="X177" s="16" t="s">
        <v>934</v>
      </c>
      <c r="Y177" s="16" t="s">
        <v>934</v>
      </c>
      <c r="Z177" s="16" t="s">
        <v>935</v>
      </c>
      <c r="DA177" s="405" t="s">
        <v>5</v>
      </c>
      <c r="DB177" s="405" t="s">
        <v>363</v>
      </c>
      <c r="DC177" s="406" t="s">
        <v>85</v>
      </c>
      <c r="DD177" s="405" t="s">
        <v>917</v>
      </c>
      <c r="DE177" s="405" t="s">
        <v>5</v>
      </c>
      <c r="DF177" s="406" t="s">
        <v>85</v>
      </c>
      <c r="DG177" s="407">
        <v>45842</v>
      </c>
      <c r="DH177" s="405" t="s">
        <v>8835</v>
      </c>
      <c r="DI177" s="406">
        <v>465455</v>
      </c>
      <c r="DJ177" s="408">
        <v>5</v>
      </c>
      <c r="DK177" s="405">
        <v>1</v>
      </c>
      <c r="DL177" s="82">
        <v>340.55</v>
      </c>
      <c r="DM177" s="409">
        <v>1.70275</v>
      </c>
      <c r="DN177" s="82" t="s">
        <v>85</v>
      </c>
      <c r="DO177" s="82" t="s">
        <v>85</v>
      </c>
      <c r="DP177" s="410" t="s">
        <v>85</v>
      </c>
    </row>
    <row r="178" spans="1:120" x14ac:dyDescent="0.25">
      <c r="A178" s="16" t="s">
        <v>8839</v>
      </c>
      <c r="B178" s="16" t="s">
        <v>8840</v>
      </c>
      <c r="C178" s="16" t="s">
        <v>8841</v>
      </c>
      <c r="D178" s="16" t="s">
        <v>8645</v>
      </c>
      <c r="E178" s="16" t="s">
        <v>8842</v>
      </c>
      <c r="F178" s="16" t="s">
        <v>8843</v>
      </c>
      <c r="G178" s="16" t="s">
        <v>8844</v>
      </c>
      <c r="H178" s="16" t="s">
        <v>8843</v>
      </c>
      <c r="I178" s="16" t="s">
        <v>2556</v>
      </c>
      <c r="J178" s="16" t="s">
        <v>928</v>
      </c>
      <c r="K178" s="16" t="s">
        <v>2557</v>
      </c>
      <c r="L178" s="16" t="s">
        <v>85</v>
      </c>
      <c r="M178" s="16" t="s">
        <v>1322</v>
      </c>
      <c r="N178" s="16" t="s">
        <v>914</v>
      </c>
      <c r="O178" s="16" t="s">
        <v>1323</v>
      </c>
      <c r="P178" s="16" t="s">
        <v>914</v>
      </c>
      <c r="Q178" s="16" t="s">
        <v>1323</v>
      </c>
      <c r="R178" s="16" t="s">
        <v>915</v>
      </c>
      <c r="S178" s="16" t="s">
        <v>915</v>
      </c>
      <c r="T178" s="16" t="s">
        <v>1322</v>
      </c>
      <c r="U178" s="16" t="s">
        <v>1324</v>
      </c>
      <c r="V178" s="16" t="s">
        <v>916</v>
      </c>
      <c r="W178" s="16" t="s">
        <v>1324</v>
      </c>
      <c r="X178" s="16" t="s">
        <v>934</v>
      </c>
      <c r="Y178" s="16" t="s">
        <v>934</v>
      </c>
      <c r="Z178" s="16" t="s">
        <v>935</v>
      </c>
      <c r="DA178" s="405" t="s">
        <v>5</v>
      </c>
      <c r="DB178" s="405" t="s">
        <v>363</v>
      </c>
      <c r="DC178" s="406" t="s">
        <v>85</v>
      </c>
      <c r="DD178" s="405" t="s">
        <v>917</v>
      </c>
      <c r="DE178" s="405" t="s">
        <v>5</v>
      </c>
      <c r="DF178" s="406" t="s">
        <v>85</v>
      </c>
      <c r="DG178" s="407">
        <v>45842</v>
      </c>
      <c r="DH178" s="405" t="s">
        <v>8842</v>
      </c>
      <c r="DI178" s="406">
        <v>465455</v>
      </c>
      <c r="DJ178" s="408">
        <v>5</v>
      </c>
      <c r="DK178" s="405">
        <v>1</v>
      </c>
      <c r="DL178" s="82">
        <v>332.47</v>
      </c>
      <c r="DM178" s="409">
        <v>1.6623500000000002</v>
      </c>
      <c r="DN178" s="82" t="s">
        <v>85</v>
      </c>
      <c r="DO178" s="82" t="s">
        <v>85</v>
      </c>
      <c r="DP178" s="410" t="s">
        <v>85</v>
      </c>
    </row>
    <row r="179" spans="1:120" x14ac:dyDescent="0.25">
      <c r="A179" s="16" t="s">
        <v>8845</v>
      </c>
      <c r="B179" s="16" t="s">
        <v>8846</v>
      </c>
      <c r="C179" s="16" t="s">
        <v>8847</v>
      </c>
      <c r="D179" s="16" t="s">
        <v>8645</v>
      </c>
      <c r="E179" s="16" t="s">
        <v>8848</v>
      </c>
      <c r="F179" s="16" t="s">
        <v>8849</v>
      </c>
      <c r="G179" s="16" t="s">
        <v>8850</v>
      </c>
      <c r="H179" s="16" t="s">
        <v>8851</v>
      </c>
      <c r="I179" s="16" t="s">
        <v>1075</v>
      </c>
      <c r="J179" s="16" t="s">
        <v>1036</v>
      </c>
      <c r="K179" s="16" t="s">
        <v>1076</v>
      </c>
      <c r="L179" s="16" t="s">
        <v>85</v>
      </c>
      <c r="M179" s="16" t="s">
        <v>1216</v>
      </c>
      <c r="N179" s="16" t="s">
        <v>914</v>
      </c>
      <c r="O179" s="16" t="s">
        <v>946</v>
      </c>
      <c r="P179" s="16" t="s">
        <v>914</v>
      </c>
      <c r="Q179" s="16" t="s">
        <v>946</v>
      </c>
      <c r="R179" s="16" t="s">
        <v>915</v>
      </c>
      <c r="S179" s="16" t="s">
        <v>915</v>
      </c>
      <c r="T179" s="16" t="s">
        <v>1216</v>
      </c>
      <c r="U179" s="16" t="s">
        <v>1217</v>
      </c>
      <c r="V179" s="16" t="s">
        <v>916</v>
      </c>
      <c r="W179" s="16" t="s">
        <v>1217</v>
      </c>
      <c r="X179" s="16" t="s">
        <v>934</v>
      </c>
      <c r="Y179" s="16" t="s">
        <v>934</v>
      </c>
      <c r="Z179" s="16" t="s">
        <v>935</v>
      </c>
      <c r="DA179" s="405" t="s">
        <v>5</v>
      </c>
      <c r="DB179" s="405" t="s">
        <v>363</v>
      </c>
      <c r="DC179" s="406" t="s">
        <v>85</v>
      </c>
      <c r="DD179" s="405" t="s">
        <v>917</v>
      </c>
      <c r="DE179" s="405" t="s">
        <v>5</v>
      </c>
      <c r="DF179" s="406" t="s">
        <v>85</v>
      </c>
      <c r="DG179" s="407">
        <v>45842</v>
      </c>
      <c r="DH179" s="405" t="s">
        <v>8848</v>
      </c>
      <c r="DI179" s="406">
        <v>465455</v>
      </c>
      <c r="DJ179" s="408">
        <v>5</v>
      </c>
      <c r="DK179" s="405">
        <v>1</v>
      </c>
      <c r="DL179" s="82">
        <v>319.22000000000003</v>
      </c>
      <c r="DM179" s="409">
        <v>1.5961000000000001</v>
      </c>
      <c r="DN179" s="82" t="s">
        <v>85</v>
      </c>
      <c r="DO179" s="82" t="s">
        <v>85</v>
      </c>
      <c r="DP179" s="410" t="s">
        <v>85</v>
      </c>
    </row>
    <row r="180" spans="1:120" x14ac:dyDescent="0.25">
      <c r="A180" s="16" t="s">
        <v>8852</v>
      </c>
      <c r="B180" s="16" t="s">
        <v>8853</v>
      </c>
      <c r="C180" s="16" t="s">
        <v>8854</v>
      </c>
      <c r="D180" s="16" t="s">
        <v>8645</v>
      </c>
      <c r="E180" s="16" t="s">
        <v>8855</v>
      </c>
      <c r="F180" s="16" t="s">
        <v>8856</v>
      </c>
      <c r="G180" s="16" t="s">
        <v>8857</v>
      </c>
      <c r="H180" s="16" t="s">
        <v>8856</v>
      </c>
      <c r="I180" s="16" t="s">
        <v>968</v>
      </c>
      <c r="J180" s="16" t="s">
        <v>943</v>
      </c>
      <c r="K180" s="16" t="s">
        <v>969</v>
      </c>
      <c r="L180" s="16" t="s">
        <v>85</v>
      </c>
      <c r="M180" s="16" t="s">
        <v>984</v>
      </c>
      <c r="N180" s="16" t="s">
        <v>914</v>
      </c>
      <c r="O180" s="16" t="s">
        <v>985</v>
      </c>
      <c r="P180" s="16" t="s">
        <v>914</v>
      </c>
      <c r="Q180" s="16" t="s">
        <v>985</v>
      </c>
      <c r="R180" s="16" t="s">
        <v>915</v>
      </c>
      <c r="S180" s="16" t="s">
        <v>915</v>
      </c>
      <c r="T180" s="16" t="s">
        <v>986</v>
      </c>
      <c r="U180" s="16" t="s">
        <v>987</v>
      </c>
      <c r="V180" s="16" t="s">
        <v>916</v>
      </c>
      <c r="W180" s="16" t="s">
        <v>987</v>
      </c>
      <c r="X180" s="16" t="s">
        <v>934</v>
      </c>
      <c r="Y180" s="16" t="s">
        <v>934</v>
      </c>
      <c r="Z180" s="16" t="s">
        <v>935</v>
      </c>
      <c r="DA180" s="405" t="s">
        <v>5</v>
      </c>
      <c r="DB180" s="405" t="s">
        <v>363</v>
      </c>
      <c r="DC180" s="406" t="s">
        <v>85</v>
      </c>
      <c r="DD180" s="405" t="s">
        <v>917</v>
      </c>
      <c r="DE180" s="405" t="s">
        <v>5</v>
      </c>
      <c r="DF180" s="406" t="s">
        <v>85</v>
      </c>
      <c r="DG180" s="407">
        <v>45842</v>
      </c>
      <c r="DH180" s="405" t="s">
        <v>8855</v>
      </c>
      <c r="DI180" s="406">
        <v>465455</v>
      </c>
      <c r="DJ180" s="408">
        <v>5</v>
      </c>
      <c r="DK180" s="405">
        <v>1</v>
      </c>
      <c r="DL180" s="82">
        <v>340.55</v>
      </c>
      <c r="DM180" s="409">
        <v>1.70275</v>
      </c>
      <c r="DN180" s="82" t="s">
        <v>85</v>
      </c>
      <c r="DO180" s="82" t="s">
        <v>85</v>
      </c>
      <c r="DP180" s="410" t="s">
        <v>85</v>
      </c>
    </row>
    <row r="181" spans="1:120" x14ac:dyDescent="0.25">
      <c r="A181" s="16" t="s">
        <v>8858</v>
      </c>
      <c r="B181" s="16" t="s">
        <v>8859</v>
      </c>
      <c r="C181" s="16" t="s">
        <v>8860</v>
      </c>
      <c r="D181" s="16" t="s">
        <v>8645</v>
      </c>
      <c r="E181" s="16" t="s">
        <v>8861</v>
      </c>
      <c r="F181" s="16" t="s">
        <v>8862</v>
      </c>
      <c r="G181" s="16" t="s">
        <v>8863</v>
      </c>
      <c r="H181" s="16" t="s">
        <v>8864</v>
      </c>
      <c r="I181" s="16" t="s">
        <v>6098</v>
      </c>
      <c r="J181" s="16" t="s">
        <v>928</v>
      </c>
      <c r="K181" s="16" t="s">
        <v>6099</v>
      </c>
      <c r="L181" s="16" t="s">
        <v>85</v>
      </c>
      <c r="M181" s="16" t="s">
        <v>1322</v>
      </c>
      <c r="N181" s="16" t="s">
        <v>914</v>
      </c>
      <c r="O181" s="16" t="s">
        <v>1323</v>
      </c>
      <c r="P181" s="16" t="s">
        <v>914</v>
      </c>
      <c r="Q181" s="16" t="s">
        <v>1323</v>
      </c>
      <c r="R181" s="16" t="s">
        <v>915</v>
      </c>
      <c r="S181" s="16" t="s">
        <v>915</v>
      </c>
      <c r="T181" s="16" t="s">
        <v>1322</v>
      </c>
      <c r="U181" s="16" t="s">
        <v>1324</v>
      </c>
      <c r="V181" s="16" t="s">
        <v>916</v>
      </c>
      <c r="W181" s="16" t="s">
        <v>1324</v>
      </c>
      <c r="X181" s="16" t="s">
        <v>934</v>
      </c>
      <c r="Y181" s="16" t="s">
        <v>934</v>
      </c>
      <c r="Z181" s="16" t="s">
        <v>935</v>
      </c>
      <c r="DA181" s="405" t="s">
        <v>5</v>
      </c>
      <c r="DB181" s="405" t="s">
        <v>363</v>
      </c>
      <c r="DC181" s="406" t="s">
        <v>85</v>
      </c>
      <c r="DD181" s="405" t="s">
        <v>917</v>
      </c>
      <c r="DE181" s="405" t="s">
        <v>5</v>
      </c>
      <c r="DF181" s="406" t="s">
        <v>85</v>
      </c>
      <c r="DG181" s="407">
        <v>45842</v>
      </c>
      <c r="DH181" s="405" t="s">
        <v>8861</v>
      </c>
      <c r="DI181" s="406">
        <v>465455</v>
      </c>
      <c r="DJ181" s="408">
        <v>5</v>
      </c>
      <c r="DK181" s="405">
        <v>1</v>
      </c>
      <c r="DL181" s="82">
        <v>332.47</v>
      </c>
      <c r="DM181" s="409">
        <v>1.6623500000000002</v>
      </c>
      <c r="DN181" s="82" t="s">
        <v>85</v>
      </c>
      <c r="DO181" s="82" t="s">
        <v>85</v>
      </c>
      <c r="DP181" s="410" t="s">
        <v>85</v>
      </c>
    </row>
    <row r="182" spans="1:120" x14ac:dyDescent="0.25">
      <c r="A182" s="16" t="s">
        <v>8865</v>
      </c>
      <c r="B182" s="16" t="s">
        <v>8866</v>
      </c>
      <c r="C182" s="16" t="s">
        <v>8867</v>
      </c>
      <c r="D182" s="16" t="s">
        <v>8645</v>
      </c>
      <c r="E182" s="16" t="s">
        <v>8868</v>
      </c>
      <c r="F182" s="16" t="s">
        <v>8869</v>
      </c>
      <c r="G182" s="16" t="s">
        <v>8870</v>
      </c>
      <c r="H182" s="16" t="s">
        <v>8869</v>
      </c>
      <c r="I182" s="16" t="s">
        <v>3675</v>
      </c>
      <c r="J182" s="16" t="s">
        <v>928</v>
      </c>
      <c r="K182" s="16" t="s">
        <v>3676</v>
      </c>
      <c r="L182" s="16" t="s">
        <v>85</v>
      </c>
      <c r="M182" s="16" t="s">
        <v>1322</v>
      </c>
      <c r="N182" s="16" t="s">
        <v>914</v>
      </c>
      <c r="O182" s="16" t="s">
        <v>1323</v>
      </c>
      <c r="P182" s="16" t="s">
        <v>914</v>
      </c>
      <c r="Q182" s="16" t="s">
        <v>1323</v>
      </c>
      <c r="R182" s="16" t="s">
        <v>915</v>
      </c>
      <c r="S182" s="16" t="s">
        <v>915</v>
      </c>
      <c r="T182" s="16" t="s">
        <v>1322</v>
      </c>
      <c r="U182" s="16" t="s">
        <v>1324</v>
      </c>
      <c r="V182" s="16" t="s">
        <v>916</v>
      </c>
      <c r="W182" s="16" t="s">
        <v>1324</v>
      </c>
      <c r="X182" s="16" t="s">
        <v>934</v>
      </c>
      <c r="Y182" s="16" t="s">
        <v>934</v>
      </c>
      <c r="Z182" s="16" t="s">
        <v>935</v>
      </c>
      <c r="DA182" s="405" t="s">
        <v>5</v>
      </c>
      <c r="DB182" s="405" t="s">
        <v>363</v>
      </c>
      <c r="DC182" s="406" t="s">
        <v>85</v>
      </c>
      <c r="DD182" s="405" t="s">
        <v>917</v>
      </c>
      <c r="DE182" s="405" t="s">
        <v>5</v>
      </c>
      <c r="DF182" s="406" t="s">
        <v>85</v>
      </c>
      <c r="DG182" s="407">
        <v>45842</v>
      </c>
      <c r="DH182" s="405" t="s">
        <v>8868</v>
      </c>
      <c r="DI182" s="406">
        <v>465455</v>
      </c>
      <c r="DJ182" s="408">
        <v>5</v>
      </c>
      <c r="DK182" s="405">
        <v>1</v>
      </c>
      <c r="DL182" s="82">
        <v>332.47</v>
      </c>
      <c r="DM182" s="409">
        <v>1.6623500000000002</v>
      </c>
      <c r="DN182" s="82" t="s">
        <v>85</v>
      </c>
      <c r="DO182" s="82" t="s">
        <v>85</v>
      </c>
      <c r="DP182" s="410" t="s">
        <v>85</v>
      </c>
    </row>
    <row r="183" spans="1:120" x14ac:dyDescent="0.25">
      <c r="A183" s="16" t="s">
        <v>8865</v>
      </c>
      <c r="B183" s="16" t="s">
        <v>8866</v>
      </c>
      <c r="C183" s="16" t="s">
        <v>8867</v>
      </c>
      <c r="D183" s="16" t="s">
        <v>8645</v>
      </c>
      <c r="E183" s="16" t="s">
        <v>8868</v>
      </c>
      <c r="F183" s="16" t="s">
        <v>8869</v>
      </c>
      <c r="G183" s="16" t="s">
        <v>8870</v>
      </c>
      <c r="H183" s="16" t="s">
        <v>8869</v>
      </c>
      <c r="I183" s="16" t="s">
        <v>8871</v>
      </c>
      <c r="J183" s="16" t="s">
        <v>928</v>
      </c>
      <c r="K183" s="16" t="s">
        <v>8872</v>
      </c>
      <c r="L183" s="16" t="s">
        <v>85</v>
      </c>
      <c r="M183" s="16" t="s">
        <v>1322</v>
      </c>
      <c r="N183" s="16" t="s">
        <v>914</v>
      </c>
      <c r="O183" s="16" t="s">
        <v>1323</v>
      </c>
      <c r="P183" s="16" t="s">
        <v>914</v>
      </c>
      <c r="Q183" s="16" t="s">
        <v>1323</v>
      </c>
      <c r="R183" s="16" t="s">
        <v>915</v>
      </c>
      <c r="S183" s="16" t="s">
        <v>915</v>
      </c>
      <c r="T183" s="16" t="s">
        <v>1322</v>
      </c>
      <c r="U183" s="16" t="s">
        <v>1324</v>
      </c>
      <c r="V183" s="16" t="s">
        <v>916</v>
      </c>
      <c r="W183" s="16" t="s">
        <v>1324</v>
      </c>
      <c r="X183" s="16" t="s">
        <v>934</v>
      </c>
      <c r="Y183" s="16" t="s">
        <v>934</v>
      </c>
      <c r="Z183" s="16" t="s">
        <v>935</v>
      </c>
      <c r="DA183" s="405" t="s">
        <v>5</v>
      </c>
      <c r="DB183" s="405" t="s">
        <v>363</v>
      </c>
      <c r="DC183" s="406" t="s">
        <v>85</v>
      </c>
      <c r="DD183" s="405" t="s">
        <v>917</v>
      </c>
      <c r="DE183" s="405" t="s">
        <v>5</v>
      </c>
      <c r="DF183" s="406" t="s">
        <v>85</v>
      </c>
      <c r="DG183" s="407">
        <v>45842</v>
      </c>
      <c r="DH183" s="405" t="s">
        <v>8868</v>
      </c>
      <c r="DI183" s="406">
        <v>465455</v>
      </c>
      <c r="DJ183" s="408">
        <v>5</v>
      </c>
      <c r="DK183" s="405">
        <v>1</v>
      </c>
      <c r="DL183" s="82">
        <v>332.47</v>
      </c>
      <c r="DM183" s="409">
        <v>1.6623500000000002</v>
      </c>
      <c r="DN183" s="82" t="s">
        <v>85</v>
      </c>
      <c r="DO183" s="82" t="s">
        <v>85</v>
      </c>
      <c r="DP183" s="410" t="s">
        <v>85</v>
      </c>
    </row>
    <row r="184" spans="1:120" x14ac:dyDescent="0.25">
      <c r="A184" s="16" t="s">
        <v>8865</v>
      </c>
      <c r="B184" s="16" t="s">
        <v>8866</v>
      </c>
      <c r="C184" s="16" t="s">
        <v>8867</v>
      </c>
      <c r="D184" s="16" t="s">
        <v>8645</v>
      </c>
      <c r="E184" s="16" t="s">
        <v>8868</v>
      </c>
      <c r="F184" s="16" t="s">
        <v>8869</v>
      </c>
      <c r="G184" s="16" t="s">
        <v>8870</v>
      </c>
      <c r="H184" s="16" t="s">
        <v>8869</v>
      </c>
      <c r="I184" s="16" t="s">
        <v>7308</v>
      </c>
      <c r="J184" s="16" t="s">
        <v>928</v>
      </c>
      <c r="K184" s="16" t="s">
        <v>7309</v>
      </c>
      <c r="L184" s="16" t="s">
        <v>85</v>
      </c>
      <c r="M184" s="16" t="s">
        <v>1322</v>
      </c>
      <c r="N184" s="16" t="s">
        <v>914</v>
      </c>
      <c r="O184" s="16" t="s">
        <v>1323</v>
      </c>
      <c r="P184" s="16" t="s">
        <v>914</v>
      </c>
      <c r="Q184" s="16" t="s">
        <v>1323</v>
      </c>
      <c r="R184" s="16" t="s">
        <v>915</v>
      </c>
      <c r="S184" s="16" t="s">
        <v>915</v>
      </c>
      <c r="T184" s="16" t="s">
        <v>1322</v>
      </c>
      <c r="U184" s="16" t="s">
        <v>1324</v>
      </c>
      <c r="V184" s="16" t="s">
        <v>916</v>
      </c>
      <c r="W184" s="16" t="s">
        <v>1324</v>
      </c>
      <c r="X184" s="16" t="s">
        <v>934</v>
      </c>
      <c r="Y184" s="16" t="s">
        <v>934</v>
      </c>
      <c r="Z184" s="16" t="s">
        <v>935</v>
      </c>
      <c r="DA184" s="405" t="s">
        <v>5</v>
      </c>
      <c r="DB184" s="405" t="s">
        <v>363</v>
      </c>
      <c r="DC184" s="406" t="s">
        <v>85</v>
      </c>
      <c r="DD184" s="405" t="s">
        <v>917</v>
      </c>
      <c r="DE184" s="405" t="s">
        <v>5</v>
      </c>
      <c r="DF184" s="406" t="s">
        <v>85</v>
      </c>
      <c r="DG184" s="407">
        <v>45842</v>
      </c>
      <c r="DH184" s="405" t="s">
        <v>8868</v>
      </c>
      <c r="DI184" s="406">
        <v>465455</v>
      </c>
      <c r="DJ184" s="408">
        <v>5</v>
      </c>
      <c r="DK184" s="405">
        <v>1</v>
      </c>
      <c r="DL184" s="82">
        <v>332.47</v>
      </c>
      <c r="DM184" s="409">
        <v>1.6623500000000002</v>
      </c>
      <c r="DN184" s="82" t="s">
        <v>85</v>
      </c>
      <c r="DO184" s="82" t="s">
        <v>85</v>
      </c>
      <c r="DP184" s="410" t="s">
        <v>85</v>
      </c>
    </row>
    <row r="185" spans="1:120" x14ac:dyDescent="0.25">
      <c r="A185" s="16" t="s">
        <v>8873</v>
      </c>
      <c r="B185" s="16" t="s">
        <v>8874</v>
      </c>
      <c r="C185" s="16" t="s">
        <v>8875</v>
      </c>
      <c r="D185" s="16" t="s">
        <v>8645</v>
      </c>
      <c r="E185" s="16" t="s">
        <v>8876</v>
      </c>
      <c r="F185" s="16" t="s">
        <v>8877</v>
      </c>
      <c r="G185" s="16" t="s">
        <v>8878</v>
      </c>
      <c r="H185" s="16" t="s">
        <v>8879</v>
      </c>
      <c r="I185" s="16" t="s">
        <v>2661</v>
      </c>
      <c r="J185" s="16" t="s">
        <v>943</v>
      </c>
      <c r="K185" s="16" t="s">
        <v>2662</v>
      </c>
      <c r="L185" s="16" t="s">
        <v>85</v>
      </c>
      <c r="M185" s="16" t="s">
        <v>984</v>
      </c>
      <c r="N185" s="16" t="s">
        <v>914</v>
      </c>
      <c r="O185" s="16" t="s">
        <v>985</v>
      </c>
      <c r="P185" s="16" t="s">
        <v>914</v>
      </c>
      <c r="Q185" s="16" t="s">
        <v>985</v>
      </c>
      <c r="R185" s="16" t="s">
        <v>915</v>
      </c>
      <c r="S185" s="16" t="s">
        <v>915</v>
      </c>
      <c r="T185" s="16" t="s">
        <v>986</v>
      </c>
      <c r="U185" s="16" t="s">
        <v>987</v>
      </c>
      <c r="V185" s="16" t="s">
        <v>916</v>
      </c>
      <c r="W185" s="16" t="s">
        <v>987</v>
      </c>
      <c r="X185" s="16" t="s">
        <v>934</v>
      </c>
      <c r="Y185" s="16" t="s">
        <v>934</v>
      </c>
      <c r="Z185" s="16" t="s">
        <v>935</v>
      </c>
      <c r="DA185" s="405" t="s">
        <v>5</v>
      </c>
      <c r="DB185" s="405" t="s">
        <v>363</v>
      </c>
      <c r="DC185" s="406" t="s">
        <v>85</v>
      </c>
      <c r="DD185" s="405" t="s">
        <v>917</v>
      </c>
      <c r="DE185" s="405" t="s">
        <v>5</v>
      </c>
      <c r="DF185" s="406" t="s">
        <v>85</v>
      </c>
      <c r="DG185" s="407">
        <v>45842</v>
      </c>
      <c r="DH185" s="405" t="s">
        <v>8876</v>
      </c>
      <c r="DI185" s="406">
        <v>465455</v>
      </c>
      <c r="DJ185" s="408">
        <v>5</v>
      </c>
      <c r="DK185" s="405">
        <v>1</v>
      </c>
      <c r="DL185" s="82">
        <v>340.55</v>
      </c>
      <c r="DM185" s="409">
        <v>1.70275</v>
      </c>
      <c r="DN185" s="82" t="s">
        <v>85</v>
      </c>
      <c r="DO185" s="82" t="s">
        <v>85</v>
      </c>
      <c r="DP185" s="410" t="s">
        <v>85</v>
      </c>
    </row>
    <row r="186" spans="1:120" x14ac:dyDescent="0.25">
      <c r="A186" s="16" t="s">
        <v>8880</v>
      </c>
      <c r="B186" s="16" t="s">
        <v>8881</v>
      </c>
      <c r="C186" s="16" t="s">
        <v>8882</v>
      </c>
      <c r="D186" s="16" t="s">
        <v>8645</v>
      </c>
      <c r="E186" s="16" t="s">
        <v>8883</v>
      </c>
      <c r="F186" s="16" t="s">
        <v>8884</v>
      </c>
      <c r="G186" s="16" t="s">
        <v>8885</v>
      </c>
      <c r="H186" s="16" t="s">
        <v>8886</v>
      </c>
      <c r="I186" s="16" t="s">
        <v>2719</v>
      </c>
      <c r="J186" s="16" t="s">
        <v>928</v>
      </c>
      <c r="K186" s="16" t="s">
        <v>2720</v>
      </c>
      <c r="L186" s="16" t="s">
        <v>85</v>
      </c>
      <c r="M186" s="16" t="s">
        <v>1322</v>
      </c>
      <c r="N186" s="16" t="s">
        <v>914</v>
      </c>
      <c r="O186" s="16" t="s">
        <v>1323</v>
      </c>
      <c r="P186" s="16" t="s">
        <v>914</v>
      </c>
      <c r="Q186" s="16" t="s">
        <v>1323</v>
      </c>
      <c r="R186" s="16" t="s">
        <v>915</v>
      </c>
      <c r="S186" s="16" t="s">
        <v>915</v>
      </c>
      <c r="T186" s="16" t="s">
        <v>1322</v>
      </c>
      <c r="U186" s="16" t="s">
        <v>1324</v>
      </c>
      <c r="V186" s="16" t="s">
        <v>916</v>
      </c>
      <c r="W186" s="16" t="s">
        <v>1324</v>
      </c>
      <c r="X186" s="16" t="s">
        <v>934</v>
      </c>
      <c r="Y186" s="16" t="s">
        <v>934</v>
      </c>
      <c r="Z186" s="16" t="s">
        <v>935</v>
      </c>
      <c r="DA186" s="405" t="s">
        <v>5</v>
      </c>
      <c r="DB186" s="405" t="s">
        <v>363</v>
      </c>
      <c r="DC186" s="406" t="s">
        <v>85</v>
      </c>
      <c r="DD186" s="405" t="s">
        <v>917</v>
      </c>
      <c r="DE186" s="405" t="s">
        <v>5</v>
      </c>
      <c r="DF186" s="406" t="s">
        <v>85</v>
      </c>
      <c r="DG186" s="407">
        <v>45842</v>
      </c>
      <c r="DH186" s="405" t="s">
        <v>8883</v>
      </c>
      <c r="DI186" s="406">
        <v>465455</v>
      </c>
      <c r="DJ186" s="408">
        <v>5</v>
      </c>
      <c r="DK186" s="405">
        <v>1</v>
      </c>
      <c r="DL186" s="82">
        <v>332.47</v>
      </c>
      <c r="DM186" s="409">
        <v>1.6623500000000002</v>
      </c>
      <c r="DN186" s="82" t="s">
        <v>85</v>
      </c>
      <c r="DO186" s="82" t="s">
        <v>85</v>
      </c>
      <c r="DP186" s="410" t="s">
        <v>85</v>
      </c>
    </row>
    <row r="187" spans="1:120" x14ac:dyDescent="0.25">
      <c r="A187" s="16" t="s">
        <v>8887</v>
      </c>
      <c r="B187" s="16" t="s">
        <v>8888</v>
      </c>
      <c r="C187" s="16" t="s">
        <v>8889</v>
      </c>
      <c r="D187" s="16" t="s">
        <v>8645</v>
      </c>
      <c r="E187" s="16" t="s">
        <v>8890</v>
      </c>
      <c r="F187" s="16" t="s">
        <v>8891</v>
      </c>
      <c r="G187" s="16" t="s">
        <v>8892</v>
      </c>
      <c r="H187" s="16" t="s">
        <v>8891</v>
      </c>
      <c r="I187" s="16" t="s">
        <v>8893</v>
      </c>
      <c r="J187" s="16" t="s">
        <v>943</v>
      </c>
      <c r="K187" s="16" t="s">
        <v>8894</v>
      </c>
      <c r="L187" s="16" t="s">
        <v>85</v>
      </c>
      <c r="M187" s="16" t="s">
        <v>984</v>
      </c>
      <c r="N187" s="16" t="s">
        <v>914</v>
      </c>
      <c r="O187" s="16" t="s">
        <v>985</v>
      </c>
      <c r="P187" s="16" t="s">
        <v>914</v>
      </c>
      <c r="Q187" s="16" t="s">
        <v>985</v>
      </c>
      <c r="R187" s="16" t="s">
        <v>915</v>
      </c>
      <c r="S187" s="16" t="s">
        <v>915</v>
      </c>
      <c r="T187" s="16" t="s">
        <v>986</v>
      </c>
      <c r="U187" s="16" t="s">
        <v>987</v>
      </c>
      <c r="V187" s="16" t="s">
        <v>916</v>
      </c>
      <c r="W187" s="16" t="s">
        <v>987</v>
      </c>
      <c r="X187" s="16" t="s">
        <v>934</v>
      </c>
      <c r="Y187" s="16" t="s">
        <v>934</v>
      </c>
      <c r="Z187" s="16" t="s">
        <v>935</v>
      </c>
      <c r="DA187" s="405" t="s">
        <v>5</v>
      </c>
      <c r="DB187" s="405" t="s">
        <v>363</v>
      </c>
      <c r="DC187" s="406" t="s">
        <v>85</v>
      </c>
      <c r="DD187" s="405" t="s">
        <v>917</v>
      </c>
      <c r="DE187" s="405" t="s">
        <v>5</v>
      </c>
      <c r="DF187" s="406" t="s">
        <v>85</v>
      </c>
      <c r="DG187" s="407">
        <v>45842</v>
      </c>
      <c r="DH187" s="405" t="s">
        <v>8890</v>
      </c>
      <c r="DI187" s="406">
        <v>465455</v>
      </c>
      <c r="DJ187" s="408">
        <v>5</v>
      </c>
      <c r="DK187" s="405">
        <v>1</v>
      </c>
      <c r="DL187" s="82">
        <v>340.55</v>
      </c>
      <c r="DM187" s="409">
        <v>1.70275</v>
      </c>
      <c r="DN187" s="82" t="s">
        <v>85</v>
      </c>
      <c r="DO187" s="82" t="s">
        <v>85</v>
      </c>
      <c r="DP187" s="410" t="s">
        <v>85</v>
      </c>
    </row>
    <row r="188" spans="1:120" x14ac:dyDescent="0.25">
      <c r="A188" s="16" t="s">
        <v>8895</v>
      </c>
      <c r="B188" s="16" t="s">
        <v>8896</v>
      </c>
      <c r="C188" s="16" t="s">
        <v>8897</v>
      </c>
      <c r="D188" s="16" t="s">
        <v>8645</v>
      </c>
      <c r="E188" s="16" t="s">
        <v>8898</v>
      </c>
      <c r="F188" s="16" t="s">
        <v>8899</v>
      </c>
      <c r="G188" s="16" t="s">
        <v>8900</v>
      </c>
      <c r="H188" s="16" t="s">
        <v>8899</v>
      </c>
      <c r="I188" s="16" t="s">
        <v>1929</v>
      </c>
      <c r="J188" s="16" t="s">
        <v>995</v>
      </c>
      <c r="K188" s="16" t="s">
        <v>1930</v>
      </c>
      <c r="L188" s="16" t="s">
        <v>85</v>
      </c>
      <c r="M188" s="16" t="s">
        <v>1165</v>
      </c>
      <c r="N188" s="16" t="s">
        <v>914</v>
      </c>
      <c r="O188" s="16" t="s">
        <v>1166</v>
      </c>
      <c r="P188" s="16" t="s">
        <v>914</v>
      </c>
      <c r="Q188" s="16" t="s">
        <v>1166</v>
      </c>
      <c r="R188" s="16" t="s">
        <v>915</v>
      </c>
      <c r="S188" s="16" t="s">
        <v>915</v>
      </c>
      <c r="T188" s="16" t="s">
        <v>1167</v>
      </c>
      <c r="U188" s="16" t="s">
        <v>1168</v>
      </c>
      <c r="V188" s="16" t="s">
        <v>916</v>
      </c>
      <c r="W188" s="16" t="s">
        <v>1168</v>
      </c>
      <c r="X188" s="16" t="s">
        <v>934</v>
      </c>
      <c r="Y188" s="16" t="s">
        <v>934</v>
      </c>
      <c r="Z188" s="16" t="s">
        <v>935</v>
      </c>
      <c r="DA188" s="405" t="s">
        <v>5</v>
      </c>
      <c r="DB188" s="405" t="s">
        <v>363</v>
      </c>
      <c r="DC188" s="406" t="s">
        <v>85</v>
      </c>
      <c r="DD188" s="405" t="s">
        <v>917</v>
      </c>
      <c r="DE188" s="405" t="s">
        <v>5</v>
      </c>
      <c r="DF188" s="406" t="s">
        <v>85</v>
      </c>
      <c r="DG188" s="407">
        <v>45842</v>
      </c>
      <c r="DH188" s="405" t="s">
        <v>8898</v>
      </c>
      <c r="DI188" s="406">
        <v>465455</v>
      </c>
      <c r="DJ188" s="408">
        <v>5</v>
      </c>
      <c r="DK188" s="405">
        <v>1</v>
      </c>
      <c r="DL188" s="82">
        <v>468.28</v>
      </c>
      <c r="DM188" s="409">
        <v>2.3413999999999997</v>
      </c>
      <c r="DN188" s="82" t="s">
        <v>85</v>
      </c>
      <c r="DO188" s="82" t="s">
        <v>85</v>
      </c>
      <c r="DP188" s="410" t="s">
        <v>85</v>
      </c>
    </row>
    <row r="189" spans="1:120" x14ac:dyDescent="0.25">
      <c r="A189" s="16" t="s">
        <v>8901</v>
      </c>
      <c r="B189" s="16" t="s">
        <v>8902</v>
      </c>
      <c r="C189" s="16" t="s">
        <v>8903</v>
      </c>
      <c r="D189" s="16" t="s">
        <v>8645</v>
      </c>
      <c r="E189" s="16" t="s">
        <v>8904</v>
      </c>
      <c r="F189" s="16" t="s">
        <v>8905</v>
      </c>
      <c r="G189" s="16" t="s">
        <v>8906</v>
      </c>
      <c r="H189" s="16" t="s">
        <v>8907</v>
      </c>
      <c r="I189" s="16" t="s">
        <v>1248</v>
      </c>
      <c r="J189" s="16" t="s">
        <v>995</v>
      </c>
      <c r="K189" s="16" t="s">
        <v>1249</v>
      </c>
      <c r="L189" s="16" t="s">
        <v>85</v>
      </c>
      <c r="M189" s="16" t="s">
        <v>1165</v>
      </c>
      <c r="N189" s="16" t="s">
        <v>914</v>
      </c>
      <c r="O189" s="16" t="s">
        <v>1166</v>
      </c>
      <c r="P189" s="16" t="s">
        <v>914</v>
      </c>
      <c r="Q189" s="16" t="s">
        <v>1166</v>
      </c>
      <c r="R189" s="16" t="s">
        <v>915</v>
      </c>
      <c r="S189" s="16" t="s">
        <v>915</v>
      </c>
      <c r="T189" s="16" t="s">
        <v>1167</v>
      </c>
      <c r="U189" s="16" t="s">
        <v>1168</v>
      </c>
      <c r="V189" s="16" t="s">
        <v>916</v>
      </c>
      <c r="W189" s="16" t="s">
        <v>1168</v>
      </c>
      <c r="X189" s="16" t="s">
        <v>934</v>
      </c>
      <c r="Y189" s="16" t="s">
        <v>934</v>
      </c>
      <c r="Z189" s="16" t="s">
        <v>935</v>
      </c>
      <c r="DA189" s="405" t="s">
        <v>5</v>
      </c>
      <c r="DB189" s="405" t="s">
        <v>363</v>
      </c>
      <c r="DC189" s="406" t="s">
        <v>85</v>
      </c>
      <c r="DD189" s="405" t="s">
        <v>917</v>
      </c>
      <c r="DE189" s="405" t="s">
        <v>5</v>
      </c>
      <c r="DF189" s="406" t="s">
        <v>85</v>
      </c>
      <c r="DG189" s="407">
        <v>45842</v>
      </c>
      <c r="DH189" s="405" t="s">
        <v>8904</v>
      </c>
      <c r="DI189" s="406">
        <v>465455</v>
      </c>
      <c r="DJ189" s="408">
        <v>5</v>
      </c>
      <c r="DK189" s="405">
        <v>1</v>
      </c>
      <c r="DL189" s="82">
        <v>468.28</v>
      </c>
      <c r="DM189" s="409">
        <v>2.3413999999999997</v>
      </c>
      <c r="DN189" s="82" t="s">
        <v>85</v>
      </c>
      <c r="DO189" s="82" t="s">
        <v>85</v>
      </c>
      <c r="DP189" s="410" t="s">
        <v>85</v>
      </c>
    </row>
    <row r="190" spans="1:120" x14ac:dyDescent="0.25">
      <c r="A190" s="16" t="s">
        <v>8908</v>
      </c>
      <c r="B190" s="16" t="s">
        <v>8909</v>
      </c>
      <c r="C190" s="16" t="s">
        <v>8910</v>
      </c>
      <c r="D190" s="16" t="s">
        <v>8645</v>
      </c>
      <c r="E190" s="16" t="s">
        <v>8911</v>
      </c>
      <c r="F190" s="16" t="s">
        <v>8912</v>
      </c>
      <c r="G190" s="16" t="s">
        <v>8913</v>
      </c>
      <c r="H190" s="16" t="s">
        <v>8912</v>
      </c>
      <c r="I190" s="16" t="s">
        <v>1414</v>
      </c>
      <c r="J190" s="16" t="s">
        <v>1109</v>
      </c>
      <c r="K190" s="16" t="s">
        <v>1415</v>
      </c>
      <c r="L190" s="16" t="s">
        <v>85</v>
      </c>
      <c r="M190" s="16" t="s">
        <v>1311</v>
      </c>
      <c r="N190" s="16" t="s">
        <v>914</v>
      </c>
      <c r="O190" s="16" t="s">
        <v>1312</v>
      </c>
      <c r="P190" s="16" t="s">
        <v>914</v>
      </c>
      <c r="Q190" s="16" t="s">
        <v>1312</v>
      </c>
      <c r="R190" s="16" t="s">
        <v>915</v>
      </c>
      <c r="S190" s="16" t="s">
        <v>915</v>
      </c>
      <c r="T190" s="16" t="s">
        <v>1311</v>
      </c>
      <c r="U190" s="16" t="s">
        <v>1313</v>
      </c>
      <c r="V190" s="16" t="s">
        <v>916</v>
      </c>
      <c r="W190" s="16" t="s">
        <v>1313</v>
      </c>
      <c r="X190" s="16" t="s">
        <v>934</v>
      </c>
      <c r="Y190" s="16" t="s">
        <v>934</v>
      </c>
      <c r="Z190" s="16" t="s">
        <v>935</v>
      </c>
      <c r="DA190" s="405" t="s">
        <v>5</v>
      </c>
      <c r="DB190" s="405" t="s">
        <v>363</v>
      </c>
      <c r="DC190" s="406" t="s">
        <v>85</v>
      </c>
      <c r="DD190" s="405" t="s">
        <v>917</v>
      </c>
      <c r="DE190" s="405" t="s">
        <v>5</v>
      </c>
      <c r="DF190" s="406" t="s">
        <v>85</v>
      </c>
      <c r="DG190" s="407">
        <v>45842</v>
      </c>
      <c r="DH190" s="405" t="s">
        <v>8911</v>
      </c>
      <c r="DI190" s="406">
        <v>465455</v>
      </c>
      <c r="DJ190" s="408">
        <v>5</v>
      </c>
      <c r="DK190" s="405">
        <v>1</v>
      </c>
      <c r="DL190" s="82">
        <v>531.54</v>
      </c>
      <c r="DM190" s="409">
        <v>2.6576999999999997</v>
      </c>
      <c r="DN190" s="82" t="s">
        <v>85</v>
      </c>
      <c r="DO190" s="82" t="s">
        <v>85</v>
      </c>
      <c r="DP190" s="410" t="s">
        <v>85</v>
      </c>
    </row>
    <row r="191" spans="1:120" x14ac:dyDescent="0.25">
      <c r="A191" s="16" t="s">
        <v>8914</v>
      </c>
      <c r="B191" s="16" t="s">
        <v>8915</v>
      </c>
      <c r="C191" s="16" t="s">
        <v>8916</v>
      </c>
      <c r="D191" s="16" t="s">
        <v>8645</v>
      </c>
      <c r="E191" s="16" t="s">
        <v>8917</v>
      </c>
      <c r="F191" s="16" t="s">
        <v>8918</v>
      </c>
      <c r="G191" s="16" t="s">
        <v>8919</v>
      </c>
      <c r="H191" s="16" t="s">
        <v>8920</v>
      </c>
      <c r="I191" s="16" t="s">
        <v>1227</v>
      </c>
      <c r="J191" s="16" t="s">
        <v>928</v>
      </c>
      <c r="K191" s="16" t="s">
        <v>1228</v>
      </c>
      <c r="L191" s="16" t="s">
        <v>85</v>
      </c>
      <c r="M191" s="16" t="s">
        <v>1322</v>
      </c>
      <c r="N191" s="16" t="s">
        <v>914</v>
      </c>
      <c r="O191" s="16" t="s">
        <v>1323</v>
      </c>
      <c r="P191" s="16" t="s">
        <v>914</v>
      </c>
      <c r="Q191" s="16" t="s">
        <v>1323</v>
      </c>
      <c r="R191" s="16" t="s">
        <v>915</v>
      </c>
      <c r="S191" s="16" t="s">
        <v>915</v>
      </c>
      <c r="T191" s="16" t="s">
        <v>1322</v>
      </c>
      <c r="U191" s="16" t="s">
        <v>1324</v>
      </c>
      <c r="V191" s="16" t="s">
        <v>916</v>
      </c>
      <c r="W191" s="16" t="s">
        <v>1324</v>
      </c>
      <c r="X191" s="16" t="s">
        <v>934</v>
      </c>
      <c r="Y191" s="16" t="s">
        <v>934</v>
      </c>
      <c r="Z191" s="16" t="s">
        <v>935</v>
      </c>
      <c r="DA191" s="405" t="s">
        <v>5</v>
      </c>
      <c r="DB191" s="405" t="s">
        <v>363</v>
      </c>
      <c r="DC191" s="406" t="s">
        <v>85</v>
      </c>
      <c r="DD191" s="405" t="s">
        <v>917</v>
      </c>
      <c r="DE191" s="405" t="s">
        <v>5</v>
      </c>
      <c r="DF191" s="406" t="s">
        <v>85</v>
      </c>
      <c r="DG191" s="407">
        <v>45842</v>
      </c>
      <c r="DH191" s="405" t="s">
        <v>8917</v>
      </c>
      <c r="DI191" s="406">
        <v>465455</v>
      </c>
      <c r="DJ191" s="408">
        <v>5</v>
      </c>
      <c r="DK191" s="405">
        <v>1</v>
      </c>
      <c r="DL191" s="82">
        <v>332.47</v>
      </c>
      <c r="DM191" s="409">
        <v>1.6623500000000002</v>
      </c>
      <c r="DN191" s="82" t="s">
        <v>85</v>
      </c>
      <c r="DO191" s="82" t="s">
        <v>85</v>
      </c>
      <c r="DP191" s="410" t="s">
        <v>85</v>
      </c>
    </row>
    <row r="192" spans="1:120" x14ac:dyDescent="0.25">
      <c r="A192" s="16" t="s">
        <v>8921</v>
      </c>
      <c r="B192" s="16" t="s">
        <v>8922</v>
      </c>
      <c r="C192" s="16" t="s">
        <v>8923</v>
      </c>
      <c r="D192" s="16" t="s">
        <v>8645</v>
      </c>
      <c r="E192" s="16" t="s">
        <v>8924</v>
      </c>
      <c r="F192" s="16" t="s">
        <v>8925</v>
      </c>
      <c r="G192" s="16" t="s">
        <v>8926</v>
      </c>
      <c r="H192" s="16" t="s">
        <v>8927</v>
      </c>
      <c r="I192" s="16" t="s">
        <v>968</v>
      </c>
      <c r="J192" s="16" t="s">
        <v>943</v>
      </c>
      <c r="K192" s="16" t="s">
        <v>969</v>
      </c>
      <c r="L192" s="16" t="s">
        <v>85</v>
      </c>
      <c r="M192" s="16" t="s">
        <v>984</v>
      </c>
      <c r="N192" s="16" t="s">
        <v>914</v>
      </c>
      <c r="O192" s="16" t="s">
        <v>985</v>
      </c>
      <c r="P192" s="16" t="s">
        <v>914</v>
      </c>
      <c r="Q192" s="16" t="s">
        <v>985</v>
      </c>
      <c r="R192" s="16" t="s">
        <v>915</v>
      </c>
      <c r="S192" s="16" t="s">
        <v>915</v>
      </c>
      <c r="T192" s="16" t="s">
        <v>986</v>
      </c>
      <c r="U192" s="16" t="s">
        <v>987</v>
      </c>
      <c r="V192" s="16" t="s">
        <v>916</v>
      </c>
      <c r="W192" s="16" t="s">
        <v>987</v>
      </c>
      <c r="X192" s="16" t="s">
        <v>934</v>
      </c>
      <c r="Y192" s="16" t="s">
        <v>934</v>
      </c>
      <c r="Z192" s="16" t="s">
        <v>935</v>
      </c>
      <c r="DA192" s="405" t="s">
        <v>5</v>
      </c>
      <c r="DB192" s="405" t="s">
        <v>363</v>
      </c>
      <c r="DC192" s="406" t="s">
        <v>85</v>
      </c>
      <c r="DD192" s="405" t="s">
        <v>917</v>
      </c>
      <c r="DE192" s="405" t="s">
        <v>5</v>
      </c>
      <c r="DF192" s="406" t="s">
        <v>85</v>
      </c>
      <c r="DG192" s="407">
        <v>45842</v>
      </c>
      <c r="DH192" s="405" t="s">
        <v>8924</v>
      </c>
      <c r="DI192" s="406">
        <v>465455</v>
      </c>
      <c r="DJ192" s="408">
        <v>5</v>
      </c>
      <c r="DK192" s="405">
        <v>1</v>
      </c>
      <c r="DL192" s="82">
        <v>340.55</v>
      </c>
      <c r="DM192" s="409">
        <v>1.70275</v>
      </c>
      <c r="DN192" s="82" t="s">
        <v>85</v>
      </c>
      <c r="DO192" s="82" t="s">
        <v>85</v>
      </c>
      <c r="DP192" s="410" t="s">
        <v>85</v>
      </c>
    </row>
    <row r="193" spans="1:120" x14ac:dyDescent="0.25">
      <c r="A193" s="16" t="s">
        <v>8928</v>
      </c>
      <c r="B193" s="16" t="s">
        <v>8929</v>
      </c>
      <c r="C193" s="16" t="s">
        <v>8930</v>
      </c>
      <c r="D193" s="16" t="s">
        <v>8645</v>
      </c>
      <c r="E193" s="16" t="s">
        <v>8931</v>
      </c>
      <c r="F193" s="16" t="s">
        <v>8932</v>
      </c>
      <c r="G193" s="16" t="s">
        <v>8933</v>
      </c>
      <c r="H193" s="16" t="s">
        <v>8934</v>
      </c>
      <c r="I193" s="16" t="s">
        <v>2271</v>
      </c>
      <c r="J193" s="16" t="s">
        <v>995</v>
      </c>
      <c r="K193" s="16" t="s">
        <v>2272</v>
      </c>
      <c r="L193" s="16" t="s">
        <v>85</v>
      </c>
      <c r="M193" s="16" t="s">
        <v>1165</v>
      </c>
      <c r="N193" s="16" t="s">
        <v>914</v>
      </c>
      <c r="O193" s="16" t="s">
        <v>1166</v>
      </c>
      <c r="P193" s="16" t="s">
        <v>914</v>
      </c>
      <c r="Q193" s="16" t="s">
        <v>1166</v>
      </c>
      <c r="R193" s="16" t="s">
        <v>915</v>
      </c>
      <c r="S193" s="16" t="s">
        <v>915</v>
      </c>
      <c r="T193" s="16" t="s">
        <v>1167</v>
      </c>
      <c r="U193" s="16" t="s">
        <v>1168</v>
      </c>
      <c r="V193" s="16" t="s">
        <v>916</v>
      </c>
      <c r="W193" s="16" t="s">
        <v>1168</v>
      </c>
      <c r="X193" s="16" t="s">
        <v>934</v>
      </c>
      <c r="Y193" s="16" t="s">
        <v>934</v>
      </c>
      <c r="Z193" s="16" t="s">
        <v>935</v>
      </c>
      <c r="DA193" s="405" t="s">
        <v>5</v>
      </c>
      <c r="DB193" s="405" t="s">
        <v>363</v>
      </c>
      <c r="DC193" s="406" t="s">
        <v>85</v>
      </c>
      <c r="DD193" s="405" t="s">
        <v>917</v>
      </c>
      <c r="DE193" s="405" t="s">
        <v>5</v>
      </c>
      <c r="DF193" s="406" t="s">
        <v>85</v>
      </c>
      <c r="DG193" s="407">
        <v>45842</v>
      </c>
      <c r="DH193" s="405" t="s">
        <v>8931</v>
      </c>
      <c r="DI193" s="406">
        <v>465455</v>
      </c>
      <c r="DJ193" s="408">
        <v>5</v>
      </c>
      <c r="DK193" s="405">
        <v>1</v>
      </c>
      <c r="DL193" s="82">
        <v>468.28</v>
      </c>
      <c r="DM193" s="409">
        <v>2.3413999999999997</v>
      </c>
      <c r="DN193" s="82" t="s">
        <v>85</v>
      </c>
      <c r="DO193" s="82" t="s">
        <v>85</v>
      </c>
      <c r="DP193" s="410" t="s">
        <v>85</v>
      </c>
    </row>
    <row r="194" spans="1:120" x14ac:dyDescent="0.25">
      <c r="A194" s="16" t="s">
        <v>8935</v>
      </c>
      <c r="B194" s="16" t="s">
        <v>8936</v>
      </c>
      <c r="C194" s="16" t="s">
        <v>8937</v>
      </c>
      <c r="D194" s="16" t="s">
        <v>8645</v>
      </c>
      <c r="E194" s="16" t="s">
        <v>8938</v>
      </c>
      <c r="F194" s="16" t="s">
        <v>8939</v>
      </c>
      <c r="G194" s="16" t="s">
        <v>8940</v>
      </c>
      <c r="H194" s="16" t="s">
        <v>8939</v>
      </c>
      <c r="I194" s="16" t="s">
        <v>1007</v>
      </c>
      <c r="J194" s="16" t="s">
        <v>928</v>
      </c>
      <c r="K194" s="16" t="s">
        <v>1008</v>
      </c>
      <c r="L194" s="16" t="s">
        <v>85</v>
      </c>
      <c r="M194" s="16" t="s">
        <v>1322</v>
      </c>
      <c r="N194" s="16" t="s">
        <v>914</v>
      </c>
      <c r="O194" s="16" t="s">
        <v>1323</v>
      </c>
      <c r="P194" s="16" t="s">
        <v>914</v>
      </c>
      <c r="Q194" s="16" t="s">
        <v>1323</v>
      </c>
      <c r="R194" s="16" t="s">
        <v>915</v>
      </c>
      <c r="S194" s="16" t="s">
        <v>915</v>
      </c>
      <c r="T194" s="16" t="s">
        <v>1322</v>
      </c>
      <c r="U194" s="16" t="s">
        <v>1324</v>
      </c>
      <c r="V194" s="16" t="s">
        <v>916</v>
      </c>
      <c r="W194" s="16" t="s">
        <v>1324</v>
      </c>
      <c r="X194" s="16" t="s">
        <v>934</v>
      </c>
      <c r="Y194" s="16" t="s">
        <v>934</v>
      </c>
      <c r="Z194" s="16" t="s">
        <v>935</v>
      </c>
      <c r="DA194" s="405" t="s">
        <v>5</v>
      </c>
      <c r="DB194" s="405" t="s">
        <v>363</v>
      </c>
      <c r="DC194" s="406" t="s">
        <v>85</v>
      </c>
      <c r="DD194" s="405" t="s">
        <v>917</v>
      </c>
      <c r="DE194" s="405" t="s">
        <v>5</v>
      </c>
      <c r="DF194" s="406" t="s">
        <v>85</v>
      </c>
      <c r="DG194" s="407">
        <v>45842</v>
      </c>
      <c r="DH194" s="405" t="s">
        <v>8938</v>
      </c>
      <c r="DI194" s="406">
        <v>465455</v>
      </c>
      <c r="DJ194" s="408">
        <v>5</v>
      </c>
      <c r="DK194" s="405">
        <v>1</v>
      </c>
      <c r="DL194" s="82">
        <v>332.47</v>
      </c>
      <c r="DM194" s="409">
        <v>1.6623500000000002</v>
      </c>
      <c r="DN194" s="82" t="s">
        <v>85</v>
      </c>
      <c r="DO194" s="82" t="s">
        <v>85</v>
      </c>
      <c r="DP194" s="410" t="s">
        <v>85</v>
      </c>
    </row>
    <row r="195" spans="1:120" x14ac:dyDescent="0.25">
      <c r="A195" s="16" t="s">
        <v>8941</v>
      </c>
      <c r="B195" s="16" t="s">
        <v>8942</v>
      </c>
      <c r="C195" s="16" t="s">
        <v>8943</v>
      </c>
      <c r="D195" s="16" t="s">
        <v>8645</v>
      </c>
      <c r="E195" s="16" t="s">
        <v>8944</v>
      </c>
      <c r="F195" s="16" t="s">
        <v>8945</v>
      </c>
      <c r="G195" s="16" t="s">
        <v>8946</v>
      </c>
      <c r="H195" s="16" t="s">
        <v>8945</v>
      </c>
      <c r="I195" s="16" t="s">
        <v>1214</v>
      </c>
      <c r="J195" s="16" t="s">
        <v>1036</v>
      </c>
      <c r="K195" s="16" t="s">
        <v>1215</v>
      </c>
      <c r="L195" s="16" t="s">
        <v>85</v>
      </c>
      <c r="M195" s="16" t="s">
        <v>1216</v>
      </c>
      <c r="N195" s="16" t="s">
        <v>914</v>
      </c>
      <c r="O195" s="16" t="s">
        <v>946</v>
      </c>
      <c r="P195" s="16" t="s">
        <v>914</v>
      </c>
      <c r="Q195" s="16" t="s">
        <v>946</v>
      </c>
      <c r="R195" s="16" t="s">
        <v>915</v>
      </c>
      <c r="S195" s="16" t="s">
        <v>915</v>
      </c>
      <c r="T195" s="16" t="s">
        <v>1216</v>
      </c>
      <c r="U195" s="16" t="s">
        <v>1217</v>
      </c>
      <c r="V195" s="16" t="s">
        <v>916</v>
      </c>
      <c r="W195" s="16" t="s">
        <v>1217</v>
      </c>
      <c r="X195" s="16" t="s">
        <v>934</v>
      </c>
      <c r="Y195" s="16" t="s">
        <v>934</v>
      </c>
      <c r="Z195" s="16" t="s">
        <v>935</v>
      </c>
      <c r="DA195" s="405" t="s">
        <v>5</v>
      </c>
      <c r="DB195" s="405" t="s">
        <v>363</v>
      </c>
      <c r="DC195" s="406" t="s">
        <v>85</v>
      </c>
      <c r="DD195" s="405" t="s">
        <v>917</v>
      </c>
      <c r="DE195" s="405" t="s">
        <v>5</v>
      </c>
      <c r="DF195" s="406" t="s">
        <v>85</v>
      </c>
      <c r="DG195" s="407">
        <v>45842</v>
      </c>
      <c r="DH195" s="405" t="s">
        <v>8944</v>
      </c>
      <c r="DI195" s="406">
        <v>465455</v>
      </c>
      <c r="DJ195" s="408">
        <v>5</v>
      </c>
      <c r="DK195" s="405">
        <v>1</v>
      </c>
      <c r="DL195" s="82">
        <v>319.22000000000003</v>
      </c>
      <c r="DM195" s="409">
        <v>1.5961000000000001</v>
      </c>
      <c r="DN195" s="82" t="s">
        <v>85</v>
      </c>
      <c r="DO195" s="82" t="s">
        <v>85</v>
      </c>
      <c r="DP195" s="410" t="s">
        <v>85</v>
      </c>
    </row>
    <row r="196" spans="1:120" x14ac:dyDescent="0.25">
      <c r="A196" s="16" t="s">
        <v>8947</v>
      </c>
      <c r="B196" s="16" t="s">
        <v>8948</v>
      </c>
      <c r="C196" s="16" t="s">
        <v>8949</v>
      </c>
      <c r="D196" s="16" t="s">
        <v>8645</v>
      </c>
      <c r="E196" s="16" t="s">
        <v>8950</v>
      </c>
      <c r="F196" s="16" t="s">
        <v>8951</v>
      </c>
      <c r="G196" s="16" t="s">
        <v>8952</v>
      </c>
      <c r="H196" s="16" t="s">
        <v>8951</v>
      </c>
      <c r="I196" s="16" t="s">
        <v>1620</v>
      </c>
      <c r="J196" s="16" t="s">
        <v>943</v>
      </c>
      <c r="K196" s="16" t="s">
        <v>1621</v>
      </c>
      <c r="L196" s="16" t="s">
        <v>85</v>
      </c>
      <c r="M196" s="16" t="s">
        <v>984</v>
      </c>
      <c r="N196" s="16" t="s">
        <v>914</v>
      </c>
      <c r="O196" s="16" t="s">
        <v>985</v>
      </c>
      <c r="P196" s="16" t="s">
        <v>914</v>
      </c>
      <c r="Q196" s="16" t="s">
        <v>985</v>
      </c>
      <c r="R196" s="16" t="s">
        <v>915</v>
      </c>
      <c r="S196" s="16" t="s">
        <v>915</v>
      </c>
      <c r="T196" s="16" t="s">
        <v>986</v>
      </c>
      <c r="U196" s="16" t="s">
        <v>987</v>
      </c>
      <c r="V196" s="16" t="s">
        <v>916</v>
      </c>
      <c r="W196" s="16" t="s">
        <v>987</v>
      </c>
      <c r="X196" s="16" t="s">
        <v>934</v>
      </c>
      <c r="Y196" s="16" t="s">
        <v>934</v>
      </c>
      <c r="Z196" s="16" t="s">
        <v>935</v>
      </c>
      <c r="DA196" s="405" t="s">
        <v>5</v>
      </c>
      <c r="DB196" s="405" t="s">
        <v>363</v>
      </c>
      <c r="DC196" s="406" t="s">
        <v>85</v>
      </c>
      <c r="DD196" s="405" t="s">
        <v>917</v>
      </c>
      <c r="DE196" s="405" t="s">
        <v>5</v>
      </c>
      <c r="DF196" s="406" t="s">
        <v>85</v>
      </c>
      <c r="DG196" s="407">
        <v>45842</v>
      </c>
      <c r="DH196" s="405" t="s">
        <v>8950</v>
      </c>
      <c r="DI196" s="406">
        <v>465455</v>
      </c>
      <c r="DJ196" s="408">
        <v>5</v>
      </c>
      <c r="DK196" s="405">
        <v>1</v>
      </c>
      <c r="DL196" s="82">
        <v>340.55</v>
      </c>
      <c r="DM196" s="409">
        <v>1.70275</v>
      </c>
      <c r="DN196" s="82" t="s">
        <v>85</v>
      </c>
      <c r="DO196" s="82" t="s">
        <v>85</v>
      </c>
      <c r="DP196" s="410" t="s">
        <v>85</v>
      </c>
    </row>
    <row r="197" spans="1:120" x14ac:dyDescent="0.25">
      <c r="A197" s="16" t="s">
        <v>8953</v>
      </c>
      <c r="B197" s="16" t="s">
        <v>8954</v>
      </c>
      <c r="C197" s="16" t="s">
        <v>8955</v>
      </c>
      <c r="D197" s="16" t="s">
        <v>8645</v>
      </c>
      <c r="E197" s="16" t="s">
        <v>8956</v>
      </c>
      <c r="F197" s="16" t="s">
        <v>8957</v>
      </c>
      <c r="G197" s="16" t="s">
        <v>8958</v>
      </c>
      <c r="H197" s="16" t="s">
        <v>8957</v>
      </c>
      <c r="I197" s="16" t="s">
        <v>1214</v>
      </c>
      <c r="J197" s="16" t="s">
        <v>1036</v>
      </c>
      <c r="K197" s="16" t="s">
        <v>1215</v>
      </c>
      <c r="L197" s="16" t="s">
        <v>85</v>
      </c>
      <c r="M197" s="16" t="s">
        <v>1216</v>
      </c>
      <c r="N197" s="16" t="s">
        <v>914</v>
      </c>
      <c r="O197" s="16" t="s">
        <v>946</v>
      </c>
      <c r="P197" s="16" t="s">
        <v>914</v>
      </c>
      <c r="Q197" s="16" t="s">
        <v>946</v>
      </c>
      <c r="R197" s="16" t="s">
        <v>915</v>
      </c>
      <c r="S197" s="16" t="s">
        <v>915</v>
      </c>
      <c r="T197" s="16" t="s">
        <v>1216</v>
      </c>
      <c r="U197" s="16" t="s">
        <v>1217</v>
      </c>
      <c r="V197" s="16" t="s">
        <v>916</v>
      </c>
      <c r="W197" s="16" t="s">
        <v>1217</v>
      </c>
      <c r="X197" s="16" t="s">
        <v>934</v>
      </c>
      <c r="Y197" s="16" t="s">
        <v>934</v>
      </c>
      <c r="Z197" s="16" t="s">
        <v>935</v>
      </c>
      <c r="DA197" s="405" t="s">
        <v>5</v>
      </c>
      <c r="DB197" s="405" t="s">
        <v>363</v>
      </c>
      <c r="DC197" s="406" t="s">
        <v>85</v>
      </c>
      <c r="DD197" s="405" t="s">
        <v>917</v>
      </c>
      <c r="DE197" s="405" t="s">
        <v>5</v>
      </c>
      <c r="DF197" s="406" t="s">
        <v>85</v>
      </c>
      <c r="DG197" s="407">
        <v>45842</v>
      </c>
      <c r="DH197" s="405" t="s">
        <v>8956</v>
      </c>
      <c r="DI197" s="406">
        <v>465455</v>
      </c>
      <c r="DJ197" s="408">
        <v>5</v>
      </c>
      <c r="DK197" s="405">
        <v>1</v>
      </c>
      <c r="DL197" s="82">
        <v>319.22000000000003</v>
      </c>
      <c r="DM197" s="409">
        <v>1.5961000000000001</v>
      </c>
      <c r="DN197" s="82" t="s">
        <v>85</v>
      </c>
      <c r="DO197" s="82" t="s">
        <v>85</v>
      </c>
      <c r="DP197" s="410" t="s">
        <v>85</v>
      </c>
    </row>
    <row r="198" spans="1:120" x14ac:dyDescent="0.25">
      <c r="A198" s="16" t="s">
        <v>8959</v>
      </c>
      <c r="B198" s="16" t="s">
        <v>8960</v>
      </c>
      <c r="C198" s="16" t="s">
        <v>8961</v>
      </c>
      <c r="D198" s="16" t="s">
        <v>8645</v>
      </c>
      <c r="E198" s="16" t="s">
        <v>8962</v>
      </c>
      <c r="F198" s="16" t="s">
        <v>8963</v>
      </c>
      <c r="G198" s="16" t="s">
        <v>8964</v>
      </c>
      <c r="H198" s="16" t="s">
        <v>8965</v>
      </c>
      <c r="I198" s="16" t="s">
        <v>1066</v>
      </c>
      <c r="J198" s="16" t="s">
        <v>943</v>
      </c>
      <c r="K198" s="16" t="s">
        <v>1067</v>
      </c>
      <c r="L198" s="16" t="s">
        <v>85</v>
      </c>
      <c r="M198" s="16" t="s">
        <v>984</v>
      </c>
      <c r="N198" s="16" t="s">
        <v>914</v>
      </c>
      <c r="O198" s="16" t="s">
        <v>985</v>
      </c>
      <c r="P198" s="16" t="s">
        <v>914</v>
      </c>
      <c r="Q198" s="16" t="s">
        <v>985</v>
      </c>
      <c r="R198" s="16" t="s">
        <v>915</v>
      </c>
      <c r="S198" s="16" t="s">
        <v>915</v>
      </c>
      <c r="T198" s="16" t="s">
        <v>986</v>
      </c>
      <c r="U198" s="16" t="s">
        <v>987</v>
      </c>
      <c r="V198" s="16" t="s">
        <v>916</v>
      </c>
      <c r="W198" s="16" t="s">
        <v>987</v>
      </c>
      <c r="X198" s="16" t="s">
        <v>934</v>
      </c>
      <c r="Y198" s="16" t="s">
        <v>934</v>
      </c>
      <c r="Z198" s="16" t="s">
        <v>935</v>
      </c>
      <c r="DA198" s="405" t="s">
        <v>5</v>
      </c>
      <c r="DB198" s="405" t="s">
        <v>363</v>
      </c>
      <c r="DC198" s="406" t="s">
        <v>85</v>
      </c>
      <c r="DD198" s="405" t="s">
        <v>917</v>
      </c>
      <c r="DE198" s="405" t="s">
        <v>5</v>
      </c>
      <c r="DF198" s="406" t="s">
        <v>85</v>
      </c>
      <c r="DG198" s="407">
        <v>45842</v>
      </c>
      <c r="DH198" s="405" t="s">
        <v>8962</v>
      </c>
      <c r="DI198" s="406">
        <v>465455</v>
      </c>
      <c r="DJ198" s="408">
        <v>5</v>
      </c>
      <c r="DK198" s="405">
        <v>1</v>
      </c>
      <c r="DL198" s="82">
        <v>340.55</v>
      </c>
      <c r="DM198" s="409">
        <v>1.70275</v>
      </c>
      <c r="DN198" s="82" t="s">
        <v>85</v>
      </c>
      <c r="DO198" s="82" t="s">
        <v>85</v>
      </c>
      <c r="DP198" s="410" t="s">
        <v>85</v>
      </c>
    </row>
    <row r="199" spans="1:120" x14ac:dyDescent="0.25">
      <c r="A199" s="16" t="s">
        <v>8966</v>
      </c>
      <c r="B199" s="16" t="s">
        <v>8967</v>
      </c>
      <c r="C199" s="16" t="s">
        <v>8968</v>
      </c>
      <c r="D199" s="16" t="s">
        <v>8645</v>
      </c>
      <c r="E199" s="16" t="s">
        <v>8969</v>
      </c>
      <c r="F199" s="16" t="s">
        <v>8970</v>
      </c>
      <c r="G199" s="16" t="s">
        <v>8971</v>
      </c>
      <c r="H199" s="16" t="s">
        <v>8970</v>
      </c>
      <c r="I199" s="16" t="s">
        <v>8972</v>
      </c>
      <c r="J199" s="16" t="s">
        <v>928</v>
      </c>
      <c r="K199" s="16" t="s">
        <v>8973</v>
      </c>
      <c r="L199" s="16" t="s">
        <v>85</v>
      </c>
      <c r="M199" s="16" t="s">
        <v>1322</v>
      </c>
      <c r="N199" s="16" t="s">
        <v>914</v>
      </c>
      <c r="O199" s="16" t="s">
        <v>1323</v>
      </c>
      <c r="P199" s="16" t="s">
        <v>914</v>
      </c>
      <c r="Q199" s="16" t="s">
        <v>1323</v>
      </c>
      <c r="R199" s="16" t="s">
        <v>915</v>
      </c>
      <c r="S199" s="16" t="s">
        <v>915</v>
      </c>
      <c r="T199" s="16" t="s">
        <v>1322</v>
      </c>
      <c r="U199" s="16" t="s">
        <v>1324</v>
      </c>
      <c r="V199" s="16" t="s">
        <v>916</v>
      </c>
      <c r="W199" s="16" t="s">
        <v>1324</v>
      </c>
      <c r="X199" s="16" t="s">
        <v>934</v>
      </c>
      <c r="Y199" s="16" t="s">
        <v>934</v>
      </c>
      <c r="Z199" s="16" t="s">
        <v>935</v>
      </c>
      <c r="DA199" s="405" t="s">
        <v>5</v>
      </c>
      <c r="DB199" s="405" t="s">
        <v>363</v>
      </c>
      <c r="DC199" s="406" t="s">
        <v>85</v>
      </c>
      <c r="DD199" s="405" t="s">
        <v>917</v>
      </c>
      <c r="DE199" s="405" t="s">
        <v>5</v>
      </c>
      <c r="DF199" s="406" t="s">
        <v>85</v>
      </c>
      <c r="DG199" s="407">
        <v>45842</v>
      </c>
      <c r="DH199" s="405" t="s">
        <v>8969</v>
      </c>
      <c r="DI199" s="406">
        <v>465455</v>
      </c>
      <c r="DJ199" s="408">
        <v>5</v>
      </c>
      <c r="DK199" s="405">
        <v>1</v>
      </c>
      <c r="DL199" s="82">
        <v>332.47</v>
      </c>
      <c r="DM199" s="409">
        <v>1.6623500000000002</v>
      </c>
      <c r="DN199" s="82" t="s">
        <v>85</v>
      </c>
      <c r="DO199" s="82" t="s">
        <v>85</v>
      </c>
      <c r="DP199" s="410" t="s">
        <v>85</v>
      </c>
    </row>
    <row r="200" spans="1:120" x14ac:dyDescent="0.25">
      <c r="A200" s="16" t="s">
        <v>8974</v>
      </c>
      <c r="B200" s="16" t="s">
        <v>8975</v>
      </c>
      <c r="C200" s="16" t="s">
        <v>8976</v>
      </c>
      <c r="D200" s="16" t="s">
        <v>8645</v>
      </c>
      <c r="E200" s="16" t="s">
        <v>8977</v>
      </c>
      <c r="F200" s="16" t="s">
        <v>8978</v>
      </c>
      <c r="G200" s="16" t="s">
        <v>8979</v>
      </c>
      <c r="H200" s="16" t="s">
        <v>8980</v>
      </c>
      <c r="I200" s="16" t="s">
        <v>8981</v>
      </c>
      <c r="J200" s="16" t="s">
        <v>3579</v>
      </c>
      <c r="K200" s="16" t="s">
        <v>8982</v>
      </c>
      <c r="L200" s="16" t="s">
        <v>85</v>
      </c>
      <c r="M200" s="16" t="s">
        <v>2485</v>
      </c>
      <c r="N200" s="16" t="s">
        <v>914</v>
      </c>
      <c r="O200" s="16" t="s">
        <v>1397</v>
      </c>
      <c r="P200" s="16" t="s">
        <v>914</v>
      </c>
      <c r="Q200" s="16" t="s">
        <v>1397</v>
      </c>
      <c r="R200" s="16" t="s">
        <v>915</v>
      </c>
      <c r="S200" s="16" t="s">
        <v>915</v>
      </c>
      <c r="T200" s="16" t="s">
        <v>2485</v>
      </c>
      <c r="U200" s="16" t="s">
        <v>2486</v>
      </c>
      <c r="V200" s="16" t="s">
        <v>916</v>
      </c>
      <c r="W200" s="16" t="s">
        <v>2486</v>
      </c>
      <c r="X200" s="16" t="s">
        <v>934</v>
      </c>
      <c r="Y200" s="16" t="s">
        <v>934</v>
      </c>
      <c r="Z200" s="16" t="s">
        <v>935</v>
      </c>
      <c r="DA200" s="405" t="s">
        <v>5</v>
      </c>
      <c r="DB200" s="405" t="s">
        <v>363</v>
      </c>
      <c r="DC200" s="406" t="s">
        <v>85</v>
      </c>
      <c r="DD200" s="405" t="s">
        <v>917</v>
      </c>
      <c r="DE200" s="405" t="s">
        <v>5</v>
      </c>
      <c r="DF200" s="406" t="s">
        <v>85</v>
      </c>
      <c r="DG200" s="407">
        <v>45842</v>
      </c>
      <c r="DH200" s="405" t="s">
        <v>8977</v>
      </c>
      <c r="DI200" s="406">
        <v>465455</v>
      </c>
      <c r="DJ200" s="408">
        <v>5</v>
      </c>
      <c r="DK200" s="405">
        <v>1</v>
      </c>
      <c r="DL200" s="82">
        <v>266.05</v>
      </c>
      <c r="DM200" s="409">
        <v>1.3302500000000002</v>
      </c>
      <c r="DN200" s="82" t="s">
        <v>85</v>
      </c>
      <c r="DO200" s="82" t="s">
        <v>85</v>
      </c>
      <c r="DP200" s="410" t="s">
        <v>85</v>
      </c>
    </row>
    <row r="201" spans="1:120" x14ac:dyDescent="0.25">
      <c r="A201" s="16" t="s">
        <v>8983</v>
      </c>
      <c r="B201" s="16" t="s">
        <v>8984</v>
      </c>
      <c r="C201" s="16" t="s">
        <v>8985</v>
      </c>
      <c r="D201" s="16" t="s">
        <v>8645</v>
      </c>
      <c r="E201" s="16" t="s">
        <v>8986</v>
      </c>
      <c r="F201" s="16" t="s">
        <v>8987</v>
      </c>
      <c r="G201" s="16" t="s">
        <v>8988</v>
      </c>
      <c r="H201" s="16" t="s">
        <v>8987</v>
      </c>
      <c r="I201" s="16" t="s">
        <v>4018</v>
      </c>
      <c r="J201" s="16" t="s">
        <v>1109</v>
      </c>
      <c r="K201" s="16" t="s">
        <v>4019</v>
      </c>
      <c r="L201" s="16" t="s">
        <v>85</v>
      </c>
      <c r="M201" s="16" t="s">
        <v>1311</v>
      </c>
      <c r="N201" s="16" t="s">
        <v>914</v>
      </c>
      <c r="O201" s="16" t="s">
        <v>1312</v>
      </c>
      <c r="P201" s="16" t="s">
        <v>914</v>
      </c>
      <c r="Q201" s="16" t="s">
        <v>1312</v>
      </c>
      <c r="R201" s="16" t="s">
        <v>915</v>
      </c>
      <c r="S201" s="16" t="s">
        <v>915</v>
      </c>
      <c r="T201" s="16" t="s">
        <v>1311</v>
      </c>
      <c r="U201" s="16" t="s">
        <v>1313</v>
      </c>
      <c r="V201" s="16" t="s">
        <v>916</v>
      </c>
      <c r="W201" s="16" t="s">
        <v>1313</v>
      </c>
      <c r="X201" s="16" t="s">
        <v>934</v>
      </c>
      <c r="Y201" s="16" t="s">
        <v>934</v>
      </c>
      <c r="Z201" s="16" t="s">
        <v>935</v>
      </c>
      <c r="DA201" s="405" t="s">
        <v>5</v>
      </c>
      <c r="DB201" s="405" t="s">
        <v>363</v>
      </c>
      <c r="DC201" s="406" t="s">
        <v>85</v>
      </c>
      <c r="DD201" s="405" t="s">
        <v>917</v>
      </c>
      <c r="DE201" s="405" t="s">
        <v>5</v>
      </c>
      <c r="DF201" s="406" t="s">
        <v>85</v>
      </c>
      <c r="DG201" s="407">
        <v>45842</v>
      </c>
      <c r="DH201" s="405" t="s">
        <v>8986</v>
      </c>
      <c r="DI201" s="406">
        <v>465455</v>
      </c>
      <c r="DJ201" s="408">
        <v>5</v>
      </c>
      <c r="DK201" s="405">
        <v>1</v>
      </c>
      <c r="DL201" s="82">
        <v>531.54</v>
      </c>
      <c r="DM201" s="409">
        <v>2.6576999999999997</v>
      </c>
      <c r="DN201" s="82" t="s">
        <v>85</v>
      </c>
      <c r="DO201" s="82" t="s">
        <v>85</v>
      </c>
      <c r="DP201" s="410" t="s">
        <v>85</v>
      </c>
    </row>
    <row r="202" spans="1:120" x14ac:dyDescent="0.25">
      <c r="A202" s="16" t="s">
        <v>8989</v>
      </c>
      <c r="B202" s="16" t="s">
        <v>8990</v>
      </c>
      <c r="C202" s="16" t="s">
        <v>8991</v>
      </c>
      <c r="D202" s="16" t="s">
        <v>8645</v>
      </c>
      <c r="E202" s="16" t="s">
        <v>8992</v>
      </c>
      <c r="F202" s="16" t="s">
        <v>8993</v>
      </c>
      <c r="G202" s="16" t="s">
        <v>8994</v>
      </c>
      <c r="H202" s="16" t="s">
        <v>8995</v>
      </c>
      <c r="I202" s="16" t="s">
        <v>4273</v>
      </c>
      <c r="J202" s="16" t="s">
        <v>943</v>
      </c>
      <c r="K202" s="16" t="s">
        <v>4274</v>
      </c>
      <c r="L202" s="16" t="s">
        <v>85</v>
      </c>
      <c r="M202" s="16" t="s">
        <v>984</v>
      </c>
      <c r="N202" s="16" t="s">
        <v>914</v>
      </c>
      <c r="O202" s="16" t="s">
        <v>985</v>
      </c>
      <c r="P202" s="16" t="s">
        <v>914</v>
      </c>
      <c r="Q202" s="16" t="s">
        <v>985</v>
      </c>
      <c r="R202" s="16" t="s">
        <v>915</v>
      </c>
      <c r="S202" s="16" t="s">
        <v>915</v>
      </c>
      <c r="T202" s="16" t="s">
        <v>986</v>
      </c>
      <c r="U202" s="16" t="s">
        <v>987</v>
      </c>
      <c r="V202" s="16" t="s">
        <v>916</v>
      </c>
      <c r="W202" s="16" t="s">
        <v>987</v>
      </c>
      <c r="X202" s="16" t="s">
        <v>934</v>
      </c>
      <c r="Y202" s="16" t="s">
        <v>934</v>
      </c>
      <c r="Z202" s="16" t="s">
        <v>935</v>
      </c>
      <c r="DA202" s="405" t="s">
        <v>5</v>
      </c>
      <c r="DB202" s="405" t="s">
        <v>363</v>
      </c>
      <c r="DC202" s="406" t="s">
        <v>85</v>
      </c>
      <c r="DD202" s="405" t="s">
        <v>917</v>
      </c>
      <c r="DE202" s="405" t="s">
        <v>5</v>
      </c>
      <c r="DF202" s="406" t="s">
        <v>85</v>
      </c>
      <c r="DG202" s="407">
        <v>45842</v>
      </c>
      <c r="DH202" s="405" t="s">
        <v>8992</v>
      </c>
      <c r="DI202" s="406">
        <v>465455</v>
      </c>
      <c r="DJ202" s="408">
        <v>5</v>
      </c>
      <c r="DK202" s="405">
        <v>1</v>
      </c>
      <c r="DL202" s="82">
        <v>340.55</v>
      </c>
      <c r="DM202" s="409">
        <v>1.70275</v>
      </c>
      <c r="DN202" s="82" t="s">
        <v>85</v>
      </c>
      <c r="DO202" s="82" t="s">
        <v>85</v>
      </c>
      <c r="DP202" s="410" t="s">
        <v>85</v>
      </c>
    </row>
    <row r="203" spans="1:120" x14ac:dyDescent="0.25">
      <c r="A203" s="16" t="s">
        <v>8996</v>
      </c>
      <c r="B203" s="16" t="s">
        <v>8997</v>
      </c>
      <c r="C203" s="16" t="s">
        <v>8998</v>
      </c>
      <c r="D203" s="16" t="s">
        <v>8645</v>
      </c>
      <c r="E203" s="16" t="s">
        <v>8999</v>
      </c>
      <c r="F203" s="16" t="s">
        <v>9000</v>
      </c>
      <c r="G203" s="16" t="s">
        <v>9001</v>
      </c>
      <c r="H203" s="16" t="s">
        <v>9002</v>
      </c>
      <c r="I203" s="16" t="s">
        <v>1547</v>
      </c>
      <c r="J203" s="16" t="s">
        <v>943</v>
      </c>
      <c r="K203" s="16" t="s">
        <v>1548</v>
      </c>
      <c r="L203" s="16" t="s">
        <v>85</v>
      </c>
      <c r="M203" s="16" t="s">
        <v>984</v>
      </c>
      <c r="N203" s="16" t="s">
        <v>914</v>
      </c>
      <c r="O203" s="16" t="s">
        <v>985</v>
      </c>
      <c r="P203" s="16" t="s">
        <v>914</v>
      </c>
      <c r="Q203" s="16" t="s">
        <v>985</v>
      </c>
      <c r="R203" s="16" t="s">
        <v>915</v>
      </c>
      <c r="S203" s="16" t="s">
        <v>915</v>
      </c>
      <c r="T203" s="16" t="s">
        <v>986</v>
      </c>
      <c r="U203" s="16" t="s">
        <v>987</v>
      </c>
      <c r="V203" s="16" t="s">
        <v>916</v>
      </c>
      <c r="W203" s="16" t="s">
        <v>987</v>
      </c>
      <c r="X203" s="16" t="s">
        <v>934</v>
      </c>
      <c r="Y203" s="16" t="s">
        <v>934</v>
      </c>
      <c r="Z203" s="16" t="s">
        <v>935</v>
      </c>
      <c r="DA203" s="405" t="s">
        <v>5</v>
      </c>
      <c r="DB203" s="405" t="s">
        <v>363</v>
      </c>
      <c r="DC203" s="406" t="s">
        <v>85</v>
      </c>
      <c r="DD203" s="405" t="s">
        <v>917</v>
      </c>
      <c r="DE203" s="405" t="s">
        <v>5</v>
      </c>
      <c r="DF203" s="406" t="s">
        <v>85</v>
      </c>
      <c r="DG203" s="407">
        <v>45842</v>
      </c>
      <c r="DH203" s="405" t="s">
        <v>8999</v>
      </c>
      <c r="DI203" s="406">
        <v>465455</v>
      </c>
      <c r="DJ203" s="408">
        <v>5</v>
      </c>
      <c r="DK203" s="405">
        <v>1</v>
      </c>
      <c r="DL203" s="82">
        <v>340.55</v>
      </c>
      <c r="DM203" s="409">
        <v>1.70275</v>
      </c>
      <c r="DN203" s="82" t="s">
        <v>85</v>
      </c>
      <c r="DO203" s="82" t="s">
        <v>85</v>
      </c>
      <c r="DP203" s="410" t="s">
        <v>85</v>
      </c>
    </row>
    <row r="204" spans="1:120" x14ac:dyDescent="0.25">
      <c r="A204" s="16" t="s">
        <v>9003</v>
      </c>
      <c r="B204" s="16" t="s">
        <v>9004</v>
      </c>
      <c r="C204" s="16" t="s">
        <v>9005</v>
      </c>
      <c r="D204" s="16" t="s">
        <v>8645</v>
      </c>
      <c r="E204" s="16" t="s">
        <v>9006</v>
      </c>
      <c r="F204" s="16" t="s">
        <v>9007</v>
      </c>
      <c r="G204" s="16" t="s">
        <v>9008</v>
      </c>
      <c r="H204" s="16" t="s">
        <v>9009</v>
      </c>
      <c r="I204" s="16" t="s">
        <v>9010</v>
      </c>
      <c r="J204" s="16" t="s">
        <v>2483</v>
      </c>
      <c r="K204" s="16" t="s">
        <v>9011</v>
      </c>
      <c r="L204" s="16" t="s">
        <v>85</v>
      </c>
      <c r="M204" s="16" t="s">
        <v>2485</v>
      </c>
      <c r="N204" s="16" t="s">
        <v>914</v>
      </c>
      <c r="O204" s="16" t="s">
        <v>1397</v>
      </c>
      <c r="P204" s="16" t="s">
        <v>914</v>
      </c>
      <c r="Q204" s="16" t="s">
        <v>1397</v>
      </c>
      <c r="R204" s="16" t="s">
        <v>915</v>
      </c>
      <c r="S204" s="16" t="s">
        <v>915</v>
      </c>
      <c r="T204" s="16" t="s">
        <v>2485</v>
      </c>
      <c r="U204" s="16" t="s">
        <v>2486</v>
      </c>
      <c r="V204" s="16" t="s">
        <v>916</v>
      </c>
      <c r="W204" s="16" t="s">
        <v>2486</v>
      </c>
      <c r="X204" s="16" t="s">
        <v>934</v>
      </c>
      <c r="Y204" s="16" t="s">
        <v>934</v>
      </c>
      <c r="Z204" s="16" t="s">
        <v>935</v>
      </c>
      <c r="DA204" s="405" t="s">
        <v>5</v>
      </c>
      <c r="DB204" s="405" t="s">
        <v>363</v>
      </c>
      <c r="DC204" s="406" t="s">
        <v>85</v>
      </c>
      <c r="DD204" s="405" t="s">
        <v>917</v>
      </c>
      <c r="DE204" s="405" t="s">
        <v>5</v>
      </c>
      <c r="DF204" s="406" t="s">
        <v>85</v>
      </c>
      <c r="DG204" s="407">
        <v>45842</v>
      </c>
      <c r="DH204" s="405" t="s">
        <v>9006</v>
      </c>
      <c r="DI204" s="406">
        <v>465455</v>
      </c>
      <c r="DJ204" s="408">
        <v>5</v>
      </c>
      <c r="DK204" s="405">
        <v>1</v>
      </c>
      <c r="DL204" s="82">
        <v>266.05</v>
      </c>
      <c r="DM204" s="409">
        <v>1.3302500000000002</v>
      </c>
      <c r="DN204" s="82" t="s">
        <v>85</v>
      </c>
      <c r="DO204" s="82" t="s">
        <v>85</v>
      </c>
      <c r="DP204" s="410" t="s">
        <v>85</v>
      </c>
    </row>
    <row r="205" spans="1:120" x14ac:dyDescent="0.25">
      <c r="A205" s="16" t="s">
        <v>9012</v>
      </c>
      <c r="B205" s="16" t="s">
        <v>9013</v>
      </c>
      <c r="C205" s="16" t="s">
        <v>9014</v>
      </c>
      <c r="D205" s="16" t="s">
        <v>8645</v>
      </c>
      <c r="E205" s="16" t="s">
        <v>9015</v>
      </c>
      <c r="F205" s="16" t="s">
        <v>9016</v>
      </c>
      <c r="G205" s="16" t="s">
        <v>9017</v>
      </c>
      <c r="H205" s="16" t="s">
        <v>9016</v>
      </c>
      <c r="I205" s="16" t="s">
        <v>3224</v>
      </c>
      <c r="J205" s="16" t="s">
        <v>928</v>
      </c>
      <c r="K205" s="16" t="s">
        <v>3225</v>
      </c>
      <c r="L205" s="16" t="s">
        <v>85</v>
      </c>
      <c r="M205" s="16" t="s">
        <v>1322</v>
      </c>
      <c r="N205" s="16" t="s">
        <v>914</v>
      </c>
      <c r="O205" s="16" t="s">
        <v>1323</v>
      </c>
      <c r="P205" s="16" t="s">
        <v>914</v>
      </c>
      <c r="Q205" s="16" t="s">
        <v>1323</v>
      </c>
      <c r="R205" s="16" t="s">
        <v>915</v>
      </c>
      <c r="S205" s="16" t="s">
        <v>915</v>
      </c>
      <c r="T205" s="16" t="s">
        <v>1322</v>
      </c>
      <c r="U205" s="16" t="s">
        <v>1324</v>
      </c>
      <c r="V205" s="16" t="s">
        <v>916</v>
      </c>
      <c r="W205" s="16" t="s">
        <v>1324</v>
      </c>
      <c r="X205" s="16" t="s">
        <v>934</v>
      </c>
      <c r="Y205" s="16" t="s">
        <v>934</v>
      </c>
      <c r="Z205" s="16" t="s">
        <v>935</v>
      </c>
      <c r="DA205" s="405" t="s">
        <v>5</v>
      </c>
      <c r="DB205" s="405" t="s">
        <v>363</v>
      </c>
      <c r="DC205" s="406" t="s">
        <v>85</v>
      </c>
      <c r="DD205" s="405" t="s">
        <v>917</v>
      </c>
      <c r="DE205" s="405" t="s">
        <v>5</v>
      </c>
      <c r="DF205" s="406" t="s">
        <v>85</v>
      </c>
      <c r="DG205" s="407">
        <v>45842</v>
      </c>
      <c r="DH205" s="405" t="s">
        <v>9015</v>
      </c>
      <c r="DI205" s="406">
        <v>465455</v>
      </c>
      <c r="DJ205" s="408">
        <v>5</v>
      </c>
      <c r="DK205" s="405">
        <v>1</v>
      </c>
      <c r="DL205" s="82">
        <v>332.47</v>
      </c>
      <c r="DM205" s="409">
        <v>1.6623500000000002</v>
      </c>
      <c r="DN205" s="82" t="s">
        <v>85</v>
      </c>
      <c r="DO205" s="82" t="s">
        <v>85</v>
      </c>
      <c r="DP205" s="410" t="s">
        <v>85</v>
      </c>
    </row>
    <row r="206" spans="1:120" x14ac:dyDescent="0.25">
      <c r="A206" s="16" t="s">
        <v>9018</v>
      </c>
      <c r="B206" s="16" t="s">
        <v>9019</v>
      </c>
      <c r="C206" s="16" t="s">
        <v>9020</v>
      </c>
      <c r="D206" s="16" t="s">
        <v>8645</v>
      </c>
      <c r="E206" s="16" t="s">
        <v>9021</v>
      </c>
      <c r="F206" s="16" t="s">
        <v>9022</v>
      </c>
      <c r="G206" s="16" t="s">
        <v>9023</v>
      </c>
      <c r="H206" s="16" t="s">
        <v>9024</v>
      </c>
      <c r="I206" s="16" t="s">
        <v>2750</v>
      </c>
      <c r="J206" s="16" t="s">
        <v>995</v>
      </c>
      <c r="K206" s="16" t="s">
        <v>2751</v>
      </c>
      <c r="L206" s="16" t="s">
        <v>85</v>
      </c>
      <c r="M206" s="16" t="s">
        <v>1165</v>
      </c>
      <c r="N206" s="16" t="s">
        <v>914</v>
      </c>
      <c r="O206" s="16" t="s">
        <v>1166</v>
      </c>
      <c r="P206" s="16" t="s">
        <v>914</v>
      </c>
      <c r="Q206" s="16" t="s">
        <v>1166</v>
      </c>
      <c r="R206" s="16" t="s">
        <v>915</v>
      </c>
      <c r="S206" s="16" t="s">
        <v>915</v>
      </c>
      <c r="T206" s="16" t="s">
        <v>1167</v>
      </c>
      <c r="U206" s="16" t="s">
        <v>1168</v>
      </c>
      <c r="V206" s="16" t="s">
        <v>916</v>
      </c>
      <c r="W206" s="16" t="s">
        <v>1168</v>
      </c>
      <c r="X206" s="16" t="s">
        <v>934</v>
      </c>
      <c r="Y206" s="16" t="s">
        <v>934</v>
      </c>
      <c r="Z206" s="16" t="s">
        <v>935</v>
      </c>
      <c r="DA206" s="405" t="s">
        <v>5</v>
      </c>
      <c r="DB206" s="405" t="s">
        <v>363</v>
      </c>
      <c r="DC206" s="406" t="s">
        <v>85</v>
      </c>
      <c r="DD206" s="405" t="s">
        <v>917</v>
      </c>
      <c r="DE206" s="405" t="s">
        <v>5</v>
      </c>
      <c r="DF206" s="406" t="s">
        <v>85</v>
      </c>
      <c r="DG206" s="407">
        <v>45842</v>
      </c>
      <c r="DH206" s="405" t="s">
        <v>9021</v>
      </c>
      <c r="DI206" s="406">
        <v>465455</v>
      </c>
      <c r="DJ206" s="408">
        <v>5</v>
      </c>
      <c r="DK206" s="405">
        <v>1</v>
      </c>
      <c r="DL206" s="82">
        <v>468.28</v>
      </c>
      <c r="DM206" s="409">
        <v>2.3413999999999997</v>
      </c>
      <c r="DN206" s="82" t="s">
        <v>85</v>
      </c>
      <c r="DO206" s="82" t="s">
        <v>85</v>
      </c>
      <c r="DP206" s="410" t="s">
        <v>85</v>
      </c>
    </row>
    <row r="207" spans="1:120" x14ac:dyDescent="0.25">
      <c r="A207" s="16" t="s">
        <v>9025</v>
      </c>
      <c r="B207" s="16" t="s">
        <v>9026</v>
      </c>
      <c r="C207" s="16" t="s">
        <v>9027</v>
      </c>
      <c r="D207" s="16" t="s">
        <v>8645</v>
      </c>
      <c r="E207" s="16" t="s">
        <v>9028</v>
      </c>
      <c r="F207" s="16" t="s">
        <v>9029</v>
      </c>
      <c r="G207" s="16" t="s">
        <v>9030</v>
      </c>
      <c r="H207" s="16" t="s">
        <v>9031</v>
      </c>
      <c r="I207" s="16" t="s">
        <v>9032</v>
      </c>
      <c r="J207" s="16" t="s">
        <v>928</v>
      </c>
      <c r="K207" s="16" t="s">
        <v>9033</v>
      </c>
      <c r="L207" s="16" t="s">
        <v>85</v>
      </c>
      <c r="M207" s="16" t="s">
        <v>1322</v>
      </c>
      <c r="N207" s="16" t="s">
        <v>914</v>
      </c>
      <c r="O207" s="16" t="s">
        <v>1323</v>
      </c>
      <c r="P207" s="16" t="s">
        <v>914</v>
      </c>
      <c r="Q207" s="16" t="s">
        <v>1323</v>
      </c>
      <c r="R207" s="16" t="s">
        <v>915</v>
      </c>
      <c r="S207" s="16" t="s">
        <v>915</v>
      </c>
      <c r="T207" s="16" t="s">
        <v>1322</v>
      </c>
      <c r="U207" s="16" t="s">
        <v>1324</v>
      </c>
      <c r="V207" s="16" t="s">
        <v>916</v>
      </c>
      <c r="W207" s="16" t="s">
        <v>1324</v>
      </c>
      <c r="X207" s="16" t="s">
        <v>934</v>
      </c>
      <c r="Y207" s="16" t="s">
        <v>934</v>
      </c>
      <c r="Z207" s="16" t="s">
        <v>935</v>
      </c>
      <c r="DA207" s="405" t="s">
        <v>5</v>
      </c>
      <c r="DB207" s="405" t="s">
        <v>363</v>
      </c>
      <c r="DC207" s="406" t="s">
        <v>85</v>
      </c>
      <c r="DD207" s="405" t="s">
        <v>917</v>
      </c>
      <c r="DE207" s="405" t="s">
        <v>5</v>
      </c>
      <c r="DF207" s="406" t="s">
        <v>85</v>
      </c>
      <c r="DG207" s="407">
        <v>45842</v>
      </c>
      <c r="DH207" s="405" t="s">
        <v>9028</v>
      </c>
      <c r="DI207" s="406">
        <v>465455</v>
      </c>
      <c r="DJ207" s="408">
        <v>5</v>
      </c>
      <c r="DK207" s="405">
        <v>1</v>
      </c>
      <c r="DL207" s="82">
        <v>332.47</v>
      </c>
      <c r="DM207" s="409">
        <v>1.6623500000000002</v>
      </c>
      <c r="DN207" s="82" t="s">
        <v>85</v>
      </c>
      <c r="DO207" s="82" t="s">
        <v>85</v>
      </c>
      <c r="DP207" s="410" t="s">
        <v>85</v>
      </c>
    </row>
    <row r="208" spans="1:120" x14ac:dyDescent="0.25">
      <c r="A208" s="16" t="s">
        <v>9034</v>
      </c>
      <c r="B208" s="16" t="s">
        <v>9035</v>
      </c>
      <c r="C208" s="16" t="s">
        <v>9036</v>
      </c>
      <c r="D208" s="16" t="s">
        <v>8645</v>
      </c>
      <c r="E208" s="16" t="s">
        <v>9037</v>
      </c>
      <c r="F208" s="16" t="s">
        <v>9038</v>
      </c>
      <c r="G208" s="16" t="s">
        <v>9039</v>
      </c>
      <c r="H208" s="16" t="s">
        <v>9040</v>
      </c>
      <c r="I208" s="16" t="s">
        <v>9041</v>
      </c>
      <c r="J208" s="16" t="s">
        <v>943</v>
      </c>
      <c r="K208" s="16" t="s">
        <v>9042</v>
      </c>
      <c r="L208" s="16" t="s">
        <v>85</v>
      </c>
      <c r="M208" s="16" t="s">
        <v>984</v>
      </c>
      <c r="N208" s="16" t="s">
        <v>914</v>
      </c>
      <c r="O208" s="16" t="s">
        <v>985</v>
      </c>
      <c r="P208" s="16" t="s">
        <v>914</v>
      </c>
      <c r="Q208" s="16" t="s">
        <v>985</v>
      </c>
      <c r="R208" s="16" t="s">
        <v>915</v>
      </c>
      <c r="S208" s="16" t="s">
        <v>915</v>
      </c>
      <c r="T208" s="16" t="s">
        <v>986</v>
      </c>
      <c r="U208" s="16" t="s">
        <v>987</v>
      </c>
      <c r="V208" s="16" t="s">
        <v>916</v>
      </c>
      <c r="W208" s="16" t="s">
        <v>987</v>
      </c>
      <c r="X208" s="16" t="s">
        <v>934</v>
      </c>
      <c r="Y208" s="16" t="s">
        <v>934</v>
      </c>
      <c r="Z208" s="16" t="s">
        <v>935</v>
      </c>
      <c r="DA208" s="405" t="s">
        <v>5</v>
      </c>
      <c r="DB208" s="405" t="s">
        <v>363</v>
      </c>
      <c r="DC208" s="406" t="s">
        <v>85</v>
      </c>
      <c r="DD208" s="405" t="s">
        <v>917</v>
      </c>
      <c r="DE208" s="405" t="s">
        <v>5</v>
      </c>
      <c r="DF208" s="406" t="s">
        <v>85</v>
      </c>
      <c r="DG208" s="407">
        <v>45842</v>
      </c>
      <c r="DH208" s="405" t="s">
        <v>9037</v>
      </c>
      <c r="DI208" s="406">
        <v>465455</v>
      </c>
      <c r="DJ208" s="408">
        <v>5</v>
      </c>
      <c r="DK208" s="405">
        <v>1</v>
      </c>
      <c r="DL208" s="82">
        <v>340.55</v>
      </c>
      <c r="DM208" s="409">
        <v>1.70275</v>
      </c>
      <c r="DN208" s="82" t="s">
        <v>85</v>
      </c>
      <c r="DO208" s="82" t="s">
        <v>85</v>
      </c>
      <c r="DP208" s="410" t="s">
        <v>85</v>
      </c>
    </row>
    <row r="209" spans="1:120" x14ac:dyDescent="0.25">
      <c r="A209" s="16" t="s">
        <v>9043</v>
      </c>
      <c r="B209" s="16" t="s">
        <v>9044</v>
      </c>
      <c r="C209" s="16" t="s">
        <v>9045</v>
      </c>
      <c r="D209" s="16" t="s">
        <v>8645</v>
      </c>
      <c r="E209" s="16" t="s">
        <v>9046</v>
      </c>
      <c r="F209" s="16" t="s">
        <v>9047</v>
      </c>
      <c r="G209" s="16" t="s">
        <v>9048</v>
      </c>
      <c r="H209" s="16" t="s">
        <v>9047</v>
      </c>
      <c r="I209" s="16" t="s">
        <v>1090</v>
      </c>
      <c r="J209" s="16" t="s">
        <v>943</v>
      </c>
      <c r="K209" s="16" t="s">
        <v>1091</v>
      </c>
      <c r="L209" s="16" t="s">
        <v>85</v>
      </c>
      <c r="M209" s="16" t="s">
        <v>984</v>
      </c>
      <c r="N209" s="16" t="s">
        <v>914</v>
      </c>
      <c r="O209" s="16" t="s">
        <v>985</v>
      </c>
      <c r="P209" s="16" t="s">
        <v>914</v>
      </c>
      <c r="Q209" s="16" t="s">
        <v>985</v>
      </c>
      <c r="R209" s="16" t="s">
        <v>915</v>
      </c>
      <c r="S209" s="16" t="s">
        <v>915</v>
      </c>
      <c r="T209" s="16" t="s">
        <v>986</v>
      </c>
      <c r="U209" s="16" t="s">
        <v>987</v>
      </c>
      <c r="V209" s="16" t="s">
        <v>916</v>
      </c>
      <c r="W209" s="16" t="s">
        <v>987</v>
      </c>
      <c r="X209" s="16" t="s">
        <v>934</v>
      </c>
      <c r="Y209" s="16" t="s">
        <v>934</v>
      </c>
      <c r="Z209" s="16" t="s">
        <v>935</v>
      </c>
      <c r="DA209" s="405" t="s">
        <v>5</v>
      </c>
      <c r="DB209" s="405" t="s">
        <v>363</v>
      </c>
      <c r="DC209" s="406" t="s">
        <v>85</v>
      </c>
      <c r="DD209" s="405" t="s">
        <v>917</v>
      </c>
      <c r="DE209" s="405" t="s">
        <v>5</v>
      </c>
      <c r="DF209" s="406" t="s">
        <v>85</v>
      </c>
      <c r="DG209" s="407">
        <v>45842</v>
      </c>
      <c r="DH209" s="405" t="s">
        <v>9046</v>
      </c>
      <c r="DI209" s="406">
        <v>465455</v>
      </c>
      <c r="DJ209" s="408">
        <v>5</v>
      </c>
      <c r="DK209" s="405">
        <v>1</v>
      </c>
      <c r="DL209" s="82">
        <v>340.55</v>
      </c>
      <c r="DM209" s="409">
        <v>1.70275</v>
      </c>
      <c r="DN209" s="82" t="s">
        <v>85</v>
      </c>
      <c r="DO209" s="82" t="s">
        <v>85</v>
      </c>
      <c r="DP209" s="410" t="s">
        <v>85</v>
      </c>
    </row>
    <row r="210" spans="1:120" x14ac:dyDescent="0.25">
      <c r="A210" s="16" t="s">
        <v>8531</v>
      </c>
      <c r="B210" s="16" t="s">
        <v>8532</v>
      </c>
      <c r="C210" s="16" t="s">
        <v>8533</v>
      </c>
      <c r="D210" s="16" t="s">
        <v>8466</v>
      </c>
      <c r="E210" s="16" t="s">
        <v>8534</v>
      </c>
      <c r="F210" s="16" t="s">
        <v>8535</v>
      </c>
      <c r="G210" s="16" t="s">
        <v>8536</v>
      </c>
      <c r="H210" s="16" t="s">
        <v>8535</v>
      </c>
      <c r="I210" s="16" t="s">
        <v>1711</v>
      </c>
      <c r="J210" s="16" t="s">
        <v>943</v>
      </c>
      <c r="K210" s="16" t="s">
        <v>1712</v>
      </c>
      <c r="L210" s="16" t="s">
        <v>85</v>
      </c>
      <c r="M210" s="16" t="s">
        <v>984</v>
      </c>
      <c r="N210" s="16" t="s">
        <v>914</v>
      </c>
      <c r="O210" s="16" t="s">
        <v>985</v>
      </c>
      <c r="P210" s="16" t="s">
        <v>914</v>
      </c>
      <c r="Q210" s="16" t="s">
        <v>985</v>
      </c>
      <c r="R210" s="16" t="s">
        <v>915</v>
      </c>
      <c r="S210" s="16" t="s">
        <v>915</v>
      </c>
      <c r="T210" s="16" t="s">
        <v>986</v>
      </c>
      <c r="U210" s="16" t="s">
        <v>987</v>
      </c>
      <c r="V210" s="16" t="s">
        <v>916</v>
      </c>
      <c r="W210" s="16" t="s">
        <v>987</v>
      </c>
      <c r="X210" s="16" t="s">
        <v>934</v>
      </c>
      <c r="Y210" s="16" t="s">
        <v>934</v>
      </c>
      <c r="Z210" s="16" t="s">
        <v>935</v>
      </c>
      <c r="DA210" s="405" t="s">
        <v>5</v>
      </c>
      <c r="DB210" s="405" t="s">
        <v>363</v>
      </c>
      <c r="DC210" s="406" t="s">
        <v>85</v>
      </c>
      <c r="DD210" s="405" t="s">
        <v>917</v>
      </c>
      <c r="DE210" s="405" t="s">
        <v>5</v>
      </c>
      <c r="DF210" s="406" t="s">
        <v>85</v>
      </c>
      <c r="DG210" s="407">
        <v>45843</v>
      </c>
      <c r="DH210" s="405" t="s">
        <v>8534</v>
      </c>
      <c r="DI210" s="406">
        <v>465455</v>
      </c>
      <c r="DJ210" s="408">
        <v>5</v>
      </c>
      <c r="DK210" s="405">
        <v>1</v>
      </c>
      <c r="DL210" s="82">
        <v>340.55</v>
      </c>
      <c r="DM210" s="409">
        <v>1.70275</v>
      </c>
      <c r="DN210" s="82" t="s">
        <v>85</v>
      </c>
      <c r="DO210" s="82" t="s">
        <v>85</v>
      </c>
      <c r="DP210" s="410" t="s">
        <v>85</v>
      </c>
    </row>
    <row r="211" spans="1:120" x14ac:dyDescent="0.25">
      <c r="A211" s="16" t="s">
        <v>8531</v>
      </c>
      <c r="B211" s="16" t="s">
        <v>8532</v>
      </c>
      <c r="C211" s="16" t="s">
        <v>8533</v>
      </c>
      <c r="D211" s="16" t="s">
        <v>8466</v>
      </c>
      <c r="E211" s="16" t="s">
        <v>8534</v>
      </c>
      <c r="F211" s="16" t="s">
        <v>8535</v>
      </c>
      <c r="G211" s="16" t="s">
        <v>8536</v>
      </c>
      <c r="H211" s="16" t="s">
        <v>8535</v>
      </c>
      <c r="I211" s="16" t="s">
        <v>2136</v>
      </c>
      <c r="J211" s="16" t="s">
        <v>943</v>
      </c>
      <c r="K211" s="16" t="s">
        <v>2137</v>
      </c>
      <c r="L211" s="16" t="s">
        <v>85</v>
      </c>
      <c r="M211" s="16" t="s">
        <v>984</v>
      </c>
      <c r="N211" s="16" t="s">
        <v>914</v>
      </c>
      <c r="O211" s="16" t="s">
        <v>985</v>
      </c>
      <c r="P211" s="16" t="s">
        <v>914</v>
      </c>
      <c r="Q211" s="16" t="s">
        <v>985</v>
      </c>
      <c r="R211" s="16" t="s">
        <v>915</v>
      </c>
      <c r="S211" s="16" t="s">
        <v>915</v>
      </c>
      <c r="T211" s="16" t="s">
        <v>986</v>
      </c>
      <c r="U211" s="16" t="s">
        <v>987</v>
      </c>
      <c r="V211" s="16" t="s">
        <v>916</v>
      </c>
      <c r="W211" s="16" t="s">
        <v>987</v>
      </c>
      <c r="X211" s="16" t="s">
        <v>934</v>
      </c>
      <c r="Y211" s="16" t="s">
        <v>934</v>
      </c>
      <c r="Z211" s="16" t="s">
        <v>935</v>
      </c>
      <c r="DA211" s="405" t="s">
        <v>5</v>
      </c>
      <c r="DB211" s="405" t="s">
        <v>363</v>
      </c>
      <c r="DC211" s="406" t="s">
        <v>85</v>
      </c>
      <c r="DD211" s="405" t="s">
        <v>917</v>
      </c>
      <c r="DE211" s="405" t="s">
        <v>5</v>
      </c>
      <c r="DF211" s="406" t="s">
        <v>85</v>
      </c>
      <c r="DG211" s="407">
        <v>45843</v>
      </c>
      <c r="DH211" s="405" t="s">
        <v>8534</v>
      </c>
      <c r="DI211" s="406">
        <v>465455</v>
      </c>
      <c r="DJ211" s="408">
        <v>5</v>
      </c>
      <c r="DK211" s="405">
        <v>1</v>
      </c>
      <c r="DL211" s="82">
        <v>340.55</v>
      </c>
      <c r="DM211" s="409">
        <v>1.70275</v>
      </c>
      <c r="DN211" s="82" t="s">
        <v>85</v>
      </c>
      <c r="DO211" s="82" t="s">
        <v>85</v>
      </c>
      <c r="DP211" s="410" t="s">
        <v>85</v>
      </c>
    </row>
    <row r="212" spans="1:120" x14ac:dyDescent="0.25">
      <c r="A212" s="16" t="s">
        <v>8531</v>
      </c>
      <c r="B212" s="16" t="s">
        <v>8532</v>
      </c>
      <c r="C212" s="16" t="s">
        <v>8533</v>
      </c>
      <c r="D212" s="16" t="s">
        <v>8466</v>
      </c>
      <c r="E212" s="16" t="s">
        <v>8534</v>
      </c>
      <c r="F212" s="16" t="s">
        <v>8535</v>
      </c>
      <c r="G212" s="16" t="s">
        <v>8536</v>
      </c>
      <c r="H212" s="16" t="s">
        <v>8535</v>
      </c>
      <c r="I212" s="16" t="s">
        <v>1057</v>
      </c>
      <c r="J212" s="16" t="s">
        <v>943</v>
      </c>
      <c r="K212" s="16" t="s">
        <v>1058</v>
      </c>
      <c r="L212" s="16" t="s">
        <v>85</v>
      </c>
      <c r="M212" s="16" t="s">
        <v>984</v>
      </c>
      <c r="N212" s="16" t="s">
        <v>914</v>
      </c>
      <c r="O212" s="16" t="s">
        <v>985</v>
      </c>
      <c r="P212" s="16" t="s">
        <v>914</v>
      </c>
      <c r="Q212" s="16" t="s">
        <v>985</v>
      </c>
      <c r="R212" s="16" t="s">
        <v>915</v>
      </c>
      <c r="S212" s="16" t="s">
        <v>915</v>
      </c>
      <c r="T212" s="16" t="s">
        <v>986</v>
      </c>
      <c r="U212" s="16" t="s">
        <v>987</v>
      </c>
      <c r="V212" s="16" t="s">
        <v>916</v>
      </c>
      <c r="W212" s="16" t="s">
        <v>987</v>
      </c>
      <c r="X212" s="16" t="s">
        <v>934</v>
      </c>
      <c r="Y212" s="16" t="s">
        <v>934</v>
      </c>
      <c r="Z212" s="16" t="s">
        <v>935</v>
      </c>
      <c r="DA212" s="405" t="s">
        <v>5</v>
      </c>
      <c r="DB212" s="405" t="s">
        <v>363</v>
      </c>
      <c r="DC212" s="406" t="s">
        <v>85</v>
      </c>
      <c r="DD212" s="405" t="s">
        <v>917</v>
      </c>
      <c r="DE212" s="405" t="s">
        <v>5</v>
      </c>
      <c r="DF212" s="406" t="s">
        <v>85</v>
      </c>
      <c r="DG212" s="407">
        <v>45843</v>
      </c>
      <c r="DH212" s="405" t="s">
        <v>8534</v>
      </c>
      <c r="DI212" s="406">
        <v>465455</v>
      </c>
      <c r="DJ212" s="408">
        <v>5</v>
      </c>
      <c r="DK212" s="405">
        <v>1</v>
      </c>
      <c r="DL212" s="82">
        <v>340.55</v>
      </c>
      <c r="DM212" s="409">
        <v>1.70275</v>
      </c>
      <c r="DN212" s="82" t="s">
        <v>85</v>
      </c>
      <c r="DO212" s="82" t="s">
        <v>85</v>
      </c>
      <c r="DP212" s="410" t="s">
        <v>85</v>
      </c>
    </row>
    <row r="213" spans="1:120" x14ac:dyDescent="0.25">
      <c r="A213" s="16" t="s">
        <v>8537</v>
      </c>
      <c r="B213" s="16" t="s">
        <v>8538</v>
      </c>
      <c r="C213" s="16" t="s">
        <v>8539</v>
      </c>
      <c r="D213" s="16" t="s">
        <v>8466</v>
      </c>
      <c r="E213" s="16" t="s">
        <v>8540</v>
      </c>
      <c r="F213" s="16" t="s">
        <v>8541</v>
      </c>
      <c r="G213" s="16" t="s">
        <v>8542</v>
      </c>
      <c r="H213" s="16" t="s">
        <v>8543</v>
      </c>
      <c r="I213" s="16" t="s">
        <v>3998</v>
      </c>
      <c r="J213" s="16" t="s">
        <v>956</v>
      </c>
      <c r="K213" s="16" t="s">
        <v>3999</v>
      </c>
      <c r="L213" s="16" t="s">
        <v>85</v>
      </c>
      <c r="M213" s="16" t="s">
        <v>1396</v>
      </c>
      <c r="N213" s="16" t="s">
        <v>914</v>
      </c>
      <c r="O213" s="16" t="s">
        <v>1397</v>
      </c>
      <c r="P213" s="16" t="s">
        <v>914</v>
      </c>
      <c r="Q213" s="16" t="s">
        <v>1397</v>
      </c>
      <c r="R213" s="16" t="s">
        <v>915</v>
      </c>
      <c r="S213" s="16" t="s">
        <v>915</v>
      </c>
      <c r="T213" s="16" t="s">
        <v>1396</v>
      </c>
      <c r="U213" s="16" t="s">
        <v>1398</v>
      </c>
      <c r="V213" s="16" t="s">
        <v>916</v>
      </c>
      <c r="W213" s="16" t="s">
        <v>1398</v>
      </c>
      <c r="X213" s="16" t="s">
        <v>934</v>
      </c>
      <c r="Y213" s="16" t="s">
        <v>934</v>
      </c>
      <c r="Z213" s="16" t="s">
        <v>935</v>
      </c>
      <c r="DA213" s="405" t="s">
        <v>5</v>
      </c>
      <c r="DB213" s="405" t="s">
        <v>363</v>
      </c>
      <c r="DC213" s="406" t="s">
        <v>85</v>
      </c>
      <c r="DD213" s="405" t="s">
        <v>917</v>
      </c>
      <c r="DE213" s="405" t="s">
        <v>5</v>
      </c>
      <c r="DF213" s="406" t="s">
        <v>85</v>
      </c>
      <c r="DG213" s="407">
        <v>45843</v>
      </c>
      <c r="DH213" s="405" t="s">
        <v>8540</v>
      </c>
      <c r="DI213" s="406">
        <v>465455</v>
      </c>
      <c r="DJ213" s="408">
        <v>5</v>
      </c>
      <c r="DK213" s="405">
        <v>1</v>
      </c>
      <c r="DL213" s="82">
        <v>265.92</v>
      </c>
      <c r="DM213" s="409">
        <v>1.3296000000000001</v>
      </c>
      <c r="DN213" s="82" t="s">
        <v>85</v>
      </c>
      <c r="DO213" s="82" t="s">
        <v>85</v>
      </c>
      <c r="DP213" s="410" t="s">
        <v>85</v>
      </c>
    </row>
    <row r="214" spans="1:120" x14ac:dyDescent="0.25">
      <c r="A214" s="16" t="s">
        <v>8537</v>
      </c>
      <c r="B214" s="16" t="s">
        <v>8538</v>
      </c>
      <c r="C214" s="16" t="s">
        <v>8539</v>
      </c>
      <c r="D214" s="16" t="s">
        <v>8466</v>
      </c>
      <c r="E214" s="16" t="s">
        <v>8540</v>
      </c>
      <c r="F214" s="16" t="s">
        <v>8541</v>
      </c>
      <c r="G214" s="16" t="s">
        <v>8542</v>
      </c>
      <c r="H214" s="16" t="s">
        <v>8543</v>
      </c>
      <c r="I214" s="16" t="s">
        <v>976</v>
      </c>
      <c r="J214" s="16" t="s">
        <v>956</v>
      </c>
      <c r="K214" s="16" t="s">
        <v>977</v>
      </c>
      <c r="L214" s="16" t="s">
        <v>85</v>
      </c>
      <c r="M214" s="16" t="s">
        <v>1396</v>
      </c>
      <c r="N214" s="16" t="s">
        <v>914</v>
      </c>
      <c r="O214" s="16" t="s">
        <v>1397</v>
      </c>
      <c r="P214" s="16" t="s">
        <v>914</v>
      </c>
      <c r="Q214" s="16" t="s">
        <v>1397</v>
      </c>
      <c r="R214" s="16" t="s">
        <v>915</v>
      </c>
      <c r="S214" s="16" t="s">
        <v>915</v>
      </c>
      <c r="T214" s="16" t="s">
        <v>1396</v>
      </c>
      <c r="U214" s="16" t="s">
        <v>1398</v>
      </c>
      <c r="V214" s="16" t="s">
        <v>916</v>
      </c>
      <c r="W214" s="16" t="s">
        <v>1398</v>
      </c>
      <c r="X214" s="16" t="s">
        <v>934</v>
      </c>
      <c r="Y214" s="16" t="s">
        <v>934</v>
      </c>
      <c r="Z214" s="16" t="s">
        <v>935</v>
      </c>
      <c r="DA214" s="405" t="s">
        <v>5</v>
      </c>
      <c r="DB214" s="405" t="s">
        <v>363</v>
      </c>
      <c r="DC214" s="406" t="s">
        <v>85</v>
      </c>
      <c r="DD214" s="405" t="s">
        <v>917</v>
      </c>
      <c r="DE214" s="405" t="s">
        <v>5</v>
      </c>
      <c r="DF214" s="406" t="s">
        <v>85</v>
      </c>
      <c r="DG214" s="407">
        <v>45843</v>
      </c>
      <c r="DH214" s="405" t="s">
        <v>8540</v>
      </c>
      <c r="DI214" s="406">
        <v>465455</v>
      </c>
      <c r="DJ214" s="408">
        <v>5</v>
      </c>
      <c r="DK214" s="405">
        <v>1</v>
      </c>
      <c r="DL214" s="82">
        <v>265.92</v>
      </c>
      <c r="DM214" s="409">
        <v>1.3296000000000001</v>
      </c>
      <c r="DN214" s="82" t="s">
        <v>85</v>
      </c>
      <c r="DO214" s="82" t="s">
        <v>85</v>
      </c>
      <c r="DP214" s="410" t="s">
        <v>85</v>
      </c>
    </row>
    <row r="215" spans="1:120" x14ac:dyDescent="0.25">
      <c r="A215" s="16" t="s">
        <v>8544</v>
      </c>
      <c r="B215" s="16" t="s">
        <v>8545</v>
      </c>
      <c r="C215" s="16" t="s">
        <v>8546</v>
      </c>
      <c r="D215" s="16" t="s">
        <v>8466</v>
      </c>
      <c r="E215" s="16" t="s">
        <v>8547</v>
      </c>
      <c r="F215" s="16" t="s">
        <v>8548</v>
      </c>
      <c r="G215" s="16" t="s">
        <v>8549</v>
      </c>
      <c r="H215" s="16" t="s">
        <v>8541</v>
      </c>
      <c r="I215" s="16" t="s">
        <v>1017</v>
      </c>
      <c r="J215" s="16" t="s">
        <v>995</v>
      </c>
      <c r="K215" s="16" t="s">
        <v>1018</v>
      </c>
      <c r="L215" s="16" t="s">
        <v>85</v>
      </c>
      <c r="M215" s="16" t="s">
        <v>1165</v>
      </c>
      <c r="N215" s="16" t="s">
        <v>914</v>
      </c>
      <c r="O215" s="16" t="s">
        <v>1166</v>
      </c>
      <c r="P215" s="16" t="s">
        <v>914</v>
      </c>
      <c r="Q215" s="16" t="s">
        <v>1166</v>
      </c>
      <c r="R215" s="16" t="s">
        <v>915</v>
      </c>
      <c r="S215" s="16" t="s">
        <v>915</v>
      </c>
      <c r="T215" s="16" t="s">
        <v>1167</v>
      </c>
      <c r="U215" s="16" t="s">
        <v>1168</v>
      </c>
      <c r="V215" s="16" t="s">
        <v>916</v>
      </c>
      <c r="W215" s="16" t="s">
        <v>1168</v>
      </c>
      <c r="X215" s="16" t="s">
        <v>934</v>
      </c>
      <c r="Y215" s="16" t="s">
        <v>934</v>
      </c>
      <c r="Z215" s="16" t="s">
        <v>935</v>
      </c>
      <c r="DA215" s="405" t="s">
        <v>5</v>
      </c>
      <c r="DB215" s="405" t="s">
        <v>363</v>
      </c>
      <c r="DC215" s="406" t="s">
        <v>85</v>
      </c>
      <c r="DD215" s="405" t="s">
        <v>917</v>
      </c>
      <c r="DE215" s="405" t="s">
        <v>5</v>
      </c>
      <c r="DF215" s="406" t="s">
        <v>85</v>
      </c>
      <c r="DG215" s="407">
        <v>45843</v>
      </c>
      <c r="DH215" s="405" t="s">
        <v>8547</v>
      </c>
      <c r="DI215" s="406">
        <v>465455</v>
      </c>
      <c r="DJ215" s="408">
        <v>5</v>
      </c>
      <c r="DK215" s="405">
        <v>1</v>
      </c>
      <c r="DL215" s="82">
        <v>468.28</v>
      </c>
      <c r="DM215" s="409">
        <v>2.3413999999999997</v>
      </c>
      <c r="DN215" s="82" t="s">
        <v>85</v>
      </c>
      <c r="DO215" s="82" t="s">
        <v>85</v>
      </c>
      <c r="DP215" s="410" t="s">
        <v>85</v>
      </c>
    </row>
    <row r="216" spans="1:120" x14ac:dyDescent="0.25">
      <c r="A216" s="16" t="s">
        <v>8550</v>
      </c>
      <c r="B216" s="16" t="s">
        <v>8551</v>
      </c>
      <c r="C216" s="16" t="s">
        <v>8552</v>
      </c>
      <c r="D216" s="16" t="s">
        <v>8466</v>
      </c>
      <c r="E216" s="16" t="s">
        <v>8553</v>
      </c>
      <c r="F216" s="16" t="s">
        <v>8554</v>
      </c>
      <c r="G216" s="16" t="s">
        <v>8555</v>
      </c>
      <c r="H216" s="16" t="s">
        <v>8556</v>
      </c>
      <c r="I216" s="16" t="s">
        <v>1099</v>
      </c>
      <c r="J216" s="16" t="s">
        <v>943</v>
      </c>
      <c r="K216" s="16" t="s">
        <v>1100</v>
      </c>
      <c r="L216" s="16" t="s">
        <v>85</v>
      </c>
      <c r="M216" s="16" t="s">
        <v>984</v>
      </c>
      <c r="N216" s="16" t="s">
        <v>914</v>
      </c>
      <c r="O216" s="16" t="s">
        <v>985</v>
      </c>
      <c r="P216" s="16" t="s">
        <v>914</v>
      </c>
      <c r="Q216" s="16" t="s">
        <v>985</v>
      </c>
      <c r="R216" s="16" t="s">
        <v>915</v>
      </c>
      <c r="S216" s="16" t="s">
        <v>915</v>
      </c>
      <c r="T216" s="16" t="s">
        <v>986</v>
      </c>
      <c r="U216" s="16" t="s">
        <v>987</v>
      </c>
      <c r="V216" s="16" t="s">
        <v>916</v>
      </c>
      <c r="W216" s="16" t="s">
        <v>987</v>
      </c>
      <c r="X216" s="16" t="s">
        <v>934</v>
      </c>
      <c r="Y216" s="16" t="s">
        <v>934</v>
      </c>
      <c r="Z216" s="16" t="s">
        <v>935</v>
      </c>
      <c r="DA216" s="405" t="s">
        <v>5</v>
      </c>
      <c r="DB216" s="405" t="s">
        <v>363</v>
      </c>
      <c r="DC216" s="406" t="s">
        <v>85</v>
      </c>
      <c r="DD216" s="405" t="s">
        <v>917</v>
      </c>
      <c r="DE216" s="405" t="s">
        <v>5</v>
      </c>
      <c r="DF216" s="406" t="s">
        <v>85</v>
      </c>
      <c r="DG216" s="407">
        <v>45843</v>
      </c>
      <c r="DH216" s="405" t="s">
        <v>8553</v>
      </c>
      <c r="DI216" s="406">
        <v>465455</v>
      </c>
      <c r="DJ216" s="408">
        <v>5</v>
      </c>
      <c r="DK216" s="405">
        <v>1</v>
      </c>
      <c r="DL216" s="82">
        <v>340.55</v>
      </c>
      <c r="DM216" s="409">
        <v>1.70275</v>
      </c>
      <c r="DN216" s="82" t="s">
        <v>85</v>
      </c>
      <c r="DO216" s="82" t="s">
        <v>85</v>
      </c>
      <c r="DP216" s="410" t="s">
        <v>85</v>
      </c>
    </row>
    <row r="217" spans="1:120" x14ac:dyDescent="0.25">
      <c r="A217" s="16" t="s">
        <v>8557</v>
      </c>
      <c r="B217" s="16" t="s">
        <v>8558</v>
      </c>
      <c r="C217" s="16" t="s">
        <v>8559</v>
      </c>
      <c r="D217" s="16" t="s">
        <v>8466</v>
      </c>
      <c r="E217" s="16" t="s">
        <v>8560</v>
      </c>
      <c r="F217" s="16" t="s">
        <v>8561</v>
      </c>
      <c r="G217" s="16" t="s">
        <v>8562</v>
      </c>
      <c r="H217" s="16" t="s">
        <v>8561</v>
      </c>
      <c r="I217" s="16" t="s">
        <v>7143</v>
      </c>
      <c r="J217" s="16" t="s">
        <v>1123</v>
      </c>
      <c r="K217" s="16" t="s">
        <v>7144</v>
      </c>
      <c r="L217" s="16" t="s">
        <v>85</v>
      </c>
      <c r="M217" s="16" t="s">
        <v>1238</v>
      </c>
      <c r="N217" s="16" t="s">
        <v>914</v>
      </c>
      <c r="O217" s="16" t="s">
        <v>1239</v>
      </c>
      <c r="P217" s="16" t="s">
        <v>914</v>
      </c>
      <c r="Q217" s="16" t="s">
        <v>1239</v>
      </c>
      <c r="R217" s="16" t="s">
        <v>915</v>
      </c>
      <c r="S217" s="16" t="s">
        <v>915</v>
      </c>
      <c r="T217" s="16" t="s">
        <v>1238</v>
      </c>
      <c r="U217" s="16" t="s">
        <v>1240</v>
      </c>
      <c r="V217" s="16" t="s">
        <v>916</v>
      </c>
      <c r="W217" s="16" t="s">
        <v>1240</v>
      </c>
      <c r="X217" s="16" t="s">
        <v>934</v>
      </c>
      <c r="Y217" s="16" t="s">
        <v>934</v>
      </c>
      <c r="Z217" s="16" t="s">
        <v>935</v>
      </c>
      <c r="DA217" s="405" t="s">
        <v>5</v>
      </c>
      <c r="DB217" s="405" t="s">
        <v>363</v>
      </c>
      <c r="DC217" s="406" t="s">
        <v>85</v>
      </c>
      <c r="DD217" s="405" t="s">
        <v>917</v>
      </c>
      <c r="DE217" s="405" t="s">
        <v>5</v>
      </c>
      <c r="DF217" s="406" t="s">
        <v>85</v>
      </c>
      <c r="DG217" s="407">
        <v>45843</v>
      </c>
      <c r="DH217" s="405" t="s">
        <v>8560</v>
      </c>
      <c r="DI217" s="406">
        <v>465455</v>
      </c>
      <c r="DJ217" s="408">
        <v>5</v>
      </c>
      <c r="DK217" s="405">
        <v>1</v>
      </c>
      <c r="DL217" s="82">
        <v>383.16</v>
      </c>
      <c r="DM217" s="409">
        <v>1.9158000000000002</v>
      </c>
      <c r="DN217" s="82" t="s">
        <v>85</v>
      </c>
      <c r="DO217" s="82" t="s">
        <v>85</v>
      </c>
      <c r="DP217" s="410" t="s">
        <v>85</v>
      </c>
    </row>
    <row r="218" spans="1:120" x14ac:dyDescent="0.25">
      <c r="A218" s="16" t="s">
        <v>8563</v>
      </c>
      <c r="B218" s="16" t="s">
        <v>8564</v>
      </c>
      <c r="C218" s="16" t="s">
        <v>8565</v>
      </c>
      <c r="D218" s="16" t="s">
        <v>8466</v>
      </c>
      <c r="E218" s="16" t="s">
        <v>8566</v>
      </c>
      <c r="F218" s="16" t="s">
        <v>8567</v>
      </c>
      <c r="G218" s="16" t="s">
        <v>8568</v>
      </c>
      <c r="H218" s="16" t="s">
        <v>8569</v>
      </c>
      <c r="I218" s="16" t="s">
        <v>8570</v>
      </c>
      <c r="J218" s="16" t="s">
        <v>8571</v>
      </c>
      <c r="K218" s="16" t="s">
        <v>8572</v>
      </c>
      <c r="L218" s="16" t="s">
        <v>85</v>
      </c>
      <c r="M218" s="16" t="s">
        <v>1216</v>
      </c>
      <c r="N218" s="16" t="s">
        <v>914</v>
      </c>
      <c r="O218" s="16" t="s">
        <v>946</v>
      </c>
      <c r="P218" s="16" t="s">
        <v>914</v>
      </c>
      <c r="Q218" s="16" t="s">
        <v>946</v>
      </c>
      <c r="R218" s="16" t="s">
        <v>915</v>
      </c>
      <c r="S218" s="16" t="s">
        <v>915</v>
      </c>
      <c r="T218" s="16" t="s">
        <v>1216</v>
      </c>
      <c r="U218" s="16" t="s">
        <v>1217</v>
      </c>
      <c r="V218" s="16" t="s">
        <v>916</v>
      </c>
      <c r="W218" s="16" t="s">
        <v>1217</v>
      </c>
      <c r="X218" s="16" t="s">
        <v>934</v>
      </c>
      <c r="Y218" s="16" t="s">
        <v>934</v>
      </c>
      <c r="Z218" s="16" t="s">
        <v>935</v>
      </c>
      <c r="DA218" s="405" t="s">
        <v>5</v>
      </c>
      <c r="DB218" s="405" t="s">
        <v>363</v>
      </c>
      <c r="DC218" s="406" t="s">
        <v>85</v>
      </c>
      <c r="DD218" s="405" t="s">
        <v>917</v>
      </c>
      <c r="DE218" s="405" t="s">
        <v>5</v>
      </c>
      <c r="DF218" s="406" t="s">
        <v>85</v>
      </c>
      <c r="DG218" s="407">
        <v>45843</v>
      </c>
      <c r="DH218" s="405" t="s">
        <v>8566</v>
      </c>
      <c r="DI218" s="406">
        <v>465455</v>
      </c>
      <c r="DJ218" s="408">
        <v>5</v>
      </c>
      <c r="DK218" s="405">
        <v>1</v>
      </c>
      <c r="DL218" s="82">
        <v>319.22000000000003</v>
      </c>
      <c r="DM218" s="409">
        <v>1.5961000000000001</v>
      </c>
      <c r="DN218" s="82" t="s">
        <v>85</v>
      </c>
      <c r="DO218" s="82" t="s">
        <v>85</v>
      </c>
      <c r="DP218" s="410" t="s">
        <v>85</v>
      </c>
    </row>
    <row r="219" spans="1:120" x14ac:dyDescent="0.25">
      <c r="A219" s="16" t="s">
        <v>8573</v>
      </c>
      <c r="B219" s="16" t="s">
        <v>8574</v>
      </c>
      <c r="C219" s="16" t="s">
        <v>8575</v>
      </c>
      <c r="D219" s="16" t="s">
        <v>8466</v>
      </c>
      <c r="E219" s="16" t="s">
        <v>8576</v>
      </c>
      <c r="F219" s="16" t="s">
        <v>8577</v>
      </c>
      <c r="G219" s="16" t="s">
        <v>8578</v>
      </c>
      <c r="H219" s="16" t="s">
        <v>8579</v>
      </c>
      <c r="I219" s="16" t="s">
        <v>1448</v>
      </c>
      <c r="J219" s="16" t="s">
        <v>1036</v>
      </c>
      <c r="K219" s="16" t="s">
        <v>1449</v>
      </c>
      <c r="L219" s="16" t="s">
        <v>85</v>
      </c>
      <c r="M219" s="16" t="s">
        <v>1216</v>
      </c>
      <c r="N219" s="16" t="s">
        <v>914</v>
      </c>
      <c r="O219" s="16" t="s">
        <v>946</v>
      </c>
      <c r="P219" s="16" t="s">
        <v>914</v>
      </c>
      <c r="Q219" s="16" t="s">
        <v>946</v>
      </c>
      <c r="R219" s="16" t="s">
        <v>915</v>
      </c>
      <c r="S219" s="16" t="s">
        <v>915</v>
      </c>
      <c r="T219" s="16" t="s">
        <v>1216</v>
      </c>
      <c r="U219" s="16" t="s">
        <v>1217</v>
      </c>
      <c r="V219" s="16" t="s">
        <v>916</v>
      </c>
      <c r="W219" s="16" t="s">
        <v>1217</v>
      </c>
      <c r="X219" s="16" t="s">
        <v>934</v>
      </c>
      <c r="Y219" s="16" t="s">
        <v>934</v>
      </c>
      <c r="Z219" s="16" t="s">
        <v>935</v>
      </c>
      <c r="DA219" s="405" t="s">
        <v>5</v>
      </c>
      <c r="DB219" s="405" t="s">
        <v>363</v>
      </c>
      <c r="DC219" s="406" t="s">
        <v>85</v>
      </c>
      <c r="DD219" s="405" t="s">
        <v>917</v>
      </c>
      <c r="DE219" s="405" t="s">
        <v>5</v>
      </c>
      <c r="DF219" s="406" t="s">
        <v>85</v>
      </c>
      <c r="DG219" s="407">
        <v>45843</v>
      </c>
      <c r="DH219" s="405" t="s">
        <v>8576</v>
      </c>
      <c r="DI219" s="406">
        <v>465455</v>
      </c>
      <c r="DJ219" s="408">
        <v>5</v>
      </c>
      <c r="DK219" s="405">
        <v>1</v>
      </c>
      <c r="DL219" s="82">
        <v>319.22000000000003</v>
      </c>
      <c r="DM219" s="409">
        <v>1.5961000000000001</v>
      </c>
      <c r="DN219" s="82" t="s">
        <v>85</v>
      </c>
      <c r="DO219" s="82" t="s">
        <v>85</v>
      </c>
      <c r="DP219" s="410" t="s">
        <v>85</v>
      </c>
    </row>
    <row r="220" spans="1:120" x14ac:dyDescent="0.25">
      <c r="A220" s="16" t="s">
        <v>8573</v>
      </c>
      <c r="B220" s="16" t="s">
        <v>8574</v>
      </c>
      <c r="C220" s="16" t="s">
        <v>8575</v>
      </c>
      <c r="D220" s="16" t="s">
        <v>8466</v>
      </c>
      <c r="E220" s="16" t="s">
        <v>8576</v>
      </c>
      <c r="F220" s="16" t="s">
        <v>8577</v>
      </c>
      <c r="G220" s="16" t="s">
        <v>8578</v>
      </c>
      <c r="H220" s="16" t="s">
        <v>8579</v>
      </c>
      <c r="I220" s="16" t="s">
        <v>1937</v>
      </c>
      <c r="J220" s="16" t="s">
        <v>1036</v>
      </c>
      <c r="K220" s="16" t="s">
        <v>1938</v>
      </c>
      <c r="L220" s="16" t="s">
        <v>85</v>
      </c>
      <c r="M220" s="16" t="s">
        <v>1216</v>
      </c>
      <c r="N220" s="16" t="s">
        <v>914</v>
      </c>
      <c r="O220" s="16" t="s">
        <v>946</v>
      </c>
      <c r="P220" s="16" t="s">
        <v>914</v>
      </c>
      <c r="Q220" s="16" t="s">
        <v>946</v>
      </c>
      <c r="R220" s="16" t="s">
        <v>915</v>
      </c>
      <c r="S220" s="16" t="s">
        <v>915</v>
      </c>
      <c r="T220" s="16" t="s">
        <v>1216</v>
      </c>
      <c r="U220" s="16" t="s">
        <v>1217</v>
      </c>
      <c r="V220" s="16" t="s">
        <v>916</v>
      </c>
      <c r="W220" s="16" t="s">
        <v>1217</v>
      </c>
      <c r="X220" s="16" t="s">
        <v>934</v>
      </c>
      <c r="Y220" s="16" t="s">
        <v>934</v>
      </c>
      <c r="Z220" s="16" t="s">
        <v>935</v>
      </c>
      <c r="DA220" s="405" t="s">
        <v>5</v>
      </c>
      <c r="DB220" s="405" t="s">
        <v>363</v>
      </c>
      <c r="DC220" s="406" t="s">
        <v>85</v>
      </c>
      <c r="DD220" s="405" t="s">
        <v>917</v>
      </c>
      <c r="DE220" s="405" t="s">
        <v>5</v>
      </c>
      <c r="DF220" s="406" t="s">
        <v>85</v>
      </c>
      <c r="DG220" s="407">
        <v>45843</v>
      </c>
      <c r="DH220" s="405" t="s">
        <v>8576</v>
      </c>
      <c r="DI220" s="406">
        <v>465455</v>
      </c>
      <c r="DJ220" s="408">
        <v>5</v>
      </c>
      <c r="DK220" s="405">
        <v>1</v>
      </c>
      <c r="DL220" s="82">
        <v>319.22000000000003</v>
      </c>
      <c r="DM220" s="409">
        <v>1.5961000000000001</v>
      </c>
      <c r="DN220" s="82" t="s">
        <v>85</v>
      </c>
      <c r="DO220" s="82" t="s">
        <v>85</v>
      </c>
      <c r="DP220" s="410" t="s">
        <v>85</v>
      </c>
    </row>
    <row r="221" spans="1:120" x14ac:dyDescent="0.25">
      <c r="A221" s="16" t="s">
        <v>8580</v>
      </c>
      <c r="B221" s="16" t="s">
        <v>8581</v>
      </c>
      <c r="C221" s="16" t="s">
        <v>8582</v>
      </c>
      <c r="D221" s="16" t="s">
        <v>8466</v>
      </c>
      <c r="E221" s="16" t="s">
        <v>8583</v>
      </c>
      <c r="F221" s="16" t="s">
        <v>8577</v>
      </c>
      <c r="G221" s="16" t="s">
        <v>8584</v>
      </c>
      <c r="H221" s="16" t="s">
        <v>8577</v>
      </c>
      <c r="I221" s="16" t="s">
        <v>1423</v>
      </c>
      <c r="J221" s="16" t="s">
        <v>928</v>
      </c>
      <c r="K221" s="16" t="s">
        <v>1424</v>
      </c>
      <c r="L221" s="16" t="s">
        <v>85</v>
      </c>
      <c r="M221" s="16" t="s">
        <v>1322</v>
      </c>
      <c r="N221" s="16" t="s">
        <v>914</v>
      </c>
      <c r="O221" s="16" t="s">
        <v>1323</v>
      </c>
      <c r="P221" s="16" t="s">
        <v>914</v>
      </c>
      <c r="Q221" s="16" t="s">
        <v>1323</v>
      </c>
      <c r="R221" s="16" t="s">
        <v>915</v>
      </c>
      <c r="S221" s="16" t="s">
        <v>915</v>
      </c>
      <c r="T221" s="16" t="s">
        <v>1322</v>
      </c>
      <c r="U221" s="16" t="s">
        <v>1324</v>
      </c>
      <c r="V221" s="16" t="s">
        <v>916</v>
      </c>
      <c r="W221" s="16" t="s">
        <v>1324</v>
      </c>
      <c r="X221" s="16" t="s">
        <v>934</v>
      </c>
      <c r="Y221" s="16" t="s">
        <v>934</v>
      </c>
      <c r="Z221" s="16" t="s">
        <v>935</v>
      </c>
      <c r="DA221" s="405" t="s">
        <v>5</v>
      </c>
      <c r="DB221" s="405" t="s">
        <v>363</v>
      </c>
      <c r="DC221" s="406" t="s">
        <v>85</v>
      </c>
      <c r="DD221" s="405" t="s">
        <v>917</v>
      </c>
      <c r="DE221" s="405" t="s">
        <v>5</v>
      </c>
      <c r="DF221" s="406" t="s">
        <v>85</v>
      </c>
      <c r="DG221" s="407">
        <v>45843</v>
      </c>
      <c r="DH221" s="405" t="s">
        <v>8583</v>
      </c>
      <c r="DI221" s="406">
        <v>465455</v>
      </c>
      <c r="DJ221" s="408">
        <v>5</v>
      </c>
      <c r="DK221" s="405">
        <v>1</v>
      </c>
      <c r="DL221" s="82">
        <v>332.47</v>
      </c>
      <c r="DM221" s="409">
        <v>1.6623500000000002</v>
      </c>
      <c r="DN221" s="82" t="s">
        <v>85</v>
      </c>
      <c r="DO221" s="82" t="s">
        <v>85</v>
      </c>
      <c r="DP221" s="410" t="s">
        <v>85</v>
      </c>
    </row>
    <row r="222" spans="1:120" x14ac:dyDescent="0.25">
      <c r="A222" s="16" t="s">
        <v>8585</v>
      </c>
      <c r="B222" s="16" t="s">
        <v>8586</v>
      </c>
      <c r="C222" s="16" t="s">
        <v>8587</v>
      </c>
      <c r="D222" s="16" t="s">
        <v>8466</v>
      </c>
      <c r="E222" s="16" t="s">
        <v>8588</v>
      </c>
      <c r="F222" s="16" t="s">
        <v>8589</v>
      </c>
      <c r="G222" s="16" t="s">
        <v>8590</v>
      </c>
      <c r="H222" s="16" t="s">
        <v>8591</v>
      </c>
      <c r="I222" s="16" t="s">
        <v>8125</v>
      </c>
      <c r="J222" s="16" t="s">
        <v>928</v>
      </c>
      <c r="K222" s="16" t="s">
        <v>8126</v>
      </c>
      <c r="L222" s="16" t="s">
        <v>85</v>
      </c>
      <c r="M222" s="16" t="s">
        <v>1322</v>
      </c>
      <c r="N222" s="16" t="s">
        <v>914</v>
      </c>
      <c r="O222" s="16" t="s">
        <v>1323</v>
      </c>
      <c r="P222" s="16" t="s">
        <v>914</v>
      </c>
      <c r="Q222" s="16" t="s">
        <v>1323</v>
      </c>
      <c r="R222" s="16" t="s">
        <v>915</v>
      </c>
      <c r="S222" s="16" t="s">
        <v>915</v>
      </c>
      <c r="T222" s="16" t="s">
        <v>1322</v>
      </c>
      <c r="U222" s="16" t="s">
        <v>1324</v>
      </c>
      <c r="V222" s="16" t="s">
        <v>916</v>
      </c>
      <c r="W222" s="16" t="s">
        <v>1324</v>
      </c>
      <c r="X222" s="16" t="s">
        <v>934</v>
      </c>
      <c r="Y222" s="16" t="s">
        <v>934</v>
      </c>
      <c r="Z222" s="16" t="s">
        <v>935</v>
      </c>
      <c r="DA222" s="405" t="s">
        <v>5</v>
      </c>
      <c r="DB222" s="405" t="s">
        <v>363</v>
      </c>
      <c r="DC222" s="406" t="s">
        <v>85</v>
      </c>
      <c r="DD222" s="405" t="s">
        <v>917</v>
      </c>
      <c r="DE222" s="405" t="s">
        <v>5</v>
      </c>
      <c r="DF222" s="406" t="s">
        <v>85</v>
      </c>
      <c r="DG222" s="407">
        <v>45843</v>
      </c>
      <c r="DH222" s="405" t="s">
        <v>8588</v>
      </c>
      <c r="DI222" s="406">
        <v>465455</v>
      </c>
      <c r="DJ222" s="408">
        <v>5</v>
      </c>
      <c r="DK222" s="405">
        <v>1</v>
      </c>
      <c r="DL222" s="82">
        <v>332.47</v>
      </c>
      <c r="DM222" s="409">
        <v>1.6623500000000002</v>
      </c>
      <c r="DN222" s="82" t="s">
        <v>85</v>
      </c>
      <c r="DO222" s="82" t="s">
        <v>85</v>
      </c>
      <c r="DP222" s="410" t="s">
        <v>85</v>
      </c>
    </row>
    <row r="223" spans="1:120" x14ac:dyDescent="0.25">
      <c r="A223" s="16" t="s">
        <v>8592</v>
      </c>
      <c r="B223" s="16" t="s">
        <v>8593</v>
      </c>
      <c r="C223" s="16" t="s">
        <v>8594</v>
      </c>
      <c r="D223" s="16" t="s">
        <v>8466</v>
      </c>
      <c r="E223" s="16" t="s">
        <v>8595</v>
      </c>
      <c r="F223" s="16" t="s">
        <v>8591</v>
      </c>
      <c r="G223" s="16" t="s">
        <v>8596</v>
      </c>
      <c r="H223" s="16" t="s">
        <v>8591</v>
      </c>
      <c r="I223" s="16" t="s">
        <v>976</v>
      </c>
      <c r="J223" s="16" t="s">
        <v>956</v>
      </c>
      <c r="K223" s="16" t="s">
        <v>977</v>
      </c>
      <c r="L223" s="16" t="s">
        <v>85</v>
      </c>
      <c r="M223" s="16" t="s">
        <v>1396</v>
      </c>
      <c r="N223" s="16" t="s">
        <v>914</v>
      </c>
      <c r="O223" s="16" t="s">
        <v>1397</v>
      </c>
      <c r="P223" s="16" t="s">
        <v>914</v>
      </c>
      <c r="Q223" s="16" t="s">
        <v>1397</v>
      </c>
      <c r="R223" s="16" t="s">
        <v>915</v>
      </c>
      <c r="S223" s="16" t="s">
        <v>915</v>
      </c>
      <c r="T223" s="16" t="s">
        <v>1396</v>
      </c>
      <c r="U223" s="16" t="s">
        <v>1398</v>
      </c>
      <c r="V223" s="16" t="s">
        <v>916</v>
      </c>
      <c r="W223" s="16" t="s">
        <v>1398</v>
      </c>
      <c r="X223" s="16" t="s">
        <v>934</v>
      </c>
      <c r="Y223" s="16" t="s">
        <v>934</v>
      </c>
      <c r="Z223" s="16" t="s">
        <v>935</v>
      </c>
      <c r="DA223" s="405" t="s">
        <v>5</v>
      </c>
      <c r="DB223" s="405" t="s">
        <v>363</v>
      </c>
      <c r="DC223" s="406" t="s">
        <v>85</v>
      </c>
      <c r="DD223" s="405" t="s">
        <v>917</v>
      </c>
      <c r="DE223" s="405" t="s">
        <v>5</v>
      </c>
      <c r="DF223" s="406" t="s">
        <v>85</v>
      </c>
      <c r="DG223" s="407">
        <v>45843</v>
      </c>
      <c r="DH223" s="405" t="s">
        <v>8595</v>
      </c>
      <c r="DI223" s="406">
        <v>465455</v>
      </c>
      <c r="DJ223" s="408">
        <v>5</v>
      </c>
      <c r="DK223" s="405">
        <v>1</v>
      </c>
      <c r="DL223" s="82">
        <v>265.92</v>
      </c>
      <c r="DM223" s="409">
        <v>1.3296000000000001</v>
      </c>
      <c r="DN223" s="82" t="s">
        <v>85</v>
      </c>
      <c r="DO223" s="82" t="s">
        <v>85</v>
      </c>
      <c r="DP223" s="410" t="s">
        <v>85</v>
      </c>
    </row>
    <row r="224" spans="1:120" x14ac:dyDescent="0.25">
      <c r="A224" s="16" t="s">
        <v>8597</v>
      </c>
      <c r="B224" s="16" t="s">
        <v>8598</v>
      </c>
      <c r="C224" s="16" t="s">
        <v>8599</v>
      </c>
      <c r="D224" s="16" t="s">
        <v>8466</v>
      </c>
      <c r="E224" s="16" t="s">
        <v>8600</v>
      </c>
      <c r="F224" s="16" t="s">
        <v>8601</v>
      </c>
      <c r="G224" s="16" t="s">
        <v>8602</v>
      </c>
      <c r="H224" s="16" t="s">
        <v>8601</v>
      </c>
      <c r="I224" s="16" t="s">
        <v>8603</v>
      </c>
      <c r="J224" s="16" t="s">
        <v>8604</v>
      </c>
      <c r="K224" s="16" t="s">
        <v>8605</v>
      </c>
      <c r="L224" s="16" t="s">
        <v>85</v>
      </c>
      <c r="M224" s="16" t="s">
        <v>8606</v>
      </c>
      <c r="N224" s="16" t="s">
        <v>914</v>
      </c>
      <c r="O224" s="16" t="s">
        <v>8607</v>
      </c>
      <c r="P224" s="16" t="s">
        <v>914</v>
      </c>
      <c r="Q224" s="16" t="s">
        <v>8607</v>
      </c>
      <c r="R224" s="16" t="s">
        <v>915</v>
      </c>
      <c r="S224" s="16" t="s">
        <v>915</v>
      </c>
      <c r="T224" s="16" t="s">
        <v>8606</v>
      </c>
      <c r="U224" s="16" t="s">
        <v>8608</v>
      </c>
      <c r="V224" s="16" t="s">
        <v>916</v>
      </c>
      <c r="W224" s="16" t="s">
        <v>8608</v>
      </c>
      <c r="X224" s="16" t="s">
        <v>934</v>
      </c>
      <c r="Y224" s="16" t="s">
        <v>934</v>
      </c>
      <c r="Z224" s="16" t="s">
        <v>935</v>
      </c>
      <c r="DA224" s="405" t="s">
        <v>5</v>
      </c>
      <c r="DB224" s="405" t="s">
        <v>363</v>
      </c>
      <c r="DC224" s="406" t="s">
        <v>85</v>
      </c>
      <c r="DD224" s="405" t="s">
        <v>917</v>
      </c>
      <c r="DE224" s="405" t="s">
        <v>5</v>
      </c>
      <c r="DF224" s="406" t="s">
        <v>85</v>
      </c>
      <c r="DG224" s="407">
        <v>45843</v>
      </c>
      <c r="DH224" s="405" t="s">
        <v>8600</v>
      </c>
      <c r="DI224" s="406">
        <v>465455</v>
      </c>
      <c r="DJ224" s="408">
        <v>5</v>
      </c>
      <c r="DK224" s="405">
        <v>1</v>
      </c>
      <c r="DL224" s="82">
        <v>297.92</v>
      </c>
      <c r="DM224" s="409">
        <v>1.4896</v>
      </c>
      <c r="DN224" s="82" t="s">
        <v>85</v>
      </c>
      <c r="DO224" s="82" t="s">
        <v>85</v>
      </c>
      <c r="DP224" s="410" t="s">
        <v>85</v>
      </c>
    </row>
    <row r="225" spans="1:120" x14ac:dyDescent="0.25">
      <c r="A225" s="16" t="s">
        <v>8609</v>
      </c>
      <c r="B225" s="16" t="s">
        <v>8610</v>
      </c>
      <c r="C225" s="16" t="s">
        <v>8611</v>
      </c>
      <c r="D225" s="16" t="s">
        <v>8466</v>
      </c>
      <c r="E225" s="16" t="s">
        <v>8612</v>
      </c>
      <c r="F225" s="16" t="s">
        <v>8613</v>
      </c>
      <c r="G225" s="16" t="s">
        <v>8614</v>
      </c>
      <c r="H225" s="16" t="s">
        <v>8613</v>
      </c>
      <c r="I225" s="16" t="s">
        <v>1937</v>
      </c>
      <c r="J225" s="16" t="s">
        <v>1036</v>
      </c>
      <c r="K225" s="16" t="s">
        <v>1938</v>
      </c>
      <c r="L225" s="16" t="s">
        <v>85</v>
      </c>
      <c r="M225" s="16" t="s">
        <v>1216</v>
      </c>
      <c r="N225" s="16" t="s">
        <v>914</v>
      </c>
      <c r="O225" s="16" t="s">
        <v>946</v>
      </c>
      <c r="P225" s="16" t="s">
        <v>914</v>
      </c>
      <c r="Q225" s="16" t="s">
        <v>946</v>
      </c>
      <c r="R225" s="16" t="s">
        <v>915</v>
      </c>
      <c r="S225" s="16" t="s">
        <v>915</v>
      </c>
      <c r="T225" s="16" t="s">
        <v>1216</v>
      </c>
      <c r="U225" s="16" t="s">
        <v>1217</v>
      </c>
      <c r="V225" s="16" t="s">
        <v>916</v>
      </c>
      <c r="W225" s="16" t="s">
        <v>1217</v>
      </c>
      <c r="X225" s="16" t="s">
        <v>934</v>
      </c>
      <c r="Y225" s="16" t="s">
        <v>934</v>
      </c>
      <c r="Z225" s="16" t="s">
        <v>935</v>
      </c>
      <c r="DA225" s="405" t="s">
        <v>5</v>
      </c>
      <c r="DB225" s="405" t="s">
        <v>363</v>
      </c>
      <c r="DC225" s="406" t="s">
        <v>85</v>
      </c>
      <c r="DD225" s="405" t="s">
        <v>917</v>
      </c>
      <c r="DE225" s="405" t="s">
        <v>5</v>
      </c>
      <c r="DF225" s="406" t="s">
        <v>85</v>
      </c>
      <c r="DG225" s="407">
        <v>45843</v>
      </c>
      <c r="DH225" s="405" t="s">
        <v>8612</v>
      </c>
      <c r="DI225" s="406">
        <v>465455</v>
      </c>
      <c r="DJ225" s="408">
        <v>5</v>
      </c>
      <c r="DK225" s="405">
        <v>1</v>
      </c>
      <c r="DL225" s="82">
        <v>319.22000000000003</v>
      </c>
      <c r="DM225" s="409">
        <v>1.5961000000000001</v>
      </c>
      <c r="DN225" s="82" t="s">
        <v>85</v>
      </c>
      <c r="DO225" s="82" t="s">
        <v>85</v>
      </c>
      <c r="DP225" s="410" t="s">
        <v>85</v>
      </c>
    </row>
    <row r="226" spans="1:120" x14ac:dyDescent="0.25">
      <c r="A226" s="16" t="s">
        <v>8609</v>
      </c>
      <c r="B226" s="16" t="s">
        <v>8610</v>
      </c>
      <c r="C226" s="16" t="s">
        <v>8611</v>
      </c>
      <c r="D226" s="16" t="s">
        <v>8466</v>
      </c>
      <c r="E226" s="16" t="s">
        <v>8612</v>
      </c>
      <c r="F226" s="16" t="s">
        <v>8613</v>
      </c>
      <c r="G226" s="16" t="s">
        <v>8614</v>
      </c>
      <c r="H226" s="16" t="s">
        <v>8613</v>
      </c>
      <c r="I226" s="16" t="s">
        <v>1448</v>
      </c>
      <c r="J226" s="16" t="s">
        <v>1036</v>
      </c>
      <c r="K226" s="16" t="s">
        <v>1449</v>
      </c>
      <c r="L226" s="16" t="s">
        <v>85</v>
      </c>
      <c r="M226" s="16" t="s">
        <v>1216</v>
      </c>
      <c r="N226" s="16" t="s">
        <v>914</v>
      </c>
      <c r="O226" s="16" t="s">
        <v>946</v>
      </c>
      <c r="P226" s="16" t="s">
        <v>914</v>
      </c>
      <c r="Q226" s="16" t="s">
        <v>946</v>
      </c>
      <c r="R226" s="16" t="s">
        <v>915</v>
      </c>
      <c r="S226" s="16" t="s">
        <v>915</v>
      </c>
      <c r="T226" s="16" t="s">
        <v>1216</v>
      </c>
      <c r="U226" s="16" t="s">
        <v>1217</v>
      </c>
      <c r="V226" s="16" t="s">
        <v>916</v>
      </c>
      <c r="W226" s="16" t="s">
        <v>1217</v>
      </c>
      <c r="X226" s="16" t="s">
        <v>934</v>
      </c>
      <c r="Y226" s="16" t="s">
        <v>934</v>
      </c>
      <c r="Z226" s="16" t="s">
        <v>935</v>
      </c>
      <c r="DA226" s="405" t="s">
        <v>5</v>
      </c>
      <c r="DB226" s="405" t="s">
        <v>363</v>
      </c>
      <c r="DC226" s="406" t="s">
        <v>85</v>
      </c>
      <c r="DD226" s="405" t="s">
        <v>917</v>
      </c>
      <c r="DE226" s="405" t="s">
        <v>5</v>
      </c>
      <c r="DF226" s="406" t="s">
        <v>85</v>
      </c>
      <c r="DG226" s="407">
        <v>45843</v>
      </c>
      <c r="DH226" s="405" t="s">
        <v>8612</v>
      </c>
      <c r="DI226" s="406">
        <v>465455</v>
      </c>
      <c r="DJ226" s="408">
        <v>5</v>
      </c>
      <c r="DK226" s="405">
        <v>1</v>
      </c>
      <c r="DL226" s="82">
        <v>319.22000000000003</v>
      </c>
      <c r="DM226" s="409">
        <v>1.5961000000000001</v>
      </c>
      <c r="DN226" s="82" t="s">
        <v>85</v>
      </c>
      <c r="DO226" s="82" t="s">
        <v>85</v>
      </c>
      <c r="DP226" s="410" t="s">
        <v>85</v>
      </c>
    </row>
    <row r="227" spans="1:120" x14ac:dyDescent="0.25">
      <c r="A227" s="16" t="s">
        <v>8615</v>
      </c>
      <c r="B227" s="16" t="s">
        <v>8616</v>
      </c>
      <c r="C227" s="16" t="s">
        <v>8617</v>
      </c>
      <c r="D227" s="16" t="s">
        <v>8466</v>
      </c>
      <c r="E227" s="16" t="s">
        <v>8618</v>
      </c>
      <c r="F227" s="16" t="s">
        <v>8619</v>
      </c>
      <c r="G227" s="16" t="s">
        <v>8620</v>
      </c>
      <c r="H227" s="16" t="s">
        <v>8621</v>
      </c>
      <c r="I227" s="16" t="s">
        <v>1620</v>
      </c>
      <c r="J227" s="16" t="s">
        <v>943</v>
      </c>
      <c r="K227" s="16" t="s">
        <v>1621</v>
      </c>
      <c r="L227" s="16" t="s">
        <v>85</v>
      </c>
      <c r="M227" s="16" t="s">
        <v>984</v>
      </c>
      <c r="N227" s="16" t="s">
        <v>914</v>
      </c>
      <c r="O227" s="16" t="s">
        <v>985</v>
      </c>
      <c r="P227" s="16" t="s">
        <v>914</v>
      </c>
      <c r="Q227" s="16" t="s">
        <v>985</v>
      </c>
      <c r="R227" s="16" t="s">
        <v>915</v>
      </c>
      <c r="S227" s="16" t="s">
        <v>915</v>
      </c>
      <c r="T227" s="16" t="s">
        <v>986</v>
      </c>
      <c r="U227" s="16" t="s">
        <v>987</v>
      </c>
      <c r="V227" s="16" t="s">
        <v>916</v>
      </c>
      <c r="W227" s="16" t="s">
        <v>987</v>
      </c>
      <c r="X227" s="16" t="s">
        <v>934</v>
      </c>
      <c r="Y227" s="16" t="s">
        <v>934</v>
      </c>
      <c r="Z227" s="16" t="s">
        <v>935</v>
      </c>
      <c r="DA227" s="405" t="s">
        <v>5</v>
      </c>
      <c r="DB227" s="405" t="s">
        <v>363</v>
      </c>
      <c r="DC227" s="406" t="s">
        <v>85</v>
      </c>
      <c r="DD227" s="405" t="s">
        <v>917</v>
      </c>
      <c r="DE227" s="405" t="s">
        <v>5</v>
      </c>
      <c r="DF227" s="406" t="s">
        <v>85</v>
      </c>
      <c r="DG227" s="407">
        <v>45843</v>
      </c>
      <c r="DH227" s="405" t="s">
        <v>8618</v>
      </c>
      <c r="DI227" s="406">
        <v>465455</v>
      </c>
      <c r="DJ227" s="408">
        <v>5</v>
      </c>
      <c r="DK227" s="405">
        <v>1</v>
      </c>
      <c r="DL227" s="82">
        <v>340.55</v>
      </c>
      <c r="DM227" s="409">
        <v>1.70275</v>
      </c>
      <c r="DN227" s="82" t="s">
        <v>85</v>
      </c>
      <c r="DO227" s="82" t="s">
        <v>85</v>
      </c>
      <c r="DP227" s="410" t="s">
        <v>85</v>
      </c>
    </row>
    <row r="228" spans="1:120" x14ac:dyDescent="0.25">
      <c r="A228" s="16" t="s">
        <v>8622</v>
      </c>
      <c r="B228" s="16" t="s">
        <v>8623</v>
      </c>
      <c r="C228" s="16" t="s">
        <v>8624</v>
      </c>
      <c r="D228" s="16" t="s">
        <v>8466</v>
      </c>
      <c r="E228" s="16" t="s">
        <v>8625</v>
      </c>
      <c r="F228" s="16" t="s">
        <v>8626</v>
      </c>
      <c r="G228" s="16" t="s">
        <v>8627</v>
      </c>
      <c r="H228" s="16" t="s">
        <v>8628</v>
      </c>
      <c r="I228" s="16" t="s">
        <v>1598</v>
      </c>
      <c r="J228" s="16" t="s">
        <v>995</v>
      </c>
      <c r="K228" s="16" t="s">
        <v>1599</v>
      </c>
      <c r="L228" s="16" t="s">
        <v>85</v>
      </c>
      <c r="M228" s="16" t="s">
        <v>1165</v>
      </c>
      <c r="N228" s="16" t="s">
        <v>914</v>
      </c>
      <c r="O228" s="16" t="s">
        <v>1166</v>
      </c>
      <c r="P228" s="16" t="s">
        <v>914</v>
      </c>
      <c r="Q228" s="16" t="s">
        <v>1166</v>
      </c>
      <c r="R228" s="16" t="s">
        <v>915</v>
      </c>
      <c r="S228" s="16" t="s">
        <v>915</v>
      </c>
      <c r="T228" s="16" t="s">
        <v>1167</v>
      </c>
      <c r="U228" s="16" t="s">
        <v>1168</v>
      </c>
      <c r="V228" s="16" t="s">
        <v>916</v>
      </c>
      <c r="W228" s="16" t="s">
        <v>1168</v>
      </c>
      <c r="X228" s="16" t="s">
        <v>934</v>
      </c>
      <c r="Y228" s="16" t="s">
        <v>934</v>
      </c>
      <c r="Z228" s="16" t="s">
        <v>935</v>
      </c>
      <c r="DA228" s="405" t="s">
        <v>5</v>
      </c>
      <c r="DB228" s="405" t="s">
        <v>363</v>
      </c>
      <c r="DC228" s="406" t="s">
        <v>85</v>
      </c>
      <c r="DD228" s="405" t="s">
        <v>917</v>
      </c>
      <c r="DE228" s="405" t="s">
        <v>5</v>
      </c>
      <c r="DF228" s="406" t="s">
        <v>85</v>
      </c>
      <c r="DG228" s="407">
        <v>45843</v>
      </c>
      <c r="DH228" s="405" t="s">
        <v>8625</v>
      </c>
      <c r="DI228" s="406">
        <v>465455</v>
      </c>
      <c r="DJ228" s="408">
        <v>5</v>
      </c>
      <c r="DK228" s="405">
        <v>1</v>
      </c>
      <c r="DL228" s="82">
        <v>468.28</v>
      </c>
      <c r="DM228" s="409">
        <v>2.3413999999999997</v>
      </c>
      <c r="DN228" s="82" t="s">
        <v>85</v>
      </c>
      <c r="DO228" s="82" t="s">
        <v>85</v>
      </c>
      <c r="DP228" s="410" t="s">
        <v>85</v>
      </c>
    </row>
    <row r="229" spans="1:120" x14ac:dyDescent="0.25">
      <c r="A229" s="16" t="s">
        <v>8629</v>
      </c>
      <c r="B229" s="16" t="s">
        <v>8630</v>
      </c>
      <c r="C229" s="16" t="s">
        <v>8631</v>
      </c>
      <c r="D229" s="16" t="s">
        <v>8466</v>
      </c>
      <c r="E229" s="16" t="s">
        <v>8632</v>
      </c>
      <c r="F229" s="16" t="s">
        <v>8633</v>
      </c>
      <c r="G229" s="16" t="s">
        <v>8634</v>
      </c>
      <c r="H229" s="16" t="s">
        <v>8633</v>
      </c>
      <c r="I229" s="16" t="s">
        <v>1287</v>
      </c>
      <c r="J229" s="16" t="s">
        <v>943</v>
      </c>
      <c r="K229" s="16" t="s">
        <v>1288</v>
      </c>
      <c r="L229" s="16" t="s">
        <v>85</v>
      </c>
      <c r="M229" s="16" t="s">
        <v>984</v>
      </c>
      <c r="N229" s="16" t="s">
        <v>914</v>
      </c>
      <c r="O229" s="16" t="s">
        <v>985</v>
      </c>
      <c r="P229" s="16" t="s">
        <v>914</v>
      </c>
      <c r="Q229" s="16" t="s">
        <v>985</v>
      </c>
      <c r="R229" s="16" t="s">
        <v>915</v>
      </c>
      <c r="S229" s="16" t="s">
        <v>915</v>
      </c>
      <c r="T229" s="16" t="s">
        <v>986</v>
      </c>
      <c r="U229" s="16" t="s">
        <v>987</v>
      </c>
      <c r="V229" s="16" t="s">
        <v>916</v>
      </c>
      <c r="W229" s="16" t="s">
        <v>987</v>
      </c>
      <c r="X229" s="16" t="s">
        <v>934</v>
      </c>
      <c r="Y229" s="16" t="s">
        <v>934</v>
      </c>
      <c r="Z229" s="16" t="s">
        <v>935</v>
      </c>
      <c r="DA229" s="405" t="s">
        <v>5</v>
      </c>
      <c r="DB229" s="405" t="s">
        <v>363</v>
      </c>
      <c r="DC229" s="406" t="s">
        <v>85</v>
      </c>
      <c r="DD229" s="405" t="s">
        <v>917</v>
      </c>
      <c r="DE229" s="405" t="s">
        <v>5</v>
      </c>
      <c r="DF229" s="406" t="s">
        <v>85</v>
      </c>
      <c r="DG229" s="407">
        <v>45843</v>
      </c>
      <c r="DH229" s="405" t="s">
        <v>8632</v>
      </c>
      <c r="DI229" s="406">
        <v>465455</v>
      </c>
      <c r="DJ229" s="408">
        <v>5</v>
      </c>
      <c r="DK229" s="405">
        <v>1</v>
      </c>
      <c r="DL229" s="82">
        <v>340.55</v>
      </c>
      <c r="DM229" s="409">
        <v>1.70275</v>
      </c>
      <c r="DN229" s="82" t="s">
        <v>85</v>
      </c>
      <c r="DO229" s="82" t="s">
        <v>85</v>
      </c>
      <c r="DP229" s="410" t="s">
        <v>85</v>
      </c>
    </row>
    <row r="230" spans="1:120" x14ac:dyDescent="0.25">
      <c r="A230" s="16" t="s">
        <v>8635</v>
      </c>
      <c r="B230" s="16" t="s">
        <v>8636</v>
      </c>
      <c r="C230" s="16" t="s">
        <v>8637</v>
      </c>
      <c r="D230" s="16" t="s">
        <v>8466</v>
      </c>
      <c r="E230" s="16" t="s">
        <v>8638</v>
      </c>
      <c r="F230" s="16" t="s">
        <v>8639</v>
      </c>
      <c r="G230" s="16" t="s">
        <v>8640</v>
      </c>
      <c r="H230" s="16" t="s">
        <v>8641</v>
      </c>
      <c r="I230" s="16" t="s">
        <v>1970</v>
      </c>
      <c r="J230" s="16" t="s">
        <v>995</v>
      </c>
      <c r="K230" s="16" t="s">
        <v>1971</v>
      </c>
      <c r="L230" s="16" t="s">
        <v>85</v>
      </c>
      <c r="M230" s="16" t="s">
        <v>1165</v>
      </c>
      <c r="N230" s="16" t="s">
        <v>914</v>
      </c>
      <c r="O230" s="16" t="s">
        <v>1166</v>
      </c>
      <c r="P230" s="16" t="s">
        <v>914</v>
      </c>
      <c r="Q230" s="16" t="s">
        <v>1166</v>
      </c>
      <c r="R230" s="16" t="s">
        <v>915</v>
      </c>
      <c r="S230" s="16" t="s">
        <v>915</v>
      </c>
      <c r="T230" s="16" t="s">
        <v>1167</v>
      </c>
      <c r="U230" s="16" t="s">
        <v>1168</v>
      </c>
      <c r="V230" s="16" t="s">
        <v>916</v>
      </c>
      <c r="W230" s="16" t="s">
        <v>1168</v>
      </c>
      <c r="X230" s="16" t="s">
        <v>934</v>
      </c>
      <c r="Y230" s="16" t="s">
        <v>934</v>
      </c>
      <c r="Z230" s="16" t="s">
        <v>935</v>
      </c>
      <c r="DA230" s="405" t="s">
        <v>5</v>
      </c>
      <c r="DB230" s="405" t="s">
        <v>363</v>
      </c>
      <c r="DC230" s="406" t="s">
        <v>85</v>
      </c>
      <c r="DD230" s="405" t="s">
        <v>917</v>
      </c>
      <c r="DE230" s="405" t="s">
        <v>5</v>
      </c>
      <c r="DF230" s="406" t="s">
        <v>85</v>
      </c>
      <c r="DG230" s="407">
        <v>45843</v>
      </c>
      <c r="DH230" s="405" t="s">
        <v>8638</v>
      </c>
      <c r="DI230" s="406">
        <v>465455</v>
      </c>
      <c r="DJ230" s="408">
        <v>5</v>
      </c>
      <c r="DK230" s="405">
        <v>1</v>
      </c>
      <c r="DL230" s="82">
        <v>468.28</v>
      </c>
      <c r="DM230" s="409">
        <v>2.3413999999999997</v>
      </c>
      <c r="DN230" s="82" t="s">
        <v>85</v>
      </c>
      <c r="DO230" s="82" t="s">
        <v>85</v>
      </c>
      <c r="DP230" s="410" t="s">
        <v>85</v>
      </c>
    </row>
    <row r="231" spans="1:120" x14ac:dyDescent="0.25">
      <c r="A231" s="16" t="s">
        <v>7728</v>
      </c>
      <c r="B231" s="16" t="s">
        <v>7729</v>
      </c>
      <c r="C231" s="16" t="s">
        <v>7730</v>
      </c>
      <c r="D231" s="16" t="s">
        <v>7705</v>
      </c>
      <c r="E231" s="16" t="s">
        <v>7731</v>
      </c>
      <c r="F231" s="16" t="s">
        <v>7732</v>
      </c>
      <c r="G231" s="16" t="s">
        <v>7733</v>
      </c>
      <c r="H231" s="16" t="s">
        <v>7734</v>
      </c>
      <c r="I231" s="16" t="s">
        <v>6098</v>
      </c>
      <c r="J231" s="16" t="s">
        <v>928</v>
      </c>
      <c r="K231" s="16" t="s">
        <v>6099</v>
      </c>
      <c r="L231" s="16" t="s">
        <v>85</v>
      </c>
      <c r="M231" s="16" t="s">
        <v>1322</v>
      </c>
      <c r="N231" s="16" t="s">
        <v>914</v>
      </c>
      <c r="O231" s="16" t="s">
        <v>1323</v>
      </c>
      <c r="P231" s="16" t="s">
        <v>914</v>
      </c>
      <c r="Q231" s="16" t="s">
        <v>1323</v>
      </c>
      <c r="R231" s="16" t="s">
        <v>915</v>
      </c>
      <c r="S231" s="16" t="s">
        <v>915</v>
      </c>
      <c r="T231" s="16" t="s">
        <v>1322</v>
      </c>
      <c r="U231" s="16" t="s">
        <v>1324</v>
      </c>
      <c r="V231" s="16" t="s">
        <v>916</v>
      </c>
      <c r="W231" s="16" t="s">
        <v>1324</v>
      </c>
      <c r="X231" s="16" t="s">
        <v>934</v>
      </c>
      <c r="Y231" s="16" t="s">
        <v>934</v>
      </c>
      <c r="Z231" s="16" t="s">
        <v>935</v>
      </c>
      <c r="DA231" s="405" t="s">
        <v>5</v>
      </c>
      <c r="DB231" s="405" t="s">
        <v>363</v>
      </c>
      <c r="DC231" s="406" t="s">
        <v>85</v>
      </c>
      <c r="DD231" s="405" t="s">
        <v>917</v>
      </c>
      <c r="DE231" s="405" t="s">
        <v>5</v>
      </c>
      <c r="DF231" s="406" t="s">
        <v>85</v>
      </c>
      <c r="DG231" s="407">
        <v>45845</v>
      </c>
      <c r="DH231" s="405" t="s">
        <v>7731</v>
      </c>
      <c r="DI231" s="406">
        <v>465455</v>
      </c>
      <c r="DJ231" s="408">
        <v>5</v>
      </c>
      <c r="DK231" s="405">
        <v>1</v>
      </c>
      <c r="DL231" s="82">
        <v>332.47</v>
      </c>
      <c r="DM231" s="409">
        <v>1.6623500000000002</v>
      </c>
      <c r="DN231" s="82" t="s">
        <v>85</v>
      </c>
      <c r="DO231" s="82" t="s">
        <v>85</v>
      </c>
      <c r="DP231" s="410" t="s">
        <v>85</v>
      </c>
    </row>
    <row r="232" spans="1:120" x14ac:dyDescent="0.25">
      <c r="A232" s="16" t="s">
        <v>7735</v>
      </c>
      <c r="B232" s="16" t="s">
        <v>7736</v>
      </c>
      <c r="C232" s="16" t="s">
        <v>7737</v>
      </c>
      <c r="D232" s="16" t="s">
        <v>7705</v>
      </c>
      <c r="E232" s="16" t="s">
        <v>7738</v>
      </c>
      <c r="F232" s="16" t="s">
        <v>7739</v>
      </c>
      <c r="G232" s="16" t="s">
        <v>7740</v>
      </c>
      <c r="H232" s="16" t="s">
        <v>7741</v>
      </c>
      <c r="I232" s="16" t="s">
        <v>2690</v>
      </c>
      <c r="J232" s="16" t="s">
        <v>1123</v>
      </c>
      <c r="K232" s="16" t="s">
        <v>2691</v>
      </c>
      <c r="L232" s="16" t="s">
        <v>85</v>
      </c>
      <c r="M232" s="16" t="s">
        <v>1238</v>
      </c>
      <c r="N232" s="16" t="s">
        <v>914</v>
      </c>
      <c r="O232" s="16" t="s">
        <v>1239</v>
      </c>
      <c r="P232" s="16" t="s">
        <v>914</v>
      </c>
      <c r="Q232" s="16" t="s">
        <v>1239</v>
      </c>
      <c r="R232" s="16" t="s">
        <v>915</v>
      </c>
      <c r="S232" s="16" t="s">
        <v>915</v>
      </c>
      <c r="T232" s="16" t="s">
        <v>1238</v>
      </c>
      <c r="U232" s="16" t="s">
        <v>1240</v>
      </c>
      <c r="V232" s="16" t="s">
        <v>916</v>
      </c>
      <c r="W232" s="16" t="s">
        <v>1240</v>
      </c>
      <c r="X232" s="16" t="s">
        <v>934</v>
      </c>
      <c r="Y232" s="16" t="s">
        <v>934</v>
      </c>
      <c r="Z232" s="16" t="s">
        <v>935</v>
      </c>
      <c r="DA232" s="405" t="s">
        <v>5</v>
      </c>
      <c r="DB232" s="405" t="s">
        <v>363</v>
      </c>
      <c r="DC232" s="406" t="s">
        <v>85</v>
      </c>
      <c r="DD232" s="405" t="s">
        <v>917</v>
      </c>
      <c r="DE232" s="405" t="s">
        <v>5</v>
      </c>
      <c r="DF232" s="406" t="s">
        <v>85</v>
      </c>
      <c r="DG232" s="407">
        <v>45845</v>
      </c>
      <c r="DH232" s="405" t="s">
        <v>7738</v>
      </c>
      <c r="DI232" s="406">
        <v>465455</v>
      </c>
      <c r="DJ232" s="408">
        <v>5</v>
      </c>
      <c r="DK232" s="405">
        <v>1</v>
      </c>
      <c r="DL232" s="82">
        <v>383.16</v>
      </c>
      <c r="DM232" s="409">
        <v>1.9158000000000002</v>
      </c>
      <c r="DN232" s="82" t="s">
        <v>85</v>
      </c>
      <c r="DO232" s="82" t="s">
        <v>85</v>
      </c>
      <c r="DP232" s="410" t="s">
        <v>85</v>
      </c>
    </row>
    <row r="233" spans="1:120" x14ac:dyDescent="0.25">
      <c r="A233" s="16" t="s">
        <v>7742</v>
      </c>
      <c r="B233" s="16" t="s">
        <v>7743</v>
      </c>
      <c r="C233" s="16" t="s">
        <v>7744</v>
      </c>
      <c r="D233" s="16" t="s">
        <v>7705</v>
      </c>
      <c r="E233" s="16" t="s">
        <v>7745</v>
      </c>
      <c r="F233" s="16" t="s">
        <v>7746</v>
      </c>
      <c r="G233" s="16" t="s">
        <v>7747</v>
      </c>
      <c r="H233" s="16" t="s">
        <v>7746</v>
      </c>
      <c r="I233" s="16" t="s">
        <v>1772</v>
      </c>
      <c r="J233" s="16" t="s">
        <v>1036</v>
      </c>
      <c r="K233" s="16" t="s">
        <v>1773</v>
      </c>
      <c r="L233" s="16" t="s">
        <v>85</v>
      </c>
      <c r="M233" s="16" t="s">
        <v>1216</v>
      </c>
      <c r="N233" s="16" t="s">
        <v>914</v>
      </c>
      <c r="O233" s="16" t="s">
        <v>946</v>
      </c>
      <c r="P233" s="16" t="s">
        <v>914</v>
      </c>
      <c r="Q233" s="16" t="s">
        <v>946</v>
      </c>
      <c r="R233" s="16" t="s">
        <v>915</v>
      </c>
      <c r="S233" s="16" t="s">
        <v>915</v>
      </c>
      <c r="T233" s="16" t="s">
        <v>1216</v>
      </c>
      <c r="U233" s="16" t="s">
        <v>1217</v>
      </c>
      <c r="V233" s="16" t="s">
        <v>916</v>
      </c>
      <c r="W233" s="16" t="s">
        <v>1217</v>
      </c>
      <c r="X233" s="16" t="s">
        <v>934</v>
      </c>
      <c r="Y233" s="16" t="s">
        <v>934</v>
      </c>
      <c r="Z233" s="16" t="s">
        <v>935</v>
      </c>
      <c r="DA233" s="405" t="s">
        <v>5</v>
      </c>
      <c r="DB233" s="405" t="s">
        <v>363</v>
      </c>
      <c r="DC233" s="406" t="s">
        <v>85</v>
      </c>
      <c r="DD233" s="405" t="s">
        <v>917</v>
      </c>
      <c r="DE233" s="405" t="s">
        <v>5</v>
      </c>
      <c r="DF233" s="406" t="s">
        <v>85</v>
      </c>
      <c r="DG233" s="407">
        <v>45845</v>
      </c>
      <c r="DH233" s="405" t="s">
        <v>7745</v>
      </c>
      <c r="DI233" s="406">
        <v>465455</v>
      </c>
      <c r="DJ233" s="408">
        <v>5</v>
      </c>
      <c r="DK233" s="405">
        <v>1</v>
      </c>
      <c r="DL233" s="82">
        <v>319.22000000000003</v>
      </c>
      <c r="DM233" s="409">
        <v>1.5961000000000001</v>
      </c>
      <c r="DN233" s="82" t="s">
        <v>85</v>
      </c>
      <c r="DO233" s="82" t="s">
        <v>85</v>
      </c>
      <c r="DP233" s="410" t="s">
        <v>85</v>
      </c>
    </row>
    <row r="234" spans="1:120" x14ac:dyDescent="0.25">
      <c r="A234" s="16" t="s">
        <v>7748</v>
      </c>
      <c r="B234" s="16" t="s">
        <v>7749</v>
      </c>
      <c r="C234" s="16" t="s">
        <v>7750</v>
      </c>
      <c r="D234" s="16" t="s">
        <v>7705</v>
      </c>
      <c r="E234" s="16" t="s">
        <v>7751</v>
      </c>
      <c r="F234" s="16" t="s">
        <v>7752</v>
      </c>
      <c r="G234" s="16" t="s">
        <v>7753</v>
      </c>
      <c r="H234" s="16" t="s">
        <v>7752</v>
      </c>
      <c r="I234" s="16" t="s">
        <v>1287</v>
      </c>
      <c r="J234" s="16" t="s">
        <v>943</v>
      </c>
      <c r="K234" s="16" t="s">
        <v>1288</v>
      </c>
      <c r="L234" s="16" t="s">
        <v>85</v>
      </c>
      <c r="M234" s="16" t="s">
        <v>984</v>
      </c>
      <c r="N234" s="16" t="s">
        <v>914</v>
      </c>
      <c r="O234" s="16" t="s">
        <v>985</v>
      </c>
      <c r="P234" s="16" t="s">
        <v>914</v>
      </c>
      <c r="Q234" s="16" t="s">
        <v>985</v>
      </c>
      <c r="R234" s="16" t="s">
        <v>915</v>
      </c>
      <c r="S234" s="16" t="s">
        <v>915</v>
      </c>
      <c r="T234" s="16" t="s">
        <v>986</v>
      </c>
      <c r="U234" s="16" t="s">
        <v>987</v>
      </c>
      <c r="V234" s="16" t="s">
        <v>916</v>
      </c>
      <c r="W234" s="16" t="s">
        <v>987</v>
      </c>
      <c r="X234" s="16" t="s">
        <v>934</v>
      </c>
      <c r="Y234" s="16" t="s">
        <v>934</v>
      </c>
      <c r="Z234" s="16" t="s">
        <v>935</v>
      </c>
      <c r="DA234" s="405" t="s">
        <v>5</v>
      </c>
      <c r="DB234" s="405" t="s">
        <v>363</v>
      </c>
      <c r="DC234" s="406" t="s">
        <v>85</v>
      </c>
      <c r="DD234" s="405" t="s">
        <v>917</v>
      </c>
      <c r="DE234" s="405" t="s">
        <v>5</v>
      </c>
      <c r="DF234" s="406" t="s">
        <v>85</v>
      </c>
      <c r="DG234" s="407">
        <v>45845</v>
      </c>
      <c r="DH234" s="405" t="s">
        <v>7751</v>
      </c>
      <c r="DI234" s="406">
        <v>465455</v>
      </c>
      <c r="DJ234" s="408">
        <v>5</v>
      </c>
      <c r="DK234" s="405">
        <v>1</v>
      </c>
      <c r="DL234" s="82">
        <v>340.55</v>
      </c>
      <c r="DM234" s="409">
        <v>1.70275</v>
      </c>
      <c r="DN234" s="82" t="s">
        <v>85</v>
      </c>
      <c r="DO234" s="82" t="s">
        <v>85</v>
      </c>
      <c r="DP234" s="410" t="s">
        <v>85</v>
      </c>
    </row>
    <row r="235" spans="1:120" x14ac:dyDescent="0.25">
      <c r="A235" s="16" t="s">
        <v>7754</v>
      </c>
      <c r="B235" s="16" t="s">
        <v>7755</v>
      </c>
      <c r="C235" s="16" t="s">
        <v>7756</v>
      </c>
      <c r="D235" s="16" t="s">
        <v>7705</v>
      </c>
      <c r="E235" s="16" t="s">
        <v>7757</v>
      </c>
      <c r="F235" s="16" t="s">
        <v>7758</v>
      </c>
      <c r="G235" s="16" t="s">
        <v>7759</v>
      </c>
      <c r="H235" s="16" t="s">
        <v>7760</v>
      </c>
      <c r="I235" s="16" t="s">
        <v>7761</v>
      </c>
      <c r="J235" s="16" t="s">
        <v>7762</v>
      </c>
      <c r="K235" s="16" t="s">
        <v>7763</v>
      </c>
      <c r="L235" s="16" t="s">
        <v>85</v>
      </c>
      <c r="M235" s="16" t="s">
        <v>1829</v>
      </c>
      <c r="N235" s="16" t="s">
        <v>914</v>
      </c>
      <c r="O235" s="16" t="s">
        <v>1830</v>
      </c>
      <c r="P235" s="16" t="s">
        <v>914</v>
      </c>
      <c r="Q235" s="16" t="s">
        <v>1830</v>
      </c>
      <c r="R235" s="16" t="s">
        <v>915</v>
      </c>
      <c r="S235" s="16" t="s">
        <v>915</v>
      </c>
      <c r="T235" s="16" t="s">
        <v>1829</v>
      </c>
      <c r="U235" s="16" t="s">
        <v>1831</v>
      </c>
      <c r="V235" s="16" t="s">
        <v>916</v>
      </c>
      <c r="W235" s="16" t="s">
        <v>1831</v>
      </c>
      <c r="X235" s="16" t="s">
        <v>934</v>
      </c>
      <c r="Y235" s="16" t="s">
        <v>934</v>
      </c>
      <c r="Z235" s="16" t="s">
        <v>935</v>
      </c>
      <c r="DA235" s="405" t="s">
        <v>5</v>
      </c>
      <c r="DB235" s="405" t="s">
        <v>363</v>
      </c>
      <c r="DC235" s="406" t="s">
        <v>85</v>
      </c>
      <c r="DD235" s="405" t="s">
        <v>917</v>
      </c>
      <c r="DE235" s="405" t="s">
        <v>5</v>
      </c>
      <c r="DF235" s="406" t="s">
        <v>85</v>
      </c>
      <c r="DG235" s="407">
        <v>45845</v>
      </c>
      <c r="DH235" s="405" t="s">
        <v>7757</v>
      </c>
      <c r="DI235" s="406">
        <v>465455</v>
      </c>
      <c r="DJ235" s="408">
        <v>5</v>
      </c>
      <c r="DK235" s="405">
        <v>1</v>
      </c>
      <c r="DL235" s="82">
        <v>242.05</v>
      </c>
      <c r="DM235" s="409">
        <v>1.21025</v>
      </c>
      <c r="DN235" s="82" t="s">
        <v>85</v>
      </c>
      <c r="DO235" s="82" t="s">
        <v>85</v>
      </c>
      <c r="DP235" s="410" t="s">
        <v>85</v>
      </c>
    </row>
    <row r="236" spans="1:120" x14ac:dyDescent="0.25">
      <c r="A236" s="16" t="s">
        <v>7764</v>
      </c>
      <c r="B236" s="16" t="s">
        <v>7765</v>
      </c>
      <c r="C236" s="16" t="s">
        <v>7766</v>
      </c>
      <c r="D236" s="16" t="s">
        <v>7705</v>
      </c>
      <c r="E236" s="16" t="s">
        <v>7767</v>
      </c>
      <c r="F236" s="16" t="s">
        <v>7768</v>
      </c>
      <c r="G236" s="16" t="s">
        <v>7769</v>
      </c>
      <c r="H236" s="16" t="s">
        <v>7770</v>
      </c>
      <c r="I236" s="16" t="s">
        <v>1638</v>
      </c>
      <c r="J236" s="16" t="s">
        <v>943</v>
      </c>
      <c r="K236" s="16" t="s">
        <v>1639</v>
      </c>
      <c r="L236" s="16" t="s">
        <v>85</v>
      </c>
      <c r="M236" s="16" t="s">
        <v>984</v>
      </c>
      <c r="N236" s="16" t="s">
        <v>914</v>
      </c>
      <c r="O236" s="16" t="s">
        <v>985</v>
      </c>
      <c r="P236" s="16" t="s">
        <v>914</v>
      </c>
      <c r="Q236" s="16" t="s">
        <v>985</v>
      </c>
      <c r="R236" s="16" t="s">
        <v>915</v>
      </c>
      <c r="S236" s="16" t="s">
        <v>915</v>
      </c>
      <c r="T236" s="16" t="s">
        <v>986</v>
      </c>
      <c r="U236" s="16" t="s">
        <v>987</v>
      </c>
      <c r="V236" s="16" t="s">
        <v>916</v>
      </c>
      <c r="W236" s="16" t="s">
        <v>987</v>
      </c>
      <c r="X236" s="16" t="s">
        <v>934</v>
      </c>
      <c r="Y236" s="16" t="s">
        <v>934</v>
      </c>
      <c r="Z236" s="16" t="s">
        <v>935</v>
      </c>
      <c r="DA236" s="405" t="s">
        <v>5</v>
      </c>
      <c r="DB236" s="405" t="s">
        <v>363</v>
      </c>
      <c r="DC236" s="406" t="s">
        <v>85</v>
      </c>
      <c r="DD236" s="405" t="s">
        <v>917</v>
      </c>
      <c r="DE236" s="405" t="s">
        <v>5</v>
      </c>
      <c r="DF236" s="406" t="s">
        <v>85</v>
      </c>
      <c r="DG236" s="407">
        <v>45845</v>
      </c>
      <c r="DH236" s="405" t="s">
        <v>7767</v>
      </c>
      <c r="DI236" s="406">
        <v>465455</v>
      </c>
      <c r="DJ236" s="408">
        <v>5</v>
      </c>
      <c r="DK236" s="405">
        <v>1</v>
      </c>
      <c r="DL236" s="82">
        <v>340.55</v>
      </c>
      <c r="DM236" s="409">
        <v>1.70275</v>
      </c>
      <c r="DN236" s="82" t="s">
        <v>85</v>
      </c>
      <c r="DO236" s="82" t="s">
        <v>85</v>
      </c>
      <c r="DP236" s="410" t="s">
        <v>85</v>
      </c>
    </row>
    <row r="237" spans="1:120" x14ac:dyDescent="0.25">
      <c r="A237" s="16" t="s">
        <v>7764</v>
      </c>
      <c r="B237" s="16" t="s">
        <v>7765</v>
      </c>
      <c r="C237" s="16" t="s">
        <v>7766</v>
      </c>
      <c r="D237" s="16" t="s">
        <v>7705</v>
      </c>
      <c r="E237" s="16" t="s">
        <v>7767</v>
      </c>
      <c r="F237" s="16" t="s">
        <v>7768</v>
      </c>
      <c r="G237" s="16" t="s">
        <v>7769</v>
      </c>
      <c r="H237" s="16" t="s">
        <v>7770</v>
      </c>
      <c r="I237" s="16" t="s">
        <v>2958</v>
      </c>
      <c r="J237" s="16" t="s">
        <v>943</v>
      </c>
      <c r="K237" s="16" t="s">
        <v>2959</v>
      </c>
      <c r="L237" s="16" t="s">
        <v>85</v>
      </c>
      <c r="M237" s="16" t="s">
        <v>984</v>
      </c>
      <c r="N237" s="16" t="s">
        <v>914</v>
      </c>
      <c r="O237" s="16" t="s">
        <v>985</v>
      </c>
      <c r="P237" s="16" t="s">
        <v>914</v>
      </c>
      <c r="Q237" s="16" t="s">
        <v>985</v>
      </c>
      <c r="R237" s="16" t="s">
        <v>915</v>
      </c>
      <c r="S237" s="16" t="s">
        <v>915</v>
      </c>
      <c r="T237" s="16" t="s">
        <v>986</v>
      </c>
      <c r="U237" s="16" t="s">
        <v>987</v>
      </c>
      <c r="V237" s="16" t="s">
        <v>916</v>
      </c>
      <c r="W237" s="16" t="s">
        <v>987</v>
      </c>
      <c r="X237" s="16" t="s">
        <v>934</v>
      </c>
      <c r="Y237" s="16" t="s">
        <v>934</v>
      </c>
      <c r="Z237" s="16" t="s">
        <v>935</v>
      </c>
      <c r="DA237" s="405" t="s">
        <v>5</v>
      </c>
      <c r="DB237" s="405" t="s">
        <v>363</v>
      </c>
      <c r="DC237" s="406" t="s">
        <v>85</v>
      </c>
      <c r="DD237" s="405" t="s">
        <v>917</v>
      </c>
      <c r="DE237" s="405" t="s">
        <v>5</v>
      </c>
      <c r="DF237" s="406" t="s">
        <v>85</v>
      </c>
      <c r="DG237" s="407">
        <v>45845</v>
      </c>
      <c r="DH237" s="405" t="s">
        <v>7767</v>
      </c>
      <c r="DI237" s="406">
        <v>465455</v>
      </c>
      <c r="DJ237" s="408">
        <v>5</v>
      </c>
      <c r="DK237" s="405">
        <v>1</v>
      </c>
      <c r="DL237" s="82">
        <v>340.55</v>
      </c>
      <c r="DM237" s="409">
        <v>1.70275</v>
      </c>
      <c r="DN237" s="82" t="s">
        <v>85</v>
      </c>
      <c r="DO237" s="82" t="s">
        <v>85</v>
      </c>
      <c r="DP237" s="410" t="s">
        <v>85</v>
      </c>
    </row>
    <row r="238" spans="1:120" x14ac:dyDescent="0.25">
      <c r="A238" s="16" t="s">
        <v>7771</v>
      </c>
      <c r="B238" s="16" t="s">
        <v>7772</v>
      </c>
      <c r="C238" s="16" t="s">
        <v>7773</v>
      </c>
      <c r="D238" s="16" t="s">
        <v>7705</v>
      </c>
      <c r="E238" s="16" t="s">
        <v>7774</v>
      </c>
      <c r="F238" s="16" t="s">
        <v>7775</v>
      </c>
      <c r="G238" s="16" t="s">
        <v>7776</v>
      </c>
      <c r="H238" s="16" t="s">
        <v>7777</v>
      </c>
      <c r="I238" s="16" t="s">
        <v>1007</v>
      </c>
      <c r="J238" s="16" t="s">
        <v>928</v>
      </c>
      <c r="K238" s="16" t="s">
        <v>1008</v>
      </c>
      <c r="L238" s="16" t="s">
        <v>85</v>
      </c>
      <c r="M238" s="16" t="s">
        <v>1322</v>
      </c>
      <c r="N238" s="16" t="s">
        <v>914</v>
      </c>
      <c r="O238" s="16" t="s">
        <v>1323</v>
      </c>
      <c r="P238" s="16" t="s">
        <v>914</v>
      </c>
      <c r="Q238" s="16" t="s">
        <v>1323</v>
      </c>
      <c r="R238" s="16" t="s">
        <v>915</v>
      </c>
      <c r="S238" s="16" t="s">
        <v>915</v>
      </c>
      <c r="T238" s="16" t="s">
        <v>1322</v>
      </c>
      <c r="U238" s="16" t="s">
        <v>1324</v>
      </c>
      <c r="V238" s="16" t="s">
        <v>916</v>
      </c>
      <c r="W238" s="16" t="s">
        <v>1324</v>
      </c>
      <c r="X238" s="16" t="s">
        <v>934</v>
      </c>
      <c r="Y238" s="16" t="s">
        <v>934</v>
      </c>
      <c r="Z238" s="16" t="s">
        <v>935</v>
      </c>
      <c r="DA238" s="405" t="s">
        <v>5</v>
      </c>
      <c r="DB238" s="405" t="s">
        <v>363</v>
      </c>
      <c r="DC238" s="406" t="s">
        <v>85</v>
      </c>
      <c r="DD238" s="405" t="s">
        <v>917</v>
      </c>
      <c r="DE238" s="405" t="s">
        <v>5</v>
      </c>
      <c r="DF238" s="406" t="s">
        <v>85</v>
      </c>
      <c r="DG238" s="407">
        <v>45845</v>
      </c>
      <c r="DH238" s="405" t="s">
        <v>7774</v>
      </c>
      <c r="DI238" s="406">
        <v>465455</v>
      </c>
      <c r="DJ238" s="408">
        <v>5</v>
      </c>
      <c r="DK238" s="405">
        <v>1</v>
      </c>
      <c r="DL238" s="82">
        <v>332.47</v>
      </c>
      <c r="DM238" s="409">
        <v>1.6623500000000002</v>
      </c>
      <c r="DN238" s="82" t="s">
        <v>85</v>
      </c>
      <c r="DO238" s="82" t="s">
        <v>85</v>
      </c>
      <c r="DP238" s="410" t="s">
        <v>85</v>
      </c>
    </row>
    <row r="239" spans="1:120" x14ac:dyDescent="0.25">
      <c r="A239" s="16" t="s">
        <v>7778</v>
      </c>
      <c r="B239" s="16" t="s">
        <v>7779</v>
      </c>
      <c r="C239" s="16" t="s">
        <v>7780</v>
      </c>
      <c r="D239" s="16" t="s">
        <v>7705</v>
      </c>
      <c r="E239" s="16" t="s">
        <v>7781</v>
      </c>
      <c r="F239" s="16" t="s">
        <v>7782</v>
      </c>
      <c r="G239" s="16" t="s">
        <v>7783</v>
      </c>
      <c r="H239" s="16" t="s">
        <v>7784</v>
      </c>
      <c r="I239" s="16" t="s">
        <v>1914</v>
      </c>
      <c r="J239" s="16" t="s">
        <v>928</v>
      </c>
      <c r="K239" s="16" t="s">
        <v>1915</v>
      </c>
      <c r="L239" s="16" t="s">
        <v>85</v>
      </c>
      <c r="M239" s="16" t="s">
        <v>1322</v>
      </c>
      <c r="N239" s="16" t="s">
        <v>914</v>
      </c>
      <c r="O239" s="16" t="s">
        <v>1323</v>
      </c>
      <c r="P239" s="16" t="s">
        <v>914</v>
      </c>
      <c r="Q239" s="16" t="s">
        <v>1323</v>
      </c>
      <c r="R239" s="16" t="s">
        <v>915</v>
      </c>
      <c r="S239" s="16" t="s">
        <v>915</v>
      </c>
      <c r="T239" s="16" t="s">
        <v>1322</v>
      </c>
      <c r="U239" s="16" t="s">
        <v>1324</v>
      </c>
      <c r="V239" s="16" t="s">
        <v>916</v>
      </c>
      <c r="W239" s="16" t="s">
        <v>1324</v>
      </c>
      <c r="X239" s="16" t="s">
        <v>934</v>
      </c>
      <c r="Y239" s="16" t="s">
        <v>934</v>
      </c>
      <c r="Z239" s="16" t="s">
        <v>935</v>
      </c>
      <c r="DA239" s="405" t="s">
        <v>5</v>
      </c>
      <c r="DB239" s="405" t="s">
        <v>363</v>
      </c>
      <c r="DC239" s="406" t="s">
        <v>85</v>
      </c>
      <c r="DD239" s="405" t="s">
        <v>917</v>
      </c>
      <c r="DE239" s="405" t="s">
        <v>5</v>
      </c>
      <c r="DF239" s="406" t="s">
        <v>85</v>
      </c>
      <c r="DG239" s="407">
        <v>45845</v>
      </c>
      <c r="DH239" s="405" t="s">
        <v>7781</v>
      </c>
      <c r="DI239" s="406">
        <v>465455</v>
      </c>
      <c r="DJ239" s="408">
        <v>5</v>
      </c>
      <c r="DK239" s="405">
        <v>1</v>
      </c>
      <c r="DL239" s="82">
        <v>332.47</v>
      </c>
      <c r="DM239" s="409">
        <v>1.6623500000000002</v>
      </c>
      <c r="DN239" s="82" t="s">
        <v>85</v>
      </c>
      <c r="DO239" s="82" t="s">
        <v>85</v>
      </c>
      <c r="DP239" s="410" t="s">
        <v>85</v>
      </c>
    </row>
    <row r="240" spans="1:120" x14ac:dyDescent="0.25">
      <c r="A240" s="16" t="s">
        <v>7785</v>
      </c>
      <c r="B240" s="16" t="s">
        <v>7786</v>
      </c>
      <c r="C240" s="16" t="s">
        <v>7787</v>
      </c>
      <c r="D240" s="16" t="s">
        <v>7705</v>
      </c>
      <c r="E240" s="16" t="s">
        <v>7788</v>
      </c>
      <c r="F240" s="16" t="s">
        <v>7789</v>
      </c>
      <c r="G240" s="16" t="s">
        <v>7790</v>
      </c>
      <c r="H240" s="16" t="s">
        <v>7791</v>
      </c>
      <c r="I240" s="16" t="s">
        <v>968</v>
      </c>
      <c r="J240" s="16" t="s">
        <v>943</v>
      </c>
      <c r="K240" s="16" t="s">
        <v>969</v>
      </c>
      <c r="L240" s="16" t="s">
        <v>85</v>
      </c>
      <c r="M240" s="16" t="s">
        <v>984</v>
      </c>
      <c r="N240" s="16" t="s">
        <v>914</v>
      </c>
      <c r="O240" s="16" t="s">
        <v>985</v>
      </c>
      <c r="P240" s="16" t="s">
        <v>914</v>
      </c>
      <c r="Q240" s="16" t="s">
        <v>985</v>
      </c>
      <c r="R240" s="16" t="s">
        <v>915</v>
      </c>
      <c r="S240" s="16" t="s">
        <v>915</v>
      </c>
      <c r="T240" s="16" t="s">
        <v>986</v>
      </c>
      <c r="U240" s="16" t="s">
        <v>987</v>
      </c>
      <c r="V240" s="16" t="s">
        <v>916</v>
      </c>
      <c r="W240" s="16" t="s">
        <v>987</v>
      </c>
      <c r="X240" s="16" t="s">
        <v>934</v>
      </c>
      <c r="Y240" s="16" t="s">
        <v>934</v>
      </c>
      <c r="Z240" s="16" t="s">
        <v>935</v>
      </c>
      <c r="DA240" s="405" t="s">
        <v>5</v>
      </c>
      <c r="DB240" s="405" t="s">
        <v>363</v>
      </c>
      <c r="DC240" s="406" t="s">
        <v>85</v>
      </c>
      <c r="DD240" s="405" t="s">
        <v>917</v>
      </c>
      <c r="DE240" s="405" t="s">
        <v>5</v>
      </c>
      <c r="DF240" s="406" t="s">
        <v>85</v>
      </c>
      <c r="DG240" s="407">
        <v>45845</v>
      </c>
      <c r="DH240" s="405" t="s">
        <v>7788</v>
      </c>
      <c r="DI240" s="406">
        <v>465455</v>
      </c>
      <c r="DJ240" s="408">
        <v>5</v>
      </c>
      <c r="DK240" s="405">
        <v>1</v>
      </c>
      <c r="DL240" s="82">
        <v>340.55</v>
      </c>
      <c r="DM240" s="409">
        <v>1.70275</v>
      </c>
      <c r="DN240" s="82" t="s">
        <v>85</v>
      </c>
      <c r="DO240" s="82" t="s">
        <v>85</v>
      </c>
      <c r="DP240" s="410" t="s">
        <v>85</v>
      </c>
    </row>
    <row r="241" spans="1:120" x14ac:dyDescent="0.25">
      <c r="A241" s="16" t="s">
        <v>7792</v>
      </c>
      <c r="B241" s="16" t="s">
        <v>7793</v>
      </c>
      <c r="C241" s="16" t="s">
        <v>7794</v>
      </c>
      <c r="D241" s="16" t="s">
        <v>7705</v>
      </c>
      <c r="E241" s="16" t="s">
        <v>7795</v>
      </c>
      <c r="F241" s="16" t="s">
        <v>7796</v>
      </c>
      <c r="G241" s="16" t="s">
        <v>7797</v>
      </c>
      <c r="H241" s="16" t="s">
        <v>7798</v>
      </c>
      <c r="I241" s="16" t="s">
        <v>2997</v>
      </c>
      <c r="J241" s="16" t="s">
        <v>943</v>
      </c>
      <c r="K241" s="16" t="s">
        <v>2998</v>
      </c>
      <c r="L241" s="16" t="s">
        <v>85</v>
      </c>
      <c r="M241" s="16" t="s">
        <v>1759</v>
      </c>
      <c r="N241" s="16" t="s">
        <v>914</v>
      </c>
      <c r="O241" s="16" t="s">
        <v>1760</v>
      </c>
      <c r="P241" s="16" t="s">
        <v>914</v>
      </c>
      <c r="Q241" s="16" t="s">
        <v>1760</v>
      </c>
      <c r="R241" s="16" t="s">
        <v>915</v>
      </c>
      <c r="S241" s="16" t="s">
        <v>915</v>
      </c>
      <c r="T241" s="16" t="s">
        <v>1761</v>
      </c>
      <c r="U241" s="16" t="s">
        <v>1762</v>
      </c>
      <c r="V241" s="16" t="s">
        <v>1763</v>
      </c>
      <c r="W241" s="16" t="s">
        <v>1764</v>
      </c>
      <c r="X241" s="16" t="s">
        <v>934</v>
      </c>
      <c r="Y241" s="16" t="s">
        <v>934</v>
      </c>
      <c r="Z241" s="16" t="s">
        <v>935</v>
      </c>
      <c r="DA241" s="405" t="s">
        <v>5</v>
      </c>
      <c r="DB241" s="405" t="s">
        <v>363</v>
      </c>
      <c r="DC241" s="406" t="s">
        <v>85</v>
      </c>
      <c r="DD241" s="405" t="s">
        <v>917</v>
      </c>
      <c r="DE241" s="405" t="s">
        <v>5</v>
      </c>
      <c r="DF241" s="406" t="s">
        <v>85</v>
      </c>
      <c r="DG241" s="407">
        <v>45845</v>
      </c>
      <c r="DH241" s="405" t="s">
        <v>7795</v>
      </c>
      <c r="DI241" s="406">
        <v>465455</v>
      </c>
      <c r="DJ241" s="408">
        <v>5</v>
      </c>
      <c r="DK241" s="405">
        <v>2</v>
      </c>
      <c r="DL241" s="82">
        <v>340.56</v>
      </c>
      <c r="DM241" s="409">
        <v>1.7028000000000001</v>
      </c>
      <c r="DN241" s="82" t="s">
        <v>85</v>
      </c>
      <c r="DO241" s="82" t="s">
        <v>85</v>
      </c>
      <c r="DP241" s="410" t="s">
        <v>85</v>
      </c>
    </row>
    <row r="242" spans="1:120" x14ac:dyDescent="0.25">
      <c r="A242" s="16" t="s">
        <v>7799</v>
      </c>
      <c r="B242" s="16" t="s">
        <v>7800</v>
      </c>
      <c r="C242" s="16" t="s">
        <v>7801</v>
      </c>
      <c r="D242" s="16" t="s">
        <v>7705</v>
      </c>
      <c r="E242" s="16" t="s">
        <v>7802</v>
      </c>
      <c r="F242" s="16" t="s">
        <v>7803</v>
      </c>
      <c r="G242" s="16" t="s">
        <v>7804</v>
      </c>
      <c r="H242" s="16" t="s">
        <v>7796</v>
      </c>
      <c r="I242" s="16" t="s">
        <v>2690</v>
      </c>
      <c r="J242" s="16" t="s">
        <v>1123</v>
      </c>
      <c r="K242" s="16" t="s">
        <v>2691</v>
      </c>
      <c r="L242" s="16" t="s">
        <v>85</v>
      </c>
      <c r="M242" s="16" t="s">
        <v>1238</v>
      </c>
      <c r="N242" s="16" t="s">
        <v>914</v>
      </c>
      <c r="O242" s="16" t="s">
        <v>1239</v>
      </c>
      <c r="P242" s="16" t="s">
        <v>914</v>
      </c>
      <c r="Q242" s="16" t="s">
        <v>1239</v>
      </c>
      <c r="R242" s="16" t="s">
        <v>915</v>
      </c>
      <c r="S242" s="16" t="s">
        <v>915</v>
      </c>
      <c r="T242" s="16" t="s">
        <v>1238</v>
      </c>
      <c r="U242" s="16" t="s">
        <v>1240</v>
      </c>
      <c r="V242" s="16" t="s">
        <v>916</v>
      </c>
      <c r="W242" s="16" t="s">
        <v>1240</v>
      </c>
      <c r="X242" s="16" t="s">
        <v>934</v>
      </c>
      <c r="Y242" s="16" t="s">
        <v>934</v>
      </c>
      <c r="Z242" s="16" t="s">
        <v>935</v>
      </c>
      <c r="DA242" s="405" t="s">
        <v>5</v>
      </c>
      <c r="DB242" s="405" t="s">
        <v>363</v>
      </c>
      <c r="DC242" s="406" t="s">
        <v>85</v>
      </c>
      <c r="DD242" s="405" t="s">
        <v>917</v>
      </c>
      <c r="DE242" s="405" t="s">
        <v>5</v>
      </c>
      <c r="DF242" s="406" t="s">
        <v>85</v>
      </c>
      <c r="DG242" s="407">
        <v>45845</v>
      </c>
      <c r="DH242" s="405" t="s">
        <v>7802</v>
      </c>
      <c r="DI242" s="406">
        <v>465455</v>
      </c>
      <c r="DJ242" s="408">
        <v>5</v>
      </c>
      <c r="DK242" s="405">
        <v>1</v>
      </c>
      <c r="DL242" s="82">
        <v>383.16</v>
      </c>
      <c r="DM242" s="409">
        <v>1.9158000000000002</v>
      </c>
      <c r="DN242" s="82" t="s">
        <v>85</v>
      </c>
      <c r="DO242" s="82" t="s">
        <v>85</v>
      </c>
      <c r="DP242" s="410" t="s">
        <v>85</v>
      </c>
    </row>
    <row r="243" spans="1:120" x14ac:dyDescent="0.25">
      <c r="A243" s="16" t="s">
        <v>7805</v>
      </c>
      <c r="B243" s="16" t="s">
        <v>7806</v>
      </c>
      <c r="C243" s="16" t="s">
        <v>7807</v>
      </c>
      <c r="D243" s="16" t="s">
        <v>7705</v>
      </c>
      <c r="E243" s="16" t="s">
        <v>7808</v>
      </c>
      <c r="F243" s="16" t="s">
        <v>7809</v>
      </c>
      <c r="G243" s="16" t="s">
        <v>7810</v>
      </c>
      <c r="H243" s="16" t="s">
        <v>7803</v>
      </c>
      <c r="I243" s="16" t="s">
        <v>1287</v>
      </c>
      <c r="J243" s="16" t="s">
        <v>943</v>
      </c>
      <c r="K243" s="16" t="s">
        <v>1288</v>
      </c>
      <c r="L243" s="16" t="s">
        <v>85</v>
      </c>
      <c r="M243" s="16" t="s">
        <v>984</v>
      </c>
      <c r="N243" s="16" t="s">
        <v>914</v>
      </c>
      <c r="O243" s="16" t="s">
        <v>985</v>
      </c>
      <c r="P243" s="16" t="s">
        <v>914</v>
      </c>
      <c r="Q243" s="16" t="s">
        <v>985</v>
      </c>
      <c r="R243" s="16" t="s">
        <v>915</v>
      </c>
      <c r="S243" s="16" t="s">
        <v>915</v>
      </c>
      <c r="T243" s="16" t="s">
        <v>986</v>
      </c>
      <c r="U243" s="16" t="s">
        <v>987</v>
      </c>
      <c r="V243" s="16" t="s">
        <v>916</v>
      </c>
      <c r="W243" s="16" t="s">
        <v>987</v>
      </c>
      <c r="X243" s="16" t="s">
        <v>934</v>
      </c>
      <c r="Y243" s="16" t="s">
        <v>934</v>
      </c>
      <c r="Z243" s="16" t="s">
        <v>935</v>
      </c>
      <c r="DA243" s="405" t="s">
        <v>5</v>
      </c>
      <c r="DB243" s="405" t="s">
        <v>363</v>
      </c>
      <c r="DC243" s="406" t="s">
        <v>85</v>
      </c>
      <c r="DD243" s="405" t="s">
        <v>917</v>
      </c>
      <c r="DE243" s="405" t="s">
        <v>5</v>
      </c>
      <c r="DF243" s="406" t="s">
        <v>85</v>
      </c>
      <c r="DG243" s="407">
        <v>45845</v>
      </c>
      <c r="DH243" s="405" t="s">
        <v>7808</v>
      </c>
      <c r="DI243" s="406">
        <v>465455</v>
      </c>
      <c r="DJ243" s="408">
        <v>5</v>
      </c>
      <c r="DK243" s="405">
        <v>1</v>
      </c>
      <c r="DL243" s="82">
        <v>340.55</v>
      </c>
      <c r="DM243" s="409">
        <v>1.70275</v>
      </c>
      <c r="DN243" s="82" t="s">
        <v>85</v>
      </c>
      <c r="DO243" s="82" t="s">
        <v>85</v>
      </c>
      <c r="DP243" s="410" t="s">
        <v>85</v>
      </c>
    </row>
    <row r="244" spans="1:120" x14ac:dyDescent="0.25">
      <c r="A244" s="16" t="s">
        <v>7811</v>
      </c>
      <c r="B244" s="16" t="s">
        <v>7812</v>
      </c>
      <c r="C244" s="16" t="s">
        <v>7813</v>
      </c>
      <c r="D244" s="16" t="s">
        <v>7705</v>
      </c>
      <c r="E244" s="16" t="s">
        <v>7814</v>
      </c>
      <c r="F244" s="16" t="s">
        <v>7815</v>
      </c>
      <c r="G244" s="16" t="s">
        <v>7816</v>
      </c>
      <c r="H244" s="16" t="s">
        <v>7817</v>
      </c>
      <c r="I244" s="16" t="s">
        <v>2922</v>
      </c>
      <c r="J244" s="16" t="s">
        <v>928</v>
      </c>
      <c r="K244" s="16" t="s">
        <v>2923</v>
      </c>
      <c r="L244" s="16" t="s">
        <v>85</v>
      </c>
      <c r="M244" s="16" t="s">
        <v>1322</v>
      </c>
      <c r="N244" s="16" t="s">
        <v>914</v>
      </c>
      <c r="O244" s="16" t="s">
        <v>1323</v>
      </c>
      <c r="P244" s="16" t="s">
        <v>914</v>
      </c>
      <c r="Q244" s="16" t="s">
        <v>1323</v>
      </c>
      <c r="R244" s="16" t="s">
        <v>915</v>
      </c>
      <c r="S244" s="16" t="s">
        <v>915</v>
      </c>
      <c r="T244" s="16" t="s">
        <v>1322</v>
      </c>
      <c r="U244" s="16" t="s">
        <v>1324</v>
      </c>
      <c r="V244" s="16" t="s">
        <v>916</v>
      </c>
      <c r="W244" s="16" t="s">
        <v>1324</v>
      </c>
      <c r="X244" s="16" t="s">
        <v>934</v>
      </c>
      <c r="Y244" s="16" t="s">
        <v>934</v>
      </c>
      <c r="Z244" s="16" t="s">
        <v>935</v>
      </c>
      <c r="DA244" s="405" t="s">
        <v>5</v>
      </c>
      <c r="DB244" s="405" t="s">
        <v>363</v>
      </c>
      <c r="DC244" s="406" t="s">
        <v>85</v>
      </c>
      <c r="DD244" s="405" t="s">
        <v>917</v>
      </c>
      <c r="DE244" s="405" t="s">
        <v>5</v>
      </c>
      <c r="DF244" s="406" t="s">
        <v>85</v>
      </c>
      <c r="DG244" s="407">
        <v>45845</v>
      </c>
      <c r="DH244" s="405" t="s">
        <v>7814</v>
      </c>
      <c r="DI244" s="406">
        <v>465455</v>
      </c>
      <c r="DJ244" s="408">
        <v>5</v>
      </c>
      <c r="DK244" s="405">
        <v>1</v>
      </c>
      <c r="DL244" s="82">
        <v>332.47</v>
      </c>
      <c r="DM244" s="409">
        <v>1.6623500000000002</v>
      </c>
      <c r="DN244" s="82" t="s">
        <v>85</v>
      </c>
      <c r="DO244" s="82" t="s">
        <v>85</v>
      </c>
      <c r="DP244" s="410" t="s">
        <v>85</v>
      </c>
    </row>
    <row r="245" spans="1:120" x14ac:dyDescent="0.25">
      <c r="A245" s="16" t="s">
        <v>7818</v>
      </c>
      <c r="B245" s="16" t="s">
        <v>7819</v>
      </c>
      <c r="C245" s="16" t="s">
        <v>7820</v>
      </c>
      <c r="D245" s="16" t="s">
        <v>7705</v>
      </c>
      <c r="E245" s="16" t="s">
        <v>7821</v>
      </c>
      <c r="F245" s="16" t="s">
        <v>7822</v>
      </c>
      <c r="G245" s="16" t="s">
        <v>7823</v>
      </c>
      <c r="H245" s="16" t="s">
        <v>7824</v>
      </c>
      <c r="I245" s="16" t="s">
        <v>3164</v>
      </c>
      <c r="J245" s="16" t="s">
        <v>995</v>
      </c>
      <c r="K245" s="16" t="s">
        <v>3165</v>
      </c>
      <c r="L245" s="16" t="s">
        <v>85</v>
      </c>
      <c r="M245" s="16" t="s">
        <v>1165</v>
      </c>
      <c r="N245" s="16" t="s">
        <v>914</v>
      </c>
      <c r="O245" s="16" t="s">
        <v>1166</v>
      </c>
      <c r="P245" s="16" t="s">
        <v>914</v>
      </c>
      <c r="Q245" s="16" t="s">
        <v>1166</v>
      </c>
      <c r="R245" s="16" t="s">
        <v>915</v>
      </c>
      <c r="S245" s="16" t="s">
        <v>915</v>
      </c>
      <c r="T245" s="16" t="s">
        <v>1167</v>
      </c>
      <c r="U245" s="16" t="s">
        <v>1168</v>
      </c>
      <c r="V245" s="16" t="s">
        <v>916</v>
      </c>
      <c r="W245" s="16" t="s">
        <v>1168</v>
      </c>
      <c r="X245" s="16" t="s">
        <v>934</v>
      </c>
      <c r="Y245" s="16" t="s">
        <v>934</v>
      </c>
      <c r="Z245" s="16" t="s">
        <v>935</v>
      </c>
      <c r="DA245" s="405" t="s">
        <v>5</v>
      </c>
      <c r="DB245" s="405" t="s">
        <v>363</v>
      </c>
      <c r="DC245" s="406" t="s">
        <v>85</v>
      </c>
      <c r="DD245" s="405" t="s">
        <v>917</v>
      </c>
      <c r="DE245" s="405" t="s">
        <v>5</v>
      </c>
      <c r="DF245" s="406" t="s">
        <v>85</v>
      </c>
      <c r="DG245" s="407">
        <v>45845</v>
      </c>
      <c r="DH245" s="405" t="s">
        <v>7821</v>
      </c>
      <c r="DI245" s="406">
        <v>465455</v>
      </c>
      <c r="DJ245" s="408">
        <v>5</v>
      </c>
      <c r="DK245" s="405">
        <v>1</v>
      </c>
      <c r="DL245" s="82">
        <v>468.28</v>
      </c>
      <c r="DM245" s="409">
        <v>2.3413999999999997</v>
      </c>
      <c r="DN245" s="82" t="s">
        <v>85</v>
      </c>
      <c r="DO245" s="82" t="s">
        <v>85</v>
      </c>
      <c r="DP245" s="410" t="s">
        <v>85</v>
      </c>
    </row>
    <row r="246" spans="1:120" x14ac:dyDescent="0.25">
      <c r="A246" s="16" t="s">
        <v>7825</v>
      </c>
      <c r="B246" s="16" t="s">
        <v>7826</v>
      </c>
      <c r="C246" s="16" t="s">
        <v>7827</v>
      </c>
      <c r="D246" s="16" t="s">
        <v>7705</v>
      </c>
      <c r="E246" s="16" t="s">
        <v>7828</v>
      </c>
      <c r="F246" s="16" t="s">
        <v>7829</v>
      </c>
      <c r="G246" s="16" t="s">
        <v>7830</v>
      </c>
      <c r="H246" s="16" t="s">
        <v>7831</v>
      </c>
      <c r="I246" s="16" t="s">
        <v>1737</v>
      </c>
      <c r="J246" s="16" t="s">
        <v>1123</v>
      </c>
      <c r="K246" s="16" t="s">
        <v>1738</v>
      </c>
      <c r="L246" s="16" t="s">
        <v>85</v>
      </c>
      <c r="M246" s="16" t="s">
        <v>1238</v>
      </c>
      <c r="N246" s="16" t="s">
        <v>914</v>
      </c>
      <c r="O246" s="16" t="s">
        <v>1239</v>
      </c>
      <c r="P246" s="16" t="s">
        <v>914</v>
      </c>
      <c r="Q246" s="16" t="s">
        <v>1239</v>
      </c>
      <c r="R246" s="16" t="s">
        <v>915</v>
      </c>
      <c r="S246" s="16" t="s">
        <v>915</v>
      </c>
      <c r="T246" s="16" t="s">
        <v>1238</v>
      </c>
      <c r="U246" s="16" t="s">
        <v>1240</v>
      </c>
      <c r="V246" s="16" t="s">
        <v>916</v>
      </c>
      <c r="W246" s="16" t="s">
        <v>1240</v>
      </c>
      <c r="X246" s="16" t="s">
        <v>934</v>
      </c>
      <c r="Y246" s="16" t="s">
        <v>934</v>
      </c>
      <c r="Z246" s="16" t="s">
        <v>935</v>
      </c>
      <c r="DA246" s="405" t="s">
        <v>5</v>
      </c>
      <c r="DB246" s="405" t="s">
        <v>363</v>
      </c>
      <c r="DC246" s="406" t="s">
        <v>85</v>
      </c>
      <c r="DD246" s="405" t="s">
        <v>917</v>
      </c>
      <c r="DE246" s="405" t="s">
        <v>5</v>
      </c>
      <c r="DF246" s="406" t="s">
        <v>85</v>
      </c>
      <c r="DG246" s="407">
        <v>45845</v>
      </c>
      <c r="DH246" s="405" t="s">
        <v>7828</v>
      </c>
      <c r="DI246" s="406">
        <v>465455</v>
      </c>
      <c r="DJ246" s="408">
        <v>5</v>
      </c>
      <c r="DK246" s="405">
        <v>1</v>
      </c>
      <c r="DL246" s="82">
        <v>383.16</v>
      </c>
      <c r="DM246" s="409">
        <v>1.9158000000000002</v>
      </c>
      <c r="DN246" s="82" t="s">
        <v>85</v>
      </c>
      <c r="DO246" s="82" t="s">
        <v>85</v>
      </c>
      <c r="DP246" s="410" t="s">
        <v>85</v>
      </c>
    </row>
    <row r="247" spans="1:120" x14ac:dyDescent="0.25">
      <c r="A247" s="16" t="s">
        <v>7832</v>
      </c>
      <c r="B247" s="16" t="s">
        <v>7833</v>
      </c>
      <c r="C247" s="16" t="s">
        <v>7834</v>
      </c>
      <c r="D247" s="16" t="s">
        <v>7705</v>
      </c>
      <c r="E247" s="16" t="s">
        <v>7835</v>
      </c>
      <c r="F247" s="16" t="s">
        <v>7836</v>
      </c>
      <c r="G247" s="16" t="s">
        <v>7837</v>
      </c>
      <c r="H247" s="16" t="s">
        <v>7838</v>
      </c>
      <c r="I247" s="16" t="s">
        <v>1423</v>
      </c>
      <c r="J247" s="16" t="s">
        <v>928</v>
      </c>
      <c r="K247" s="16" t="s">
        <v>1424</v>
      </c>
      <c r="L247" s="16" t="s">
        <v>85</v>
      </c>
      <c r="M247" s="16" t="s">
        <v>1322</v>
      </c>
      <c r="N247" s="16" t="s">
        <v>914</v>
      </c>
      <c r="O247" s="16" t="s">
        <v>1323</v>
      </c>
      <c r="P247" s="16" t="s">
        <v>914</v>
      </c>
      <c r="Q247" s="16" t="s">
        <v>1323</v>
      </c>
      <c r="R247" s="16" t="s">
        <v>915</v>
      </c>
      <c r="S247" s="16" t="s">
        <v>915</v>
      </c>
      <c r="T247" s="16" t="s">
        <v>1322</v>
      </c>
      <c r="U247" s="16" t="s">
        <v>1324</v>
      </c>
      <c r="V247" s="16" t="s">
        <v>916</v>
      </c>
      <c r="W247" s="16" t="s">
        <v>1324</v>
      </c>
      <c r="X247" s="16" t="s">
        <v>934</v>
      </c>
      <c r="Y247" s="16" t="s">
        <v>934</v>
      </c>
      <c r="Z247" s="16" t="s">
        <v>935</v>
      </c>
      <c r="DA247" s="405" t="s">
        <v>5</v>
      </c>
      <c r="DB247" s="405" t="s">
        <v>363</v>
      </c>
      <c r="DC247" s="406" t="s">
        <v>85</v>
      </c>
      <c r="DD247" s="405" t="s">
        <v>917</v>
      </c>
      <c r="DE247" s="405" t="s">
        <v>5</v>
      </c>
      <c r="DF247" s="406" t="s">
        <v>85</v>
      </c>
      <c r="DG247" s="407">
        <v>45845</v>
      </c>
      <c r="DH247" s="405" t="s">
        <v>7835</v>
      </c>
      <c r="DI247" s="406">
        <v>465455</v>
      </c>
      <c r="DJ247" s="408">
        <v>5</v>
      </c>
      <c r="DK247" s="405">
        <v>1</v>
      </c>
      <c r="DL247" s="82">
        <v>332.47</v>
      </c>
      <c r="DM247" s="409">
        <v>1.6623500000000002</v>
      </c>
      <c r="DN247" s="82" t="s">
        <v>85</v>
      </c>
      <c r="DO247" s="82" t="s">
        <v>85</v>
      </c>
      <c r="DP247" s="410" t="s">
        <v>85</v>
      </c>
    </row>
    <row r="248" spans="1:120" x14ac:dyDescent="0.25">
      <c r="A248" s="16" t="s">
        <v>7839</v>
      </c>
      <c r="B248" s="16" t="s">
        <v>7840</v>
      </c>
      <c r="C248" s="16" t="s">
        <v>7841</v>
      </c>
      <c r="D248" s="16" t="s">
        <v>7705</v>
      </c>
      <c r="E248" s="16" t="s">
        <v>7842</v>
      </c>
      <c r="F248" s="16" t="s">
        <v>7843</v>
      </c>
      <c r="G248" s="16" t="s">
        <v>7844</v>
      </c>
      <c r="H248" s="16" t="s">
        <v>7845</v>
      </c>
      <c r="I248" s="16" t="s">
        <v>1638</v>
      </c>
      <c r="J248" s="16" t="s">
        <v>943</v>
      </c>
      <c r="K248" s="16" t="s">
        <v>1639</v>
      </c>
      <c r="L248" s="16" t="s">
        <v>85</v>
      </c>
      <c r="M248" s="16" t="s">
        <v>984</v>
      </c>
      <c r="N248" s="16" t="s">
        <v>914</v>
      </c>
      <c r="O248" s="16" t="s">
        <v>985</v>
      </c>
      <c r="P248" s="16" t="s">
        <v>914</v>
      </c>
      <c r="Q248" s="16" t="s">
        <v>985</v>
      </c>
      <c r="R248" s="16" t="s">
        <v>915</v>
      </c>
      <c r="S248" s="16" t="s">
        <v>915</v>
      </c>
      <c r="T248" s="16" t="s">
        <v>986</v>
      </c>
      <c r="U248" s="16" t="s">
        <v>987</v>
      </c>
      <c r="V248" s="16" t="s">
        <v>916</v>
      </c>
      <c r="W248" s="16" t="s">
        <v>987</v>
      </c>
      <c r="X248" s="16" t="s">
        <v>934</v>
      </c>
      <c r="Y248" s="16" t="s">
        <v>934</v>
      </c>
      <c r="Z248" s="16" t="s">
        <v>935</v>
      </c>
      <c r="DA248" s="405" t="s">
        <v>5</v>
      </c>
      <c r="DB248" s="405" t="s">
        <v>363</v>
      </c>
      <c r="DC248" s="406" t="s">
        <v>85</v>
      </c>
      <c r="DD248" s="405" t="s">
        <v>917</v>
      </c>
      <c r="DE248" s="405" t="s">
        <v>5</v>
      </c>
      <c r="DF248" s="406" t="s">
        <v>85</v>
      </c>
      <c r="DG248" s="407">
        <v>45845</v>
      </c>
      <c r="DH248" s="405" t="s">
        <v>7842</v>
      </c>
      <c r="DI248" s="406">
        <v>465455</v>
      </c>
      <c r="DJ248" s="408">
        <v>5</v>
      </c>
      <c r="DK248" s="405">
        <v>1</v>
      </c>
      <c r="DL248" s="82">
        <v>340.55</v>
      </c>
      <c r="DM248" s="409">
        <v>1.70275</v>
      </c>
      <c r="DN248" s="82" t="s">
        <v>85</v>
      </c>
      <c r="DO248" s="82" t="s">
        <v>85</v>
      </c>
      <c r="DP248" s="410" t="s">
        <v>85</v>
      </c>
    </row>
    <row r="249" spans="1:120" x14ac:dyDescent="0.25">
      <c r="A249" s="16" t="s">
        <v>7839</v>
      </c>
      <c r="B249" s="16" t="s">
        <v>7840</v>
      </c>
      <c r="C249" s="16" t="s">
        <v>7841</v>
      </c>
      <c r="D249" s="16" t="s">
        <v>7705</v>
      </c>
      <c r="E249" s="16" t="s">
        <v>7842</v>
      </c>
      <c r="F249" s="16" t="s">
        <v>7843</v>
      </c>
      <c r="G249" s="16" t="s">
        <v>7844</v>
      </c>
      <c r="H249" s="16" t="s">
        <v>7845</v>
      </c>
      <c r="I249" s="16" t="s">
        <v>2960</v>
      </c>
      <c r="J249" s="16" t="s">
        <v>943</v>
      </c>
      <c r="K249" s="16" t="s">
        <v>2961</v>
      </c>
      <c r="L249" s="16" t="s">
        <v>85</v>
      </c>
      <c r="M249" s="16" t="s">
        <v>984</v>
      </c>
      <c r="N249" s="16" t="s">
        <v>914</v>
      </c>
      <c r="O249" s="16" t="s">
        <v>985</v>
      </c>
      <c r="P249" s="16" t="s">
        <v>914</v>
      </c>
      <c r="Q249" s="16" t="s">
        <v>985</v>
      </c>
      <c r="R249" s="16" t="s">
        <v>915</v>
      </c>
      <c r="S249" s="16" t="s">
        <v>915</v>
      </c>
      <c r="T249" s="16" t="s">
        <v>986</v>
      </c>
      <c r="U249" s="16" t="s">
        <v>987</v>
      </c>
      <c r="V249" s="16" t="s">
        <v>916</v>
      </c>
      <c r="W249" s="16" t="s">
        <v>987</v>
      </c>
      <c r="X249" s="16" t="s">
        <v>934</v>
      </c>
      <c r="Y249" s="16" t="s">
        <v>934</v>
      </c>
      <c r="Z249" s="16" t="s">
        <v>935</v>
      </c>
      <c r="DA249" s="405" t="s">
        <v>5</v>
      </c>
      <c r="DB249" s="405" t="s">
        <v>363</v>
      </c>
      <c r="DC249" s="406" t="s">
        <v>85</v>
      </c>
      <c r="DD249" s="405" t="s">
        <v>917</v>
      </c>
      <c r="DE249" s="405" t="s">
        <v>5</v>
      </c>
      <c r="DF249" s="406" t="s">
        <v>85</v>
      </c>
      <c r="DG249" s="407">
        <v>45845</v>
      </c>
      <c r="DH249" s="405" t="s">
        <v>7842</v>
      </c>
      <c r="DI249" s="406">
        <v>465455</v>
      </c>
      <c r="DJ249" s="408">
        <v>5</v>
      </c>
      <c r="DK249" s="405">
        <v>1</v>
      </c>
      <c r="DL249" s="82">
        <v>340.55</v>
      </c>
      <c r="DM249" s="409">
        <v>1.70275</v>
      </c>
      <c r="DN249" s="82" t="s">
        <v>85</v>
      </c>
      <c r="DO249" s="82" t="s">
        <v>85</v>
      </c>
      <c r="DP249" s="410" t="s">
        <v>85</v>
      </c>
    </row>
    <row r="250" spans="1:120" x14ac:dyDescent="0.25">
      <c r="A250" s="16" t="s">
        <v>7846</v>
      </c>
      <c r="B250" s="16" t="s">
        <v>7847</v>
      </c>
      <c r="C250" s="16" t="s">
        <v>7848</v>
      </c>
      <c r="D250" s="16" t="s">
        <v>7705</v>
      </c>
      <c r="E250" s="16" t="s">
        <v>7849</v>
      </c>
      <c r="F250" s="16" t="s">
        <v>7850</v>
      </c>
      <c r="G250" s="16" t="s">
        <v>7851</v>
      </c>
      <c r="H250" s="16" t="s">
        <v>7843</v>
      </c>
      <c r="I250" s="16" t="s">
        <v>2661</v>
      </c>
      <c r="J250" s="16" t="s">
        <v>943</v>
      </c>
      <c r="K250" s="16" t="s">
        <v>2662</v>
      </c>
      <c r="L250" s="16" t="s">
        <v>85</v>
      </c>
      <c r="M250" s="16" t="s">
        <v>984</v>
      </c>
      <c r="N250" s="16" t="s">
        <v>914</v>
      </c>
      <c r="O250" s="16" t="s">
        <v>985</v>
      </c>
      <c r="P250" s="16" t="s">
        <v>914</v>
      </c>
      <c r="Q250" s="16" t="s">
        <v>985</v>
      </c>
      <c r="R250" s="16" t="s">
        <v>915</v>
      </c>
      <c r="S250" s="16" t="s">
        <v>915</v>
      </c>
      <c r="T250" s="16" t="s">
        <v>986</v>
      </c>
      <c r="U250" s="16" t="s">
        <v>987</v>
      </c>
      <c r="V250" s="16" t="s">
        <v>916</v>
      </c>
      <c r="W250" s="16" t="s">
        <v>987</v>
      </c>
      <c r="X250" s="16" t="s">
        <v>934</v>
      </c>
      <c r="Y250" s="16" t="s">
        <v>934</v>
      </c>
      <c r="Z250" s="16" t="s">
        <v>935</v>
      </c>
      <c r="DA250" s="405" t="s">
        <v>5</v>
      </c>
      <c r="DB250" s="405" t="s">
        <v>363</v>
      </c>
      <c r="DC250" s="406" t="s">
        <v>85</v>
      </c>
      <c r="DD250" s="405" t="s">
        <v>917</v>
      </c>
      <c r="DE250" s="405" t="s">
        <v>5</v>
      </c>
      <c r="DF250" s="406" t="s">
        <v>85</v>
      </c>
      <c r="DG250" s="407">
        <v>45845</v>
      </c>
      <c r="DH250" s="405" t="s">
        <v>7849</v>
      </c>
      <c r="DI250" s="406">
        <v>465455</v>
      </c>
      <c r="DJ250" s="408">
        <v>5</v>
      </c>
      <c r="DK250" s="405">
        <v>1</v>
      </c>
      <c r="DL250" s="82">
        <v>340.55</v>
      </c>
      <c r="DM250" s="409">
        <v>1.70275</v>
      </c>
      <c r="DN250" s="82" t="s">
        <v>85</v>
      </c>
      <c r="DO250" s="82" t="s">
        <v>85</v>
      </c>
      <c r="DP250" s="410" t="s">
        <v>85</v>
      </c>
    </row>
    <row r="251" spans="1:120" x14ac:dyDescent="0.25">
      <c r="A251" s="16" t="s">
        <v>7852</v>
      </c>
      <c r="B251" s="16" t="s">
        <v>7853</v>
      </c>
      <c r="C251" s="16" t="s">
        <v>7854</v>
      </c>
      <c r="D251" s="16" t="s">
        <v>7705</v>
      </c>
      <c r="E251" s="16" t="s">
        <v>7855</v>
      </c>
      <c r="F251" s="16" t="s">
        <v>7856</v>
      </c>
      <c r="G251" s="16" t="s">
        <v>7857</v>
      </c>
      <c r="H251" s="16" t="s">
        <v>7858</v>
      </c>
      <c r="I251" s="16" t="s">
        <v>1181</v>
      </c>
      <c r="J251" s="16" t="s">
        <v>928</v>
      </c>
      <c r="K251" s="16" t="s">
        <v>1182</v>
      </c>
      <c r="L251" s="16" t="s">
        <v>85</v>
      </c>
      <c r="M251" s="16" t="s">
        <v>1322</v>
      </c>
      <c r="N251" s="16" t="s">
        <v>914</v>
      </c>
      <c r="O251" s="16" t="s">
        <v>1323</v>
      </c>
      <c r="P251" s="16" t="s">
        <v>914</v>
      </c>
      <c r="Q251" s="16" t="s">
        <v>1323</v>
      </c>
      <c r="R251" s="16" t="s">
        <v>915</v>
      </c>
      <c r="S251" s="16" t="s">
        <v>915</v>
      </c>
      <c r="T251" s="16" t="s">
        <v>1322</v>
      </c>
      <c r="U251" s="16" t="s">
        <v>1324</v>
      </c>
      <c r="V251" s="16" t="s">
        <v>916</v>
      </c>
      <c r="W251" s="16" t="s">
        <v>1324</v>
      </c>
      <c r="X251" s="16" t="s">
        <v>934</v>
      </c>
      <c r="Y251" s="16" t="s">
        <v>934</v>
      </c>
      <c r="Z251" s="16" t="s">
        <v>935</v>
      </c>
      <c r="DA251" s="405" t="s">
        <v>5</v>
      </c>
      <c r="DB251" s="405" t="s">
        <v>363</v>
      </c>
      <c r="DC251" s="406" t="s">
        <v>85</v>
      </c>
      <c r="DD251" s="405" t="s">
        <v>917</v>
      </c>
      <c r="DE251" s="405" t="s">
        <v>5</v>
      </c>
      <c r="DF251" s="406" t="s">
        <v>85</v>
      </c>
      <c r="DG251" s="407">
        <v>45845</v>
      </c>
      <c r="DH251" s="405" t="s">
        <v>7855</v>
      </c>
      <c r="DI251" s="406">
        <v>465455</v>
      </c>
      <c r="DJ251" s="408">
        <v>5</v>
      </c>
      <c r="DK251" s="405">
        <v>1</v>
      </c>
      <c r="DL251" s="82">
        <v>332.47</v>
      </c>
      <c r="DM251" s="409">
        <v>1.6623500000000002</v>
      </c>
      <c r="DN251" s="82" t="s">
        <v>85</v>
      </c>
      <c r="DO251" s="82" t="s">
        <v>85</v>
      </c>
      <c r="DP251" s="410" t="s">
        <v>85</v>
      </c>
    </row>
    <row r="252" spans="1:120" x14ac:dyDescent="0.25">
      <c r="A252" s="16" t="s">
        <v>7859</v>
      </c>
      <c r="B252" s="16" t="s">
        <v>7860</v>
      </c>
      <c r="C252" s="16" t="s">
        <v>7861</v>
      </c>
      <c r="D252" s="16" t="s">
        <v>7705</v>
      </c>
      <c r="E252" s="16" t="s">
        <v>7862</v>
      </c>
      <c r="F252" s="16" t="s">
        <v>7863</v>
      </c>
      <c r="G252" s="16" t="s">
        <v>7864</v>
      </c>
      <c r="H252" s="16" t="s">
        <v>7865</v>
      </c>
      <c r="I252" s="16" t="s">
        <v>1414</v>
      </c>
      <c r="J252" s="16" t="s">
        <v>1109</v>
      </c>
      <c r="K252" s="16" t="s">
        <v>1415</v>
      </c>
      <c r="L252" s="16" t="s">
        <v>85</v>
      </c>
      <c r="M252" s="16" t="s">
        <v>1311</v>
      </c>
      <c r="N252" s="16" t="s">
        <v>914</v>
      </c>
      <c r="O252" s="16" t="s">
        <v>1312</v>
      </c>
      <c r="P252" s="16" t="s">
        <v>914</v>
      </c>
      <c r="Q252" s="16" t="s">
        <v>1312</v>
      </c>
      <c r="R252" s="16" t="s">
        <v>915</v>
      </c>
      <c r="S252" s="16" t="s">
        <v>915</v>
      </c>
      <c r="T252" s="16" t="s">
        <v>1311</v>
      </c>
      <c r="U252" s="16" t="s">
        <v>1313</v>
      </c>
      <c r="V252" s="16" t="s">
        <v>916</v>
      </c>
      <c r="W252" s="16" t="s">
        <v>1313</v>
      </c>
      <c r="X252" s="16" t="s">
        <v>934</v>
      </c>
      <c r="Y252" s="16" t="s">
        <v>934</v>
      </c>
      <c r="Z252" s="16" t="s">
        <v>935</v>
      </c>
      <c r="DA252" s="405" t="s">
        <v>5</v>
      </c>
      <c r="DB252" s="405" t="s">
        <v>363</v>
      </c>
      <c r="DC252" s="406" t="s">
        <v>85</v>
      </c>
      <c r="DD252" s="405" t="s">
        <v>917</v>
      </c>
      <c r="DE252" s="405" t="s">
        <v>5</v>
      </c>
      <c r="DF252" s="406" t="s">
        <v>85</v>
      </c>
      <c r="DG252" s="407">
        <v>45845</v>
      </c>
      <c r="DH252" s="405" t="s">
        <v>7862</v>
      </c>
      <c r="DI252" s="406">
        <v>465455</v>
      </c>
      <c r="DJ252" s="408">
        <v>5</v>
      </c>
      <c r="DK252" s="405">
        <v>1</v>
      </c>
      <c r="DL252" s="82">
        <v>531.54</v>
      </c>
      <c r="DM252" s="409">
        <v>2.6576999999999997</v>
      </c>
      <c r="DN252" s="82" t="s">
        <v>85</v>
      </c>
      <c r="DO252" s="82" t="s">
        <v>85</v>
      </c>
      <c r="DP252" s="410" t="s">
        <v>85</v>
      </c>
    </row>
    <row r="253" spans="1:120" x14ac:dyDescent="0.25">
      <c r="A253" s="16" t="s">
        <v>7866</v>
      </c>
      <c r="B253" s="16" t="s">
        <v>7867</v>
      </c>
      <c r="C253" s="16" t="s">
        <v>7868</v>
      </c>
      <c r="D253" s="16" t="s">
        <v>7705</v>
      </c>
      <c r="E253" s="16" t="s">
        <v>7869</v>
      </c>
      <c r="F253" s="16" t="s">
        <v>7870</v>
      </c>
      <c r="G253" s="16" t="s">
        <v>7871</v>
      </c>
      <c r="H253" s="16" t="s">
        <v>7872</v>
      </c>
      <c r="I253" s="16" t="s">
        <v>1066</v>
      </c>
      <c r="J253" s="16" t="s">
        <v>943</v>
      </c>
      <c r="K253" s="16" t="s">
        <v>1067</v>
      </c>
      <c r="L253" s="16" t="s">
        <v>85</v>
      </c>
      <c r="M253" s="16" t="s">
        <v>984</v>
      </c>
      <c r="N253" s="16" t="s">
        <v>914</v>
      </c>
      <c r="O253" s="16" t="s">
        <v>985</v>
      </c>
      <c r="P253" s="16" t="s">
        <v>914</v>
      </c>
      <c r="Q253" s="16" t="s">
        <v>985</v>
      </c>
      <c r="R253" s="16" t="s">
        <v>915</v>
      </c>
      <c r="S253" s="16" t="s">
        <v>915</v>
      </c>
      <c r="T253" s="16" t="s">
        <v>986</v>
      </c>
      <c r="U253" s="16" t="s">
        <v>987</v>
      </c>
      <c r="V253" s="16" t="s">
        <v>916</v>
      </c>
      <c r="W253" s="16" t="s">
        <v>987</v>
      </c>
      <c r="X253" s="16" t="s">
        <v>934</v>
      </c>
      <c r="Y253" s="16" t="s">
        <v>934</v>
      </c>
      <c r="Z253" s="16" t="s">
        <v>935</v>
      </c>
      <c r="DA253" s="405" t="s">
        <v>5</v>
      </c>
      <c r="DB253" s="405" t="s">
        <v>363</v>
      </c>
      <c r="DC253" s="406" t="s">
        <v>85</v>
      </c>
      <c r="DD253" s="405" t="s">
        <v>917</v>
      </c>
      <c r="DE253" s="405" t="s">
        <v>5</v>
      </c>
      <c r="DF253" s="406" t="s">
        <v>85</v>
      </c>
      <c r="DG253" s="407">
        <v>45845</v>
      </c>
      <c r="DH253" s="405" t="s">
        <v>7869</v>
      </c>
      <c r="DI253" s="406">
        <v>465455</v>
      </c>
      <c r="DJ253" s="408">
        <v>5</v>
      </c>
      <c r="DK253" s="405">
        <v>1</v>
      </c>
      <c r="DL253" s="82">
        <v>340.55</v>
      </c>
      <c r="DM253" s="409">
        <v>1.70275</v>
      </c>
      <c r="DN253" s="82" t="s">
        <v>85</v>
      </c>
      <c r="DO253" s="82" t="s">
        <v>85</v>
      </c>
      <c r="DP253" s="410" t="s">
        <v>85</v>
      </c>
    </row>
    <row r="254" spans="1:120" x14ac:dyDescent="0.25">
      <c r="A254" s="16" t="s">
        <v>7873</v>
      </c>
      <c r="B254" s="16" t="s">
        <v>7874</v>
      </c>
      <c r="C254" s="16" t="s">
        <v>7875</v>
      </c>
      <c r="D254" s="16" t="s">
        <v>7705</v>
      </c>
      <c r="E254" s="16" t="s">
        <v>7876</v>
      </c>
      <c r="F254" s="16" t="s">
        <v>7877</v>
      </c>
      <c r="G254" s="16" t="s">
        <v>7878</v>
      </c>
      <c r="H254" s="16" t="s">
        <v>7879</v>
      </c>
      <c r="I254" s="16" t="s">
        <v>1772</v>
      </c>
      <c r="J254" s="16" t="s">
        <v>1036</v>
      </c>
      <c r="K254" s="16" t="s">
        <v>1773</v>
      </c>
      <c r="L254" s="16" t="s">
        <v>85</v>
      </c>
      <c r="M254" s="16" t="s">
        <v>1216</v>
      </c>
      <c r="N254" s="16" t="s">
        <v>914</v>
      </c>
      <c r="O254" s="16" t="s">
        <v>946</v>
      </c>
      <c r="P254" s="16" t="s">
        <v>914</v>
      </c>
      <c r="Q254" s="16" t="s">
        <v>946</v>
      </c>
      <c r="R254" s="16" t="s">
        <v>915</v>
      </c>
      <c r="S254" s="16" t="s">
        <v>915</v>
      </c>
      <c r="T254" s="16" t="s">
        <v>1216</v>
      </c>
      <c r="U254" s="16" t="s">
        <v>1217</v>
      </c>
      <c r="V254" s="16" t="s">
        <v>916</v>
      </c>
      <c r="W254" s="16" t="s">
        <v>1217</v>
      </c>
      <c r="X254" s="16" t="s">
        <v>934</v>
      </c>
      <c r="Y254" s="16" t="s">
        <v>934</v>
      </c>
      <c r="Z254" s="16" t="s">
        <v>935</v>
      </c>
      <c r="DA254" s="405" t="s">
        <v>5</v>
      </c>
      <c r="DB254" s="405" t="s">
        <v>363</v>
      </c>
      <c r="DC254" s="406" t="s">
        <v>85</v>
      </c>
      <c r="DD254" s="405" t="s">
        <v>917</v>
      </c>
      <c r="DE254" s="405" t="s">
        <v>5</v>
      </c>
      <c r="DF254" s="406" t="s">
        <v>85</v>
      </c>
      <c r="DG254" s="407">
        <v>45845</v>
      </c>
      <c r="DH254" s="405" t="s">
        <v>7876</v>
      </c>
      <c r="DI254" s="406">
        <v>465455</v>
      </c>
      <c r="DJ254" s="408">
        <v>5</v>
      </c>
      <c r="DK254" s="405">
        <v>1</v>
      </c>
      <c r="DL254" s="82">
        <v>319.22000000000003</v>
      </c>
      <c r="DM254" s="409">
        <v>1.5961000000000001</v>
      </c>
      <c r="DN254" s="82" t="s">
        <v>85</v>
      </c>
      <c r="DO254" s="82" t="s">
        <v>85</v>
      </c>
      <c r="DP254" s="410" t="s">
        <v>85</v>
      </c>
    </row>
    <row r="255" spans="1:120" x14ac:dyDescent="0.25">
      <c r="A255" s="16" t="s">
        <v>7880</v>
      </c>
      <c r="B255" s="16" t="s">
        <v>7881</v>
      </c>
      <c r="C255" s="16" t="s">
        <v>7882</v>
      </c>
      <c r="D255" s="16" t="s">
        <v>7705</v>
      </c>
      <c r="E255" s="16" t="s">
        <v>7883</v>
      </c>
      <c r="F255" s="16" t="s">
        <v>7884</v>
      </c>
      <c r="G255" s="16" t="s">
        <v>7885</v>
      </c>
      <c r="H255" s="16" t="s">
        <v>7884</v>
      </c>
      <c r="I255" s="16" t="s">
        <v>1377</v>
      </c>
      <c r="J255" s="16" t="s">
        <v>943</v>
      </c>
      <c r="K255" s="16" t="s">
        <v>1378</v>
      </c>
      <c r="L255" s="16" t="s">
        <v>85</v>
      </c>
      <c r="M255" s="16" t="s">
        <v>984</v>
      </c>
      <c r="N255" s="16" t="s">
        <v>914</v>
      </c>
      <c r="O255" s="16" t="s">
        <v>985</v>
      </c>
      <c r="P255" s="16" t="s">
        <v>914</v>
      </c>
      <c r="Q255" s="16" t="s">
        <v>985</v>
      </c>
      <c r="R255" s="16" t="s">
        <v>915</v>
      </c>
      <c r="S255" s="16" t="s">
        <v>915</v>
      </c>
      <c r="T255" s="16" t="s">
        <v>986</v>
      </c>
      <c r="U255" s="16" t="s">
        <v>987</v>
      </c>
      <c r="V255" s="16" t="s">
        <v>916</v>
      </c>
      <c r="W255" s="16" t="s">
        <v>987</v>
      </c>
      <c r="X255" s="16" t="s">
        <v>934</v>
      </c>
      <c r="Y255" s="16" t="s">
        <v>934</v>
      </c>
      <c r="Z255" s="16" t="s">
        <v>935</v>
      </c>
      <c r="DA255" s="405" t="s">
        <v>5</v>
      </c>
      <c r="DB255" s="405" t="s">
        <v>363</v>
      </c>
      <c r="DC255" s="406" t="s">
        <v>85</v>
      </c>
      <c r="DD255" s="405" t="s">
        <v>917</v>
      </c>
      <c r="DE255" s="405" t="s">
        <v>5</v>
      </c>
      <c r="DF255" s="406" t="s">
        <v>85</v>
      </c>
      <c r="DG255" s="407">
        <v>45845</v>
      </c>
      <c r="DH255" s="405" t="s">
        <v>7883</v>
      </c>
      <c r="DI255" s="406">
        <v>465455</v>
      </c>
      <c r="DJ255" s="408">
        <v>5</v>
      </c>
      <c r="DK255" s="405">
        <v>1</v>
      </c>
      <c r="DL255" s="82">
        <v>340.55</v>
      </c>
      <c r="DM255" s="409">
        <v>1.70275</v>
      </c>
      <c r="DN255" s="82" t="s">
        <v>85</v>
      </c>
      <c r="DO255" s="82" t="s">
        <v>85</v>
      </c>
      <c r="DP255" s="410" t="s">
        <v>85</v>
      </c>
    </row>
    <row r="256" spans="1:120" x14ac:dyDescent="0.25">
      <c r="A256" s="16" t="s">
        <v>7886</v>
      </c>
      <c r="B256" s="16" t="s">
        <v>7887</v>
      </c>
      <c r="C256" s="16" t="s">
        <v>7888</v>
      </c>
      <c r="D256" s="16" t="s">
        <v>7705</v>
      </c>
      <c r="E256" s="16" t="s">
        <v>7889</v>
      </c>
      <c r="F256" s="16" t="s">
        <v>7890</v>
      </c>
      <c r="G256" s="16" t="s">
        <v>7891</v>
      </c>
      <c r="H256" s="16" t="s">
        <v>7892</v>
      </c>
      <c r="I256" s="16" t="s">
        <v>2676</v>
      </c>
      <c r="J256" s="16" t="s">
        <v>943</v>
      </c>
      <c r="K256" s="16" t="s">
        <v>2677</v>
      </c>
      <c r="L256" s="16" t="s">
        <v>85</v>
      </c>
      <c r="M256" s="16" t="s">
        <v>984</v>
      </c>
      <c r="N256" s="16" t="s">
        <v>914</v>
      </c>
      <c r="O256" s="16" t="s">
        <v>985</v>
      </c>
      <c r="P256" s="16" t="s">
        <v>914</v>
      </c>
      <c r="Q256" s="16" t="s">
        <v>985</v>
      </c>
      <c r="R256" s="16" t="s">
        <v>915</v>
      </c>
      <c r="S256" s="16" t="s">
        <v>915</v>
      </c>
      <c r="T256" s="16" t="s">
        <v>986</v>
      </c>
      <c r="U256" s="16" t="s">
        <v>987</v>
      </c>
      <c r="V256" s="16" t="s">
        <v>916</v>
      </c>
      <c r="W256" s="16" t="s">
        <v>987</v>
      </c>
      <c r="X256" s="16" t="s">
        <v>934</v>
      </c>
      <c r="Y256" s="16" t="s">
        <v>934</v>
      </c>
      <c r="Z256" s="16" t="s">
        <v>935</v>
      </c>
      <c r="DA256" s="405" t="s">
        <v>5</v>
      </c>
      <c r="DB256" s="405" t="s">
        <v>363</v>
      </c>
      <c r="DC256" s="406" t="s">
        <v>85</v>
      </c>
      <c r="DD256" s="405" t="s">
        <v>917</v>
      </c>
      <c r="DE256" s="405" t="s">
        <v>5</v>
      </c>
      <c r="DF256" s="406" t="s">
        <v>85</v>
      </c>
      <c r="DG256" s="407">
        <v>45845</v>
      </c>
      <c r="DH256" s="405" t="s">
        <v>7889</v>
      </c>
      <c r="DI256" s="406">
        <v>465455</v>
      </c>
      <c r="DJ256" s="408">
        <v>5</v>
      </c>
      <c r="DK256" s="405">
        <v>1</v>
      </c>
      <c r="DL256" s="82">
        <v>340.55</v>
      </c>
      <c r="DM256" s="409">
        <v>1.70275</v>
      </c>
      <c r="DN256" s="82" t="s">
        <v>85</v>
      </c>
      <c r="DO256" s="82" t="s">
        <v>85</v>
      </c>
      <c r="DP256" s="410" t="s">
        <v>85</v>
      </c>
    </row>
    <row r="257" spans="1:120" x14ac:dyDescent="0.25">
      <c r="A257" s="16" t="s">
        <v>7893</v>
      </c>
      <c r="B257" s="16" t="s">
        <v>7894</v>
      </c>
      <c r="C257" s="16" t="s">
        <v>7895</v>
      </c>
      <c r="D257" s="16" t="s">
        <v>7705</v>
      </c>
      <c r="E257" s="16" t="s">
        <v>7896</v>
      </c>
      <c r="F257" s="16" t="s">
        <v>7897</v>
      </c>
      <c r="G257" s="16" t="s">
        <v>7898</v>
      </c>
      <c r="H257" s="16" t="s">
        <v>7890</v>
      </c>
      <c r="I257" s="16" t="s">
        <v>1017</v>
      </c>
      <c r="J257" s="16" t="s">
        <v>995</v>
      </c>
      <c r="K257" s="16" t="s">
        <v>1018</v>
      </c>
      <c r="L257" s="16" t="s">
        <v>85</v>
      </c>
      <c r="M257" s="16" t="s">
        <v>1165</v>
      </c>
      <c r="N257" s="16" t="s">
        <v>914</v>
      </c>
      <c r="O257" s="16" t="s">
        <v>1166</v>
      </c>
      <c r="P257" s="16" t="s">
        <v>914</v>
      </c>
      <c r="Q257" s="16" t="s">
        <v>1166</v>
      </c>
      <c r="R257" s="16" t="s">
        <v>915</v>
      </c>
      <c r="S257" s="16" t="s">
        <v>915</v>
      </c>
      <c r="T257" s="16" t="s">
        <v>1167</v>
      </c>
      <c r="U257" s="16" t="s">
        <v>1168</v>
      </c>
      <c r="V257" s="16" t="s">
        <v>916</v>
      </c>
      <c r="W257" s="16" t="s">
        <v>1168</v>
      </c>
      <c r="X257" s="16" t="s">
        <v>934</v>
      </c>
      <c r="Y257" s="16" t="s">
        <v>934</v>
      </c>
      <c r="Z257" s="16" t="s">
        <v>935</v>
      </c>
      <c r="DA257" s="405" t="s">
        <v>5</v>
      </c>
      <c r="DB257" s="405" t="s">
        <v>363</v>
      </c>
      <c r="DC257" s="406" t="s">
        <v>85</v>
      </c>
      <c r="DD257" s="405" t="s">
        <v>917</v>
      </c>
      <c r="DE257" s="405" t="s">
        <v>5</v>
      </c>
      <c r="DF257" s="406" t="s">
        <v>85</v>
      </c>
      <c r="DG257" s="407">
        <v>45845</v>
      </c>
      <c r="DH257" s="405" t="s">
        <v>7896</v>
      </c>
      <c r="DI257" s="406">
        <v>465455</v>
      </c>
      <c r="DJ257" s="408">
        <v>5</v>
      </c>
      <c r="DK257" s="405">
        <v>1</v>
      </c>
      <c r="DL257" s="82">
        <v>468.28</v>
      </c>
      <c r="DM257" s="409">
        <v>2.3413999999999997</v>
      </c>
      <c r="DN257" s="82" t="s">
        <v>85</v>
      </c>
      <c r="DO257" s="82" t="s">
        <v>85</v>
      </c>
      <c r="DP257" s="410" t="s">
        <v>85</v>
      </c>
    </row>
    <row r="258" spans="1:120" x14ac:dyDescent="0.25">
      <c r="A258" s="16" t="s">
        <v>7899</v>
      </c>
      <c r="B258" s="16" t="s">
        <v>7900</v>
      </c>
      <c r="C258" s="16" t="s">
        <v>7901</v>
      </c>
      <c r="D258" s="16" t="s">
        <v>7705</v>
      </c>
      <c r="E258" s="16" t="s">
        <v>7902</v>
      </c>
      <c r="F258" s="16" t="s">
        <v>7903</v>
      </c>
      <c r="G258" s="16" t="s">
        <v>7904</v>
      </c>
      <c r="H258" s="16" t="s">
        <v>7903</v>
      </c>
      <c r="I258" s="16" t="s">
        <v>1765</v>
      </c>
      <c r="J258" s="16" t="s">
        <v>943</v>
      </c>
      <c r="K258" s="16" t="s">
        <v>1766</v>
      </c>
      <c r="L258" s="16" t="s">
        <v>85</v>
      </c>
      <c r="M258" s="16" t="s">
        <v>984</v>
      </c>
      <c r="N258" s="16" t="s">
        <v>914</v>
      </c>
      <c r="O258" s="16" t="s">
        <v>985</v>
      </c>
      <c r="P258" s="16" t="s">
        <v>914</v>
      </c>
      <c r="Q258" s="16" t="s">
        <v>985</v>
      </c>
      <c r="R258" s="16" t="s">
        <v>915</v>
      </c>
      <c r="S258" s="16" t="s">
        <v>915</v>
      </c>
      <c r="T258" s="16" t="s">
        <v>986</v>
      </c>
      <c r="U258" s="16" t="s">
        <v>987</v>
      </c>
      <c r="V258" s="16" t="s">
        <v>916</v>
      </c>
      <c r="W258" s="16" t="s">
        <v>987</v>
      </c>
      <c r="X258" s="16" t="s">
        <v>934</v>
      </c>
      <c r="Y258" s="16" t="s">
        <v>934</v>
      </c>
      <c r="Z258" s="16" t="s">
        <v>935</v>
      </c>
      <c r="DA258" s="405" t="s">
        <v>5</v>
      </c>
      <c r="DB258" s="405" t="s">
        <v>363</v>
      </c>
      <c r="DC258" s="406" t="s">
        <v>85</v>
      </c>
      <c r="DD258" s="405" t="s">
        <v>917</v>
      </c>
      <c r="DE258" s="405" t="s">
        <v>5</v>
      </c>
      <c r="DF258" s="406" t="s">
        <v>85</v>
      </c>
      <c r="DG258" s="407">
        <v>45845</v>
      </c>
      <c r="DH258" s="405" t="s">
        <v>7902</v>
      </c>
      <c r="DI258" s="406">
        <v>465455</v>
      </c>
      <c r="DJ258" s="408">
        <v>5</v>
      </c>
      <c r="DK258" s="405">
        <v>1</v>
      </c>
      <c r="DL258" s="82">
        <v>340.55</v>
      </c>
      <c r="DM258" s="409">
        <v>1.70275</v>
      </c>
      <c r="DN258" s="82" t="s">
        <v>85</v>
      </c>
      <c r="DO258" s="82" t="s">
        <v>85</v>
      </c>
      <c r="DP258" s="410" t="s">
        <v>85</v>
      </c>
    </row>
    <row r="259" spans="1:120" x14ac:dyDescent="0.25">
      <c r="A259" s="16" t="s">
        <v>7905</v>
      </c>
      <c r="B259" s="16" t="s">
        <v>7906</v>
      </c>
      <c r="C259" s="16" t="s">
        <v>7907</v>
      </c>
      <c r="D259" s="16" t="s">
        <v>7705</v>
      </c>
      <c r="E259" s="16" t="s">
        <v>7908</v>
      </c>
      <c r="F259" s="16" t="s">
        <v>7909</v>
      </c>
      <c r="G259" s="16" t="s">
        <v>7910</v>
      </c>
      <c r="H259" s="16" t="s">
        <v>7911</v>
      </c>
      <c r="I259" s="16" t="s">
        <v>3164</v>
      </c>
      <c r="J259" s="16" t="s">
        <v>995</v>
      </c>
      <c r="K259" s="16" t="s">
        <v>3165</v>
      </c>
      <c r="L259" s="16" t="s">
        <v>85</v>
      </c>
      <c r="M259" s="16" t="s">
        <v>1165</v>
      </c>
      <c r="N259" s="16" t="s">
        <v>914</v>
      </c>
      <c r="O259" s="16" t="s">
        <v>1166</v>
      </c>
      <c r="P259" s="16" t="s">
        <v>914</v>
      </c>
      <c r="Q259" s="16" t="s">
        <v>1166</v>
      </c>
      <c r="R259" s="16" t="s">
        <v>915</v>
      </c>
      <c r="S259" s="16" t="s">
        <v>915</v>
      </c>
      <c r="T259" s="16" t="s">
        <v>1167</v>
      </c>
      <c r="U259" s="16" t="s">
        <v>1168</v>
      </c>
      <c r="V259" s="16" t="s">
        <v>916</v>
      </c>
      <c r="W259" s="16" t="s">
        <v>1168</v>
      </c>
      <c r="X259" s="16" t="s">
        <v>934</v>
      </c>
      <c r="Y259" s="16" t="s">
        <v>934</v>
      </c>
      <c r="Z259" s="16" t="s">
        <v>935</v>
      </c>
      <c r="DA259" s="405" t="s">
        <v>5</v>
      </c>
      <c r="DB259" s="405" t="s">
        <v>363</v>
      </c>
      <c r="DC259" s="406" t="s">
        <v>85</v>
      </c>
      <c r="DD259" s="405" t="s">
        <v>917</v>
      </c>
      <c r="DE259" s="405" t="s">
        <v>5</v>
      </c>
      <c r="DF259" s="406" t="s">
        <v>85</v>
      </c>
      <c r="DG259" s="407">
        <v>45845</v>
      </c>
      <c r="DH259" s="405" t="s">
        <v>7908</v>
      </c>
      <c r="DI259" s="406">
        <v>465455</v>
      </c>
      <c r="DJ259" s="408">
        <v>5</v>
      </c>
      <c r="DK259" s="405">
        <v>1</v>
      </c>
      <c r="DL259" s="82">
        <v>468.28</v>
      </c>
      <c r="DM259" s="409">
        <v>2.3413999999999997</v>
      </c>
      <c r="DN259" s="82" t="s">
        <v>85</v>
      </c>
      <c r="DO259" s="82" t="s">
        <v>85</v>
      </c>
      <c r="DP259" s="410" t="s">
        <v>85</v>
      </c>
    </row>
    <row r="260" spans="1:120" x14ac:dyDescent="0.25">
      <c r="A260" s="16" t="s">
        <v>7912</v>
      </c>
      <c r="B260" s="16" t="s">
        <v>7913</v>
      </c>
      <c r="C260" s="16" t="s">
        <v>7914</v>
      </c>
      <c r="D260" s="16" t="s">
        <v>7705</v>
      </c>
      <c r="E260" s="16" t="s">
        <v>7915</v>
      </c>
      <c r="F260" s="16" t="s">
        <v>7916</v>
      </c>
      <c r="G260" s="16" t="s">
        <v>7917</v>
      </c>
      <c r="H260" s="16" t="s">
        <v>7918</v>
      </c>
      <c r="I260" s="16" t="s">
        <v>4041</v>
      </c>
      <c r="J260" s="16" t="s">
        <v>1123</v>
      </c>
      <c r="K260" s="16" t="s">
        <v>4042</v>
      </c>
      <c r="L260" s="16" t="s">
        <v>85</v>
      </c>
      <c r="M260" s="16" t="s">
        <v>1238</v>
      </c>
      <c r="N260" s="16" t="s">
        <v>914</v>
      </c>
      <c r="O260" s="16" t="s">
        <v>1239</v>
      </c>
      <c r="P260" s="16" t="s">
        <v>914</v>
      </c>
      <c r="Q260" s="16" t="s">
        <v>1239</v>
      </c>
      <c r="R260" s="16" t="s">
        <v>915</v>
      </c>
      <c r="S260" s="16" t="s">
        <v>915</v>
      </c>
      <c r="T260" s="16" t="s">
        <v>1238</v>
      </c>
      <c r="U260" s="16" t="s">
        <v>1240</v>
      </c>
      <c r="V260" s="16" t="s">
        <v>916</v>
      </c>
      <c r="W260" s="16" t="s">
        <v>1240</v>
      </c>
      <c r="X260" s="16" t="s">
        <v>934</v>
      </c>
      <c r="Y260" s="16" t="s">
        <v>934</v>
      </c>
      <c r="Z260" s="16" t="s">
        <v>935</v>
      </c>
      <c r="DA260" s="405" t="s">
        <v>5</v>
      </c>
      <c r="DB260" s="405" t="s">
        <v>363</v>
      </c>
      <c r="DC260" s="406" t="s">
        <v>85</v>
      </c>
      <c r="DD260" s="405" t="s">
        <v>917</v>
      </c>
      <c r="DE260" s="405" t="s">
        <v>5</v>
      </c>
      <c r="DF260" s="406" t="s">
        <v>85</v>
      </c>
      <c r="DG260" s="407">
        <v>45845</v>
      </c>
      <c r="DH260" s="405" t="s">
        <v>7915</v>
      </c>
      <c r="DI260" s="406">
        <v>465455</v>
      </c>
      <c r="DJ260" s="408">
        <v>5</v>
      </c>
      <c r="DK260" s="405">
        <v>1</v>
      </c>
      <c r="DL260" s="82">
        <v>383.16</v>
      </c>
      <c r="DM260" s="409">
        <v>1.9158000000000002</v>
      </c>
      <c r="DN260" s="82" t="s">
        <v>85</v>
      </c>
      <c r="DO260" s="82" t="s">
        <v>85</v>
      </c>
      <c r="DP260" s="410" t="s">
        <v>85</v>
      </c>
    </row>
    <row r="261" spans="1:120" x14ac:dyDescent="0.25">
      <c r="A261" s="16" t="s">
        <v>7919</v>
      </c>
      <c r="B261" s="16" t="s">
        <v>7920</v>
      </c>
      <c r="C261" s="16" t="s">
        <v>7921</v>
      </c>
      <c r="D261" s="16" t="s">
        <v>7705</v>
      </c>
      <c r="E261" s="16" t="s">
        <v>7922</v>
      </c>
      <c r="F261" s="16" t="s">
        <v>7923</v>
      </c>
      <c r="G261" s="16" t="s">
        <v>7924</v>
      </c>
      <c r="H261" s="16" t="s">
        <v>7925</v>
      </c>
      <c r="I261" s="16" t="s">
        <v>4858</v>
      </c>
      <c r="J261" s="16" t="s">
        <v>2600</v>
      </c>
      <c r="K261" s="16" t="s">
        <v>4859</v>
      </c>
      <c r="L261" s="16" t="s">
        <v>85</v>
      </c>
      <c r="M261" s="16" t="s">
        <v>1955</v>
      </c>
      <c r="N261" s="16" t="s">
        <v>914</v>
      </c>
      <c r="O261" s="16" t="s">
        <v>1039</v>
      </c>
      <c r="P261" s="16" t="s">
        <v>914</v>
      </c>
      <c r="Q261" s="16" t="s">
        <v>1039</v>
      </c>
      <c r="R261" s="16" t="s">
        <v>915</v>
      </c>
      <c r="S261" s="16" t="s">
        <v>915</v>
      </c>
      <c r="T261" s="16" t="s">
        <v>1955</v>
      </c>
      <c r="U261" s="16" t="s">
        <v>1956</v>
      </c>
      <c r="V261" s="16" t="s">
        <v>916</v>
      </c>
      <c r="W261" s="16" t="s">
        <v>1956</v>
      </c>
      <c r="X261" s="16" t="s">
        <v>934</v>
      </c>
      <c r="Y261" s="16" t="s">
        <v>934</v>
      </c>
      <c r="Z261" s="16" t="s">
        <v>935</v>
      </c>
      <c r="DA261" s="405" t="s">
        <v>5</v>
      </c>
      <c r="DB261" s="405" t="s">
        <v>363</v>
      </c>
      <c r="DC261" s="406" t="s">
        <v>85</v>
      </c>
      <c r="DD261" s="405" t="s">
        <v>917</v>
      </c>
      <c r="DE261" s="405" t="s">
        <v>5</v>
      </c>
      <c r="DF261" s="406" t="s">
        <v>85</v>
      </c>
      <c r="DG261" s="407">
        <v>45845</v>
      </c>
      <c r="DH261" s="405" t="s">
        <v>7922</v>
      </c>
      <c r="DI261" s="406">
        <v>465455</v>
      </c>
      <c r="DJ261" s="408">
        <v>5</v>
      </c>
      <c r="DK261" s="405">
        <v>1</v>
      </c>
      <c r="DL261" s="82">
        <v>311.2</v>
      </c>
      <c r="DM261" s="409">
        <v>1.556</v>
      </c>
      <c r="DN261" s="82" t="s">
        <v>85</v>
      </c>
      <c r="DO261" s="82" t="s">
        <v>85</v>
      </c>
      <c r="DP261" s="410" t="s">
        <v>85</v>
      </c>
    </row>
    <row r="262" spans="1:120" x14ac:dyDescent="0.25">
      <c r="A262" s="16" t="s">
        <v>7926</v>
      </c>
      <c r="B262" s="16" t="s">
        <v>7927</v>
      </c>
      <c r="C262" s="16" t="s">
        <v>7928</v>
      </c>
      <c r="D262" s="16" t="s">
        <v>7705</v>
      </c>
      <c r="E262" s="16" t="s">
        <v>7929</v>
      </c>
      <c r="F262" s="16" t="s">
        <v>7930</v>
      </c>
      <c r="G262" s="16" t="s">
        <v>7931</v>
      </c>
      <c r="H262" s="16" t="s">
        <v>7932</v>
      </c>
      <c r="I262" s="16" t="s">
        <v>1163</v>
      </c>
      <c r="J262" s="16" t="s">
        <v>995</v>
      </c>
      <c r="K262" s="16" t="s">
        <v>1164</v>
      </c>
      <c r="L262" s="16" t="s">
        <v>85</v>
      </c>
      <c r="M262" s="16" t="s">
        <v>7933</v>
      </c>
      <c r="N262" s="16" t="s">
        <v>914</v>
      </c>
      <c r="O262" s="16" t="s">
        <v>7934</v>
      </c>
      <c r="P262" s="16" t="s">
        <v>914</v>
      </c>
      <c r="Q262" s="16" t="s">
        <v>7934</v>
      </c>
      <c r="R262" s="16" t="s">
        <v>915</v>
      </c>
      <c r="S262" s="16" t="s">
        <v>915</v>
      </c>
      <c r="T262" s="16" t="s">
        <v>4323</v>
      </c>
      <c r="U262" s="16" t="s">
        <v>7935</v>
      </c>
      <c r="V262" s="16" t="s">
        <v>1763</v>
      </c>
      <c r="W262" s="16" t="s">
        <v>7936</v>
      </c>
      <c r="X262" s="16" t="s">
        <v>934</v>
      </c>
      <c r="Y262" s="16" t="s">
        <v>934</v>
      </c>
      <c r="Z262" s="16" t="s">
        <v>935</v>
      </c>
      <c r="DA262" s="405" t="s">
        <v>5</v>
      </c>
      <c r="DB262" s="405" t="s">
        <v>363</v>
      </c>
      <c r="DC262" s="406" t="s">
        <v>85</v>
      </c>
      <c r="DD262" s="405" t="s">
        <v>917</v>
      </c>
      <c r="DE262" s="405" t="s">
        <v>5</v>
      </c>
      <c r="DF262" s="406" t="s">
        <v>85</v>
      </c>
      <c r="DG262" s="407">
        <v>45845</v>
      </c>
      <c r="DH262" s="405" t="s">
        <v>7929</v>
      </c>
      <c r="DI262" s="406">
        <v>465455</v>
      </c>
      <c r="DJ262" s="408">
        <v>5</v>
      </c>
      <c r="DK262" s="405">
        <v>2</v>
      </c>
      <c r="DL262" s="82">
        <v>468.29</v>
      </c>
      <c r="DM262" s="409">
        <v>2.34145</v>
      </c>
      <c r="DN262" s="82" t="s">
        <v>85</v>
      </c>
      <c r="DO262" s="82" t="s">
        <v>85</v>
      </c>
      <c r="DP262" s="410" t="s">
        <v>85</v>
      </c>
    </row>
    <row r="263" spans="1:120" x14ac:dyDescent="0.25">
      <c r="A263" s="16" t="s">
        <v>7937</v>
      </c>
      <c r="B263" s="16" t="s">
        <v>7938</v>
      </c>
      <c r="C263" s="16" t="s">
        <v>7939</v>
      </c>
      <c r="D263" s="16" t="s">
        <v>7705</v>
      </c>
      <c r="E263" s="16" t="s">
        <v>7940</v>
      </c>
      <c r="F263" s="16" t="s">
        <v>7941</v>
      </c>
      <c r="G263" s="16" t="s">
        <v>7942</v>
      </c>
      <c r="H263" s="16" t="s">
        <v>7943</v>
      </c>
      <c r="I263" s="16" t="s">
        <v>1781</v>
      </c>
      <c r="J263" s="16" t="s">
        <v>995</v>
      </c>
      <c r="K263" s="16" t="s">
        <v>1782</v>
      </c>
      <c r="L263" s="16" t="s">
        <v>85</v>
      </c>
      <c r="M263" s="16" t="s">
        <v>1165</v>
      </c>
      <c r="N263" s="16" t="s">
        <v>914</v>
      </c>
      <c r="O263" s="16" t="s">
        <v>1166</v>
      </c>
      <c r="P263" s="16" t="s">
        <v>914</v>
      </c>
      <c r="Q263" s="16" t="s">
        <v>1166</v>
      </c>
      <c r="R263" s="16" t="s">
        <v>915</v>
      </c>
      <c r="S263" s="16" t="s">
        <v>915</v>
      </c>
      <c r="T263" s="16" t="s">
        <v>1167</v>
      </c>
      <c r="U263" s="16" t="s">
        <v>1168</v>
      </c>
      <c r="V263" s="16" t="s">
        <v>916</v>
      </c>
      <c r="W263" s="16" t="s">
        <v>1168</v>
      </c>
      <c r="X263" s="16" t="s">
        <v>934</v>
      </c>
      <c r="Y263" s="16" t="s">
        <v>934</v>
      </c>
      <c r="Z263" s="16" t="s">
        <v>935</v>
      </c>
      <c r="DA263" s="405" t="s">
        <v>5</v>
      </c>
      <c r="DB263" s="405" t="s">
        <v>363</v>
      </c>
      <c r="DC263" s="406" t="s">
        <v>85</v>
      </c>
      <c r="DD263" s="405" t="s">
        <v>917</v>
      </c>
      <c r="DE263" s="405" t="s">
        <v>5</v>
      </c>
      <c r="DF263" s="406" t="s">
        <v>85</v>
      </c>
      <c r="DG263" s="407">
        <v>45845</v>
      </c>
      <c r="DH263" s="405" t="s">
        <v>7940</v>
      </c>
      <c r="DI263" s="406">
        <v>465455</v>
      </c>
      <c r="DJ263" s="408">
        <v>5</v>
      </c>
      <c r="DK263" s="405">
        <v>1</v>
      </c>
      <c r="DL263" s="82">
        <v>468.28</v>
      </c>
      <c r="DM263" s="409">
        <v>2.3413999999999997</v>
      </c>
      <c r="DN263" s="82" t="s">
        <v>85</v>
      </c>
      <c r="DO263" s="82" t="s">
        <v>85</v>
      </c>
      <c r="DP263" s="410" t="s">
        <v>85</v>
      </c>
    </row>
    <row r="264" spans="1:120" x14ac:dyDescent="0.25">
      <c r="A264" s="16" t="s">
        <v>7944</v>
      </c>
      <c r="B264" s="16" t="s">
        <v>7945</v>
      </c>
      <c r="C264" s="16" t="s">
        <v>7946</v>
      </c>
      <c r="D264" s="16" t="s">
        <v>7705</v>
      </c>
      <c r="E264" s="16" t="s">
        <v>7947</v>
      </c>
      <c r="F264" s="16" t="s">
        <v>7948</v>
      </c>
      <c r="G264" s="16" t="s">
        <v>7949</v>
      </c>
      <c r="H264" s="16" t="s">
        <v>7950</v>
      </c>
      <c r="I264" s="16" t="s">
        <v>1561</v>
      </c>
      <c r="J264" s="16" t="s">
        <v>928</v>
      </c>
      <c r="K264" s="16" t="s">
        <v>1562</v>
      </c>
      <c r="L264" s="16" t="s">
        <v>85</v>
      </c>
      <c r="M264" s="16" t="s">
        <v>1322</v>
      </c>
      <c r="N264" s="16" t="s">
        <v>914</v>
      </c>
      <c r="O264" s="16" t="s">
        <v>1323</v>
      </c>
      <c r="P264" s="16" t="s">
        <v>914</v>
      </c>
      <c r="Q264" s="16" t="s">
        <v>1323</v>
      </c>
      <c r="R264" s="16" t="s">
        <v>915</v>
      </c>
      <c r="S264" s="16" t="s">
        <v>915</v>
      </c>
      <c r="T264" s="16" t="s">
        <v>1322</v>
      </c>
      <c r="U264" s="16" t="s">
        <v>1324</v>
      </c>
      <c r="V264" s="16" t="s">
        <v>916</v>
      </c>
      <c r="W264" s="16" t="s">
        <v>1324</v>
      </c>
      <c r="X264" s="16" t="s">
        <v>934</v>
      </c>
      <c r="Y264" s="16" t="s">
        <v>934</v>
      </c>
      <c r="Z264" s="16" t="s">
        <v>935</v>
      </c>
      <c r="DA264" s="405" t="s">
        <v>5</v>
      </c>
      <c r="DB264" s="405" t="s">
        <v>363</v>
      </c>
      <c r="DC264" s="406" t="s">
        <v>85</v>
      </c>
      <c r="DD264" s="405" t="s">
        <v>917</v>
      </c>
      <c r="DE264" s="405" t="s">
        <v>5</v>
      </c>
      <c r="DF264" s="406" t="s">
        <v>85</v>
      </c>
      <c r="DG264" s="407">
        <v>45845</v>
      </c>
      <c r="DH264" s="405" t="s">
        <v>7947</v>
      </c>
      <c r="DI264" s="406">
        <v>465455</v>
      </c>
      <c r="DJ264" s="408">
        <v>5</v>
      </c>
      <c r="DK264" s="405">
        <v>1</v>
      </c>
      <c r="DL264" s="82">
        <v>332.47</v>
      </c>
      <c r="DM264" s="409">
        <v>1.6623500000000002</v>
      </c>
      <c r="DN264" s="82" t="s">
        <v>85</v>
      </c>
      <c r="DO264" s="82" t="s">
        <v>85</v>
      </c>
      <c r="DP264" s="410" t="s">
        <v>85</v>
      </c>
    </row>
    <row r="265" spans="1:120" x14ac:dyDescent="0.25">
      <c r="A265" s="16" t="s">
        <v>7951</v>
      </c>
      <c r="B265" s="16" t="s">
        <v>7952</v>
      </c>
      <c r="C265" s="16" t="s">
        <v>7953</v>
      </c>
      <c r="D265" s="16" t="s">
        <v>7705</v>
      </c>
      <c r="E265" s="16" t="s">
        <v>7954</v>
      </c>
      <c r="F265" s="16" t="s">
        <v>7955</v>
      </c>
      <c r="G265" s="16" t="s">
        <v>7956</v>
      </c>
      <c r="H265" s="16" t="s">
        <v>7957</v>
      </c>
      <c r="I265" s="16" t="s">
        <v>1737</v>
      </c>
      <c r="J265" s="16" t="s">
        <v>1123</v>
      </c>
      <c r="K265" s="16" t="s">
        <v>1738</v>
      </c>
      <c r="L265" s="16" t="s">
        <v>85</v>
      </c>
      <c r="M265" s="16" t="s">
        <v>1238</v>
      </c>
      <c r="N265" s="16" t="s">
        <v>914</v>
      </c>
      <c r="O265" s="16" t="s">
        <v>1239</v>
      </c>
      <c r="P265" s="16" t="s">
        <v>914</v>
      </c>
      <c r="Q265" s="16" t="s">
        <v>1239</v>
      </c>
      <c r="R265" s="16" t="s">
        <v>915</v>
      </c>
      <c r="S265" s="16" t="s">
        <v>915</v>
      </c>
      <c r="T265" s="16" t="s">
        <v>1238</v>
      </c>
      <c r="U265" s="16" t="s">
        <v>1240</v>
      </c>
      <c r="V265" s="16" t="s">
        <v>916</v>
      </c>
      <c r="W265" s="16" t="s">
        <v>1240</v>
      </c>
      <c r="X265" s="16" t="s">
        <v>934</v>
      </c>
      <c r="Y265" s="16" t="s">
        <v>934</v>
      </c>
      <c r="Z265" s="16" t="s">
        <v>935</v>
      </c>
      <c r="DA265" s="405" t="s">
        <v>5</v>
      </c>
      <c r="DB265" s="405" t="s">
        <v>363</v>
      </c>
      <c r="DC265" s="406" t="s">
        <v>85</v>
      </c>
      <c r="DD265" s="405" t="s">
        <v>917</v>
      </c>
      <c r="DE265" s="405" t="s">
        <v>5</v>
      </c>
      <c r="DF265" s="406" t="s">
        <v>85</v>
      </c>
      <c r="DG265" s="407">
        <v>45845</v>
      </c>
      <c r="DH265" s="405" t="s">
        <v>7954</v>
      </c>
      <c r="DI265" s="406">
        <v>465455</v>
      </c>
      <c r="DJ265" s="408">
        <v>5</v>
      </c>
      <c r="DK265" s="405">
        <v>1</v>
      </c>
      <c r="DL265" s="82">
        <v>383.16</v>
      </c>
      <c r="DM265" s="409">
        <v>1.9158000000000002</v>
      </c>
      <c r="DN265" s="82" t="s">
        <v>85</v>
      </c>
      <c r="DO265" s="82" t="s">
        <v>85</v>
      </c>
      <c r="DP265" s="410" t="s">
        <v>85</v>
      </c>
    </row>
    <row r="266" spans="1:120" x14ac:dyDescent="0.25">
      <c r="A266" s="16" t="s">
        <v>7958</v>
      </c>
      <c r="B266" s="16" t="s">
        <v>7959</v>
      </c>
      <c r="C266" s="16" t="s">
        <v>7960</v>
      </c>
      <c r="D266" s="16" t="s">
        <v>7705</v>
      </c>
      <c r="E266" s="16" t="s">
        <v>7961</v>
      </c>
      <c r="F266" s="16" t="s">
        <v>7962</v>
      </c>
      <c r="G266" s="16" t="s">
        <v>7963</v>
      </c>
      <c r="H266" s="16" t="s">
        <v>7964</v>
      </c>
      <c r="I266" s="16" t="s">
        <v>1150</v>
      </c>
      <c r="J266" s="16" t="s">
        <v>943</v>
      </c>
      <c r="K266" s="16" t="s">
        <v>1151</v>
      </c>
      <c r="L266" s="16" t="s">
        <v>85</v>
      </c>
      <c r="M266" s="16" t="s">
        <v>984</v>
      </c>
      <c r="N266" s="16" t="s">
        <v>914</v>
      </c>
      <c r="O266" s="16" t="s">
        <v>985</v>
      </c>
      <c r="P266" s="16" t="s">
        <v>914</v>
      </c>
      <c r="Q266" s="16" t="s">
        <v>985</v>
      </c>
      <c r="R266" s="16" t="s">
        <v>915</v>
      </c>
      <c r="S266" s="16" t="s">
        <v>915</v>
      </c>
      <c r="T266" s="16" t="s">
        <v>986</v>
      </c>
      <c r="U266" s="16" t="s">
        <v>987</v>
      </c>
      <c r="V266" s="16" t="s">
        <v>916</v>
      </c>
      <c r="W266" s="16" t="s">
        <v>987</v>
      </c>
      <c r="X266" s="16" t="s">
        <v>934</v>
      </c>
      <c r="Y266" s="16" t="s">
        <v>934</v>
      </c>
      <c r="Z266" s="16" t="s">
        <v>935</v>
      </c>
      <c r="DA266" s="405" t="s">
        <v>5</v>
      </c>
      <c r="DB266" s="405" t="s">
        <v>363</v>
      </c>
      <c r="DC266" s="406" t="s">
        <v>85</v>
      </c>
      <c r="DD266" s="405" t="s">
        <v>917</v>
      </c>
      <c r="DE266" s="405" t="s">
        <v>5</v>
      </c>
      <c r="DF266" s="406" t="s">
        <v>85</v>
      </c>
      <c r="DG266" s="407">
        <v>45845</v>
      </c>
      <c r="DH266" s="405" t="s">
        <v>7961</v>
      </c>
      <c r="DI266" s="406">
        <v>465455</v>
      </c>
      <c r="DJ266" s="408">
        <v>5</v>
      </c>
      <c r="DK266" s="405">
        <v>1</v>
      </c>
      <c r="DL266" s="82">
        <v>340.55</v>
      </c>
      <c r="DM266" s="409">
        <v>1.70275</v>
      </c>
      <c r="DN266" s="82" t="s">
        <v>85</v>
      </c>
      <c r="DO266" s="82" t="s">
        <v>85</v>
      </c>
      <c r="DP266" s="410" t="s">
        <v>85</v>
      </c>
    </row>
    <row r="267" spans="1:120" x14ac:dyDescent="0.25">
      <c r="A267" s="16" t="s">
        <v>7965</v>
      </c>
      <c r="B267" s="16" t="s">
        <v>7966</v>
      </c>
      <c r="C267" s="16" t="s">
        <v>7967</v>
      </c>
      <c r="D267" s="16" t="s">
        <v>7705</v>
      </c>
      <c r="E267" s="16" t="s">
        <v>7968</v>
      </c>
      <c r="F267" s="16" t="s">
        <v>7969</v>
      </c>
      <c r="G267" s="16" t="s">
        <v>7970</v>
      </c>
      <c r="H267" s="16" t="s">
        <v>7971</v>
      </c>
      <c r="I267" s="16" t="s">
        <v>1494</v>
      </c>
      <c r="J267" s="16" t="s">
        <v>943</v>
      </c>
      <c r="K267" s="16" t="s">
        <v>1495</v>
      </c>
      <c r="L267" s="16" t="s">
        <v>85</v>
      </c>
      <c r="M267" s="16" t="s">
        <v>984</v>
      </c>
      <c r="N267" s="16" t="s">
        <v>914</v>
      </c>
      <c r="O267" s="16" t="s">
        <v>985</v>
      </c>
      <c r="P267" s="16" t="s">
        <v>914</v>
      </c>
      <c r="Q267" s="16" t="s">
        <v>985</v>
      </c>
      <c r="R267" s="16" t="s">
        <v>915</v>
      </c>
      <c r="S267" s="16" t="s">
        <v>915</v>
      </c>
      <c r="T267" s="16" t="s">
        <v>986</v>
      </c>
      <c r="U267" s="16" t="s">
        <v>987</v>
      </c>
      <c r="V267" s="16" t="s">
        <v>916</v>
      </c>
      <c r="W267" s="16" t="s">
        <v>987</v>
      </c>
      <c r="X267" s="16" t="s">
        <v>934</v>
      </c>
      <c r="Y267" s="16" t="s">
        <v>934</v>
      </c>
      <c r="Z267" s="16" t="s">
        <v>935</v>
      </c>
      <c r="DA267" s="405" t="s">
        <v>5</v>
      </c>
      <c r="DB267" s="405" t="s">
        <v>363</v>
      </c>
      <c r="DC267" s="406" t="s">
        <v>85</v>
      </c>
      <c r="DD267" s="405" t="s">
        <v>917</v>
      </c>
      <c r="DE267" s="405" t="s">
        <v>5</v>
      </c>
      <c r="DF267" s="406" t="s">
        <v>85</v>
      </c>
      <c r="DG267" s="407">
        <v>45845</v>
      </c>
      <c r="DH267" s="405" t="s">
        <v>7968</v>
      </c>
      <c r="DI267" s="406">
        <v>465455</v>
      </c>
      <c r="DJ267" s="408">
        <v>5</v>
      </c>
      <c r="DK267" s="405">
        <v>1</v>
      </c>
      <c r="DL267" s="82">
        <v>340.55</v>
      </c>
      <c r="DM267" s="409">
        <v>1.70275</v>
      </c>
      <c r="DN267" s="82" t="s">
        <v>85</v>
      </c>
      <c r="DO267" s="82" t="s">
        <v>85</v>
      </c>
      <c r="DP267" s="410" t="s">
        <v>85</v>
      </c>
    </row>
    <row r="268" spans="1:120" x14ac:dyDescent="0.25">
      <c r="A268" s="16" t="s">
        <v>7972</v>
      </c>
      <c r="B268" s="16" t="s">
        <v>7973</v>
      </c>
      <c r="C268" s="16" t="s">
        <v>7974</v>
      </c>
      <c r="D268" s="16" t="s">
        <v>7705</v>
      </c>
      <c r="E268" s="16" t="s">
        <v>7975</v>
      </c>
      <c r="F268" s="16" t="s">
        <v>7976</v>
      </c>
      <c r="G268" s="16" t="s">
        <v>7977</v>
      </c>
      <c r="H268" s="16" t="s">
        <v>7978</v>
      </c>
      <c r="I268" s="16" t="s">
        <v>1214</v>
      </c>
      <c r="J268" s="16" t="s">
        <v>1036</v>
      </c>
      <c r="K268" s="16" t="s">
        <v>1215</v>
      </c>
      <c r="L268" s="16" t="s">
        <v>85</v>
      </c>
      <c r="M268" s="16" t="s">
        <v>1216</v>
      </c>
      <c r="N268" s="16" t="s">
        <v>914</v>
      </c>
      <c r="O268" s="16" t="s">
        <v>946</v>
      </c>
      <c r="P268" s="16" t="s">
        <v>914</v>
      </c>
      <c r="Q268" s="16" t="s">
        <v>946</v>
      </c>
      <c r="R268" s="16" t="s">
        <v>915</v>
      </c>
      <c r="S268" s="16" t="s">
        <v>915</v>
      </c>
      <c r="T268" s="16" t="s">
        <v>1216</v>
      </c>
      <c r="U268" s="16" t="s">
        <v>1217</v>
      </c>
      <c r="V268" s="16" t="s">
        <v>916</v>
      </c>
      <c r="W268" s="16" t="s">
        <v>1217</v>
      </c>
      <c r="X268" s="16" t="s">
        <v>934</v>
      </c>
      <c r="Y268" s="16" t="s">
        <v>934</v>
      </c>
      <c r="Z268" s="16" t="s">
        <v>935</v>
      </c>
      <c r="DA268" s="405" t="s">
        <v>5</v>
      </c>
      <c r="DB268" s="405" t="s">
        <v>363</v>
      </c>
      <c r="DC268" s="406" t="s">
        <v>85</v>
      </c>
      <c r="DD268" s="405" t="s">
        <v>917</v>
      </c>
      <c r="DE268" s="405" t="s">
        <v>5</v>
      </c>
      <c r="DF268" s="406" t="s">
        <v>85</v>
      </c>
      <c r="DG268" s="407">
        <v>45845</v>
      </c>
      <c r="DH268" s="405" t="s">
        <v>7975</v>
      </c>
      <c r="DI268" s="406">
        <v>465455</v>
      </c>
      <c r="DJ268" s="408">
        <v>5</v>
      </c>
      <c r="DK268" s="405">
        <v>1</v>
      </c>
      <c r="DL268" s="82">
        <v>319.22000000000003</v>
      </c>
      <c r="DM268" s="409">
        <v>1.5961000000000001</v>
      </c>
      <c r="DN268" s="82" t="s">
        <v>85</v>
      </c>
      <c r="DO268" s="82" t="s">
        <v>85</v>
      </c>
      <c r="DP268" s="410" t="s">
        <v>85</v>
      </c>
    </row>
    <row r="269" spans="1:120" x14ac:dyDescent="0.25">
      <c r="A269" s="16" t="s">
        <v>7979</v>
      </c>
      <c r="B269" s="16" t="s">
        <v>7980</v>
      </c>
      <c r="C269" s="16" t="s">
        <v>7981</v>
      </c>
      <c r="D269" s="16" t="s">
        <v>7705</v>
      </c>
      <c r="E269" s="16" t="s">
        <v>7982</v>
      </c>
      <c r="F269" s="16" t="s">
        <v>7983</v>
      </c>
      <c r="G269" s="16" t="s">
        <v>7984</v>
      </c>
      <c r="H269" s="16" t="s">
        <v>7983</v>
      </c>
      <c r="I269" s="16" t="s">
        <v>1227</v>
      </c>
      <c r="J269" s="16" t="s">
        <v>928</v>
      </c>
      <c r="K269" s="16" t="s">
        <v>1228</v>
      </c>
      <c r="L269" s="16" t="s">
        <v>85</v>
      </c>
      <c r="M269" s="16" t="s">
        <v>1322</v>
      </c>
      <c r="N269" s="16" t="s">
        <v>914</v>
      </c>
      <c r="O269" s="16" t="s">
        <v>1323</v>
      </c>
      <c r="P269" s="16" t="s">
        <v>914</v>
      </c>
      <c r="Q269" s="16" t="s">
        <v>1323</v>
      </c>
      <c r="R269" s="16" t="s">
        <v>915</v>
      </c>
      <c r="S269" s="16" t="s">
        <v>915</v>
      </c>
      <c r="T269" s="16" t="s">
        <v>1322</v>
      </c>
      <c r="U269" s="16" t="s">
        <v>1324</v>
      </c>
      <c r="V269" s="16" t="s">
        <v>916</v>
      </c>
      <c r="W269" s="16" t="s">
        <v>1324</v>
      </c>
      <c r="X269" s="16" t="s">
        <v>934</v>
      </c>
      <c r="Y269" s="16" t="s">
        <v>934</v>
      </c>
      <c r="Z269" s="16" t="s">
        <v>935</v>
      </c>
      <c r="DA269" s="405" t="s">
        <v>5</v>
      </c>
      <c r="DB269" s="405" t="s">
        <v>363</v>
      </c>
      <c r="DC269" s="406" t="s">
        <v>85</v>
      </c>
      <c r="DD269" s="405" t="s">
        <v>917</v>
      </c>
      <c r="DE269" s="405" t="s">
        <v>5</v>
      </c>
      <c r="DF269" s="406" t="s">
        <v>85</v>
      </c>
      <c r="DG269" s="407">
        <v>45845</v>
      </c>
      <c r="DH269" s="405" t="s">
        <v>7982</v>
      </c>
      <c r="DI269" s="406">
        <v>465455</v>
      </c>
      <c r="DJ269" s="408">
        <v>5</v>
      </c>
      <c r="DK269" s="405">
        <v>1</v>
      </c>
      <c r="DL269" s="82">
        <v>332.47</v>
      </c>
      <c r="DM269" s="409">
        <v>1.6623500000000002</v>
      </c>
      <c r="DN269" s="82" t="s">
        <v>85</v>
      </c>
      <c r="DO269" s="82" t="s">
        <v>85</v>
      </c>
      <c r="DP269" s="410" t="s">
        <v>85</v>
      </c>
    </row>
    <row r="270" spans="1:120" x14ac:dyDescent="0.25">
      <c r="A270" s="16" t="s">
        <v>7985</v>
      </c>
      <c r="B270" s="16" t="s">
        <v>7986</v>
      </c>
      <c r="C270" s="16" t="s">
        <v>7987</v>
      </c>
      <c r="D270" s="16" t="s">
        <v>7705</v>
      </c>
      <c r="E270" s="16" t="s">
        <v>7988</v>
      </c>
      <c r="F270" s="16" t="s">
        <v>7989</v>
      </c>
      <c r="G270" s="16" t="s">
        <v>7990</v>
      </c>
      <c r="H270" s="16" t="s">
        <v>7991</v>
      </c>
      <c r="I270" s="16" t="s">
        <v>1309</v>
      </c>
      <c r="J270" s="16" t="s">
        <v>1109</v>
      </c>
      <c r="K270" s="16" t="s">
        <v>1310</v>
      </c>
      <c r="L270" s="16" t="s">
        <v>85</v>
      </c>
      <c r="M270" s="16" t="s">
        <v>1311</v>
      </c>
      <c r="N270" s="16" t="s">
        <v>914</v>
      </c>
      <c r="O270" s="16" t="s">
        <v>1312</v>
      </c>
      <c r="P270" s="16" t="s">
        <v>914</v>
      </c>
      <c r="Q270" s="16" t="s">
        <v>1312</v>
      </c>
      <c r="R270" s="16" t="s">
        <v>915</v>
      </c>
      <c r="S270" s="16" t="s">
        <v>915</v>
      </c>
      <c r="T270" s="16" t="s">
        <v>1311</v>
      </c>
      <c r="U270" s="16" t="s">
        <v>1313</v>
      </c>
      <c r="V270" s="16" t="s">
        <v>916</v>
      </c>
      <c r="W270" s="16" t="s">
        <v>1313</v>
      </c>
      <c r="X270" s="16" t="s">
        <v>934</v>
      </c>
      <c r="Y270" s="16" t="s">
        <v>934</v>
      </c>
      <c r="Z270" s="16" t="s">
        <v>935</v>
      </c>
      <c r="DA270" s="405" t="s">
        <v>5</v>
      </c>
      <c r="DB270" s="405" t="s">
        <v>363</v>
      </c>
      <c r="DC270" s="406" t="s">
        <v>85</v>
      </c>
      <c r="DD270" s="405" t="s">
        <v>917</v>
      </c>
      <c r="DE270" s="405" t="s">
        <v>5</v>
      </c>
      <c r="DF270" s="406" t="s">
        <v>85</v>
      </c>
      <c r="DG270" s="407">
        <v>45845</v>
      </c>
      <c r="DH270" s="405" t="s">
        <v>7988</v>
      </c>
      <c r="DI270" s="406">
        <v>465455</v>
      </c>
      <c r="DJ270" s="408">
        <v>5</v>
      </c>
      <c r="DK270" s="405">
        <v>1</v>
      </c>
      <c r="DL270" s="82">
        <v>531.54</v>
      </c>
      <c r="DM270" s="409">
        <v>2.6576999999999997</v>
      </c>
      <c r="DN270" s="82" t="s">
        <v>85</v>
      </c>
      <c r="DO270" s="82" t="s">
        <v>85</v>
      </c>
      <c r="DP270" s="410" t="s">
        <v>85</v>
      </c>
    </row>
    <row r="271" spans="1:120" x14ac:dyDescent="0.25">
      <c r="A271" s="16" t="s">
        <v>7992</v>
      </c>
      <c r="B271" s="16" t="s">
        <v>7993</v>
      </c>
      <c r="C271" s="16" t="s">
        <v>7994</v>
      </c>
      <c r="D271" s="16" t="s">
        <v>7705</v>
      </c>
      <c r="E271" s="16" t="s">
        <v>7995</v>
      </c>
      <c r="F271" s="16" t="s">
        <v>7996</v>
      </c>
      <c r="G271" s="16" t="s">
        <v>7997</v>
      </c>
      <c r="H271" s="16" t="s">
        <v>7996</v>
      </c>
      <c r="I271" s="16" t="s">
        <v>1638</v>
      </c>
      <c r="J271" s="16" t="s">
        <v>943</v>
      </c>
      <c r="K271" s="16" t="s">
        <v>1639</v>
      </c>
      <c r="L271" s="16" t="s">
        <v>85</v>
      </c>
      <c r="M271" s="16" t="s">
        <v>984</v>
      </c>
      <c r="N271" s="16" t="s">
        <v>914</v>
      </c>
      <c r="O271" s="16" t="s">
        <v>985</v>
      </c>
      <c r="P271" s="16" t="s">
        <v>914</v>
      </c>
      <c r="Q271" s="16" t="s">
        <v>985</v>
      </c>
      <c r="R271" s="16" t="s">
        <v>915</v>
      </c>
      <c r="S271" s="16" t="s">
        <v>915</v>
      </c>
      <c r="T271" s="16" t="s">
        <v>986</v>
      </c>
      <c r="U271" s="16" t="s">
        <v>987</v>
      </c>
      <c r="V271" s="16" t="s">
        <v>916</v>
      </c>
      <c r="W271" s="16" t="s">
        <v>987</v>
      </c>
      <c r="X271" s="16" t="s">
        <v>934</v>
      </c>
      <c r="Y271" s="16" t="s">
        <v>934</v>
      </c>
      <c r="Z271" s="16" t="s">
        <v>935</v>
      </c>
      <c r="DA271" s="405" t="s">
        <v>5</v>
      </c>
      <c r="DB271" s="405" t="s">
        <v>363</v>
      </c>
      <c r="DC271" s="406" t="s">
        <v>85</v>
      </c>
      <c r="DD271" s="405" t="s">
        <v>917</v>
      </c>
      <c r="DE271" s="405" t="s">
        <v>5</v>
      </c>
      <c r="DF271" s="406" t="s">
        <v>85</v>
      </c>
      <c r="DG271" s="407">
        <v>45845</v>
      </c>
      <c r="DH271" s="405" t="s">
        <v>7995</v>
      </c>
      <c r="DI271" s="406">
        <v>465455</v>
      </c>
      <c r="DJ271" s="408">
        <v>5</v>
      </c>
      <c r="DK271" s="405">
        <v>1</v>
      </c>
      <c r="DL271" s="82">
        <v>340.55</v>
      </c>
      <c r="DM271" s="409">
        <v>1.70275</v>
      </c>
      <c r="DN271" s="82" t="s">
        <v>85</v>
      </c>
      <c r="DO271" s="82" t="s">
        <v>85</v>
      </c>
      <c r="DP271" s="410" t="s">
        <v>85</v>
      </c>
    </row>
    <row r="272" spans="1:120" x14ac:dyDescent="0.25">
      <c r="A272" s="16" t="s">
        <v>7992</v>
      </c>
      <c r="B272" s="16" t="s">
        <v>7993</v>
      </c>
      <c r="C272" s="16" t="s">
        <v>7994</v>
      </c>
      <c r="D272" s="16" t="s">
        <v>7705</v>
      </c>
      <c r="E272" s="16" t="s">
        <v>7995</v>
      </c>
      <c r="F272" s="16" t="s">
        <v>7996</v>
      </c>
      <c r="G272" s="16" t="s">
        <v>7997</v>
      </c>
      <c r="H272" s="16" t="s">
        <v>7996</v>
      </c>
      <c r="I272" s="16" t="s">
        <v>2958</v>
      </c>
      <c r="J272" s="16" t="s">
        <v>943</v>
      </c>
      <c r="K272" s="16" t="s">
        <v>2959</v>
      </c>
      <c r="L272" s="16" t="s">
        <v>85</v>
      </c>
      <c r="M272" s="16" t="s">
        <v>984</v>
      </c>
      <c r="N272" s="16" t="s">
        <v>914</v>
      </c>
      <c r="O272" s="16" t="s">
        <v>985</v>
      </c>
      <c r="P272" s="16" t="s">
        <v>914</v>
      </c>
      <c r="Q272" s="16" t="s">
        <v>985</v>
      </c>
      <c r="R272" s="16" t="s">
        <v>915</v>
      </c>
      <c r="S272" s="16" t="s">
        <v>915</v>
      </c>
      <c r="T272" s="16" t="s">
        <v>986</v>
      </c>
      <c r="U272" s="16" t="s">
        <v>987</v>
      </c>
      <c r="V272" s="16" t="s">
        <v>916</v>
      </c>
      <c r="W272" s="16" t="s">
        <v>987</v>
      </c>
      <c r="X272" s="16" t="s">
        <v>934</v>
      </c>
      <c r="Y272" s="16" t="s">
        <v>934</v>
      </c>
      <c r="Z272" s="16" t="s">
        <v>935</v>
      </c>
      <c r="DA272" s="405" t="s">
        <v>5</v>
      </c>
      <c r="DB272" s="405" t="s">
        <v>363</v>
      </c>
      <c r="DC272" s="406" t="s">
        <v>85</v>
      </c>
      <c r="DD272" s="405" t="s">
        <v>917</v>
      </c>
      <c r="DE272" s="405" t="s">
        <v>5</v>
      </c>
      <c r="DF272" s="406" t="s">
        <v>85</v>
      </c>
      <c r="DG272" s="407">
        <v>45845</v>
      </c>
      <c r="DH272" s="405" t="s">
        <v>7995</v>
      </c>
      <c r="DI272" s="406">
        <v>465455</v>
      </c>
      <c r="DJ272" s="408">
        <v>5</v>
      </c>
      <c r="DK272" s="405">
        <v>1</v>
      </c>
      <c r="DL272" s="82">
        <v>340.55</v>
      </c>
      <c r="DM272" s="409">
        <v>1.70275</v>
      </c>
      <c r="DN272" s="82" t="s">
        <v>85</v>
      </c>
      <c r="DO272" s="82" t="s">
        <v>85</v>
      </c>
      <c r="DP272" s="410" t="s">
        <v>85</v>
      </c>
    </row>
    <row r="273" spans="1:120" x14ac:dyDescent="0.25">
      <c r="A273" s="16" t="s">
        <v>7998</v>
      </c>
      <c r="B273" s="16" t="s">
        <v>7999</v>
      </c>
      <c r="C273" s="16" t="s">
        <v>8000</v>
      </c>
      <c r="D273" s="16" t="s">
        <v>7705</v>
      </c>
      <c r="E273" s="16" t="s">
        <v>8001</v>
      </c>
      <c r="F273" s="16" t="s">
        <v>8002</v>
      </c>
      <c r="G273" s="16" t="s">
        <v>8003</v>
      </c>
      <c r="H273" s="16" t="s">
        <v>8002</v>
      </c>
      <c r="I273" s="16" t="s">
        <v>1547</v>
      </c>
      <c r="J273" s="16" t="s">
        <v>943</v>
      </c>
      <c r="K273" s="16" t="s">
        <v>1548</v>
      </c>
      <c r="L273" s="16" t="s">
        <v>85</v>
      </c>
      <c r="M273" s="16" t="s">
        <v>984</v>
      </c>
      <c r="N273" s="16" t="s">
        <v>914</v>
      </c>
      <c r="O273" s="16" t="s">
        <v>985</v>
      </c>
      <c r="P273" s="16" t="s">
        <v>914</v>
      </c>
      <c r="Q273" s="16" t="s">
        <v>985</v>
      </c>
      <c r="R273" s="16" t="s">
        <v>915</v>
      </c>
      <c r="S273" s="16" t="s">
        <v>915</v>
      </c>
      <c r="T273" s="16" t="s">
        <v>986</v>
      </c>
      <c r="U273" s="16" t="s">
        <v>987</v>
      </c>
      <c r="V273" s="16" t="s">
        <v>916</v>
      </c>
      <c r="W273" s="16" t="s">
        <v>987</v>
      </c>
      <c r="X273" s="16" t="s">
        <v>934</v>
      </c>
      <c r="Y273" s="16" t="s">
        <v>934</v>
      </c>
      <c r="Z273" s="16" t="s">
        <v>935</v>
      </c>
      <c r="DA273" s="405" t="s">
        <v>5</v>
      </c>
      <c r="DB273" s="405" t="s">
        <v>363</v>
      </c>
      <c r="DC273" s="406" t="s">
        <v>85</v>
      </c>
      <c r="DD273" s="405" t="s">
        <v>917</v>
      </c>
      <c r="DE273" s="405" t="s">
        <v>5</v>
      </c>
      <c r="DF273" s="406" t="s">
        <v>85</v>
      </c>
      <c r="DG273" s="407">
        <v>45845</v>
      </c>
      <c r="DH273" s="405" t="s">
        <v>8001</v>
      </c>
      <c r="DI273" s="406">
        <v>465455</v>
      </c>
      <c r="DJ273" s="408">
        <v>5</v>
      </c>
      <c r="DK273" s="405">
        <v>1</v>
      </c>
      <c r="DL273" s="82">
        <v>340.55</v>
      </c>
      <c r="DM273" s="409">
        <v>1.70275</v>
      </c>
      <c r="DN273" s="82" t="s">
        <v>85</v>
      </c>
      <c r="DO273" s="82" t="s">
        <v>85</v>
      </c>
      <c r="DP273" s="410" t="s">
        <v>85</v>
      </c>
    </row>
    <row r="274" spans="1:120" x14ac:dyDescent="0.25">
      <c r="A274" s="16" t="s">
        <v>8004</v>
      </c>
      <c r="B274" s="16" t="s">
        <v>8005</v>
      </c>
      <c r="C274" s="16" t="s">
        <v>8006</v>
      </c>
      <c r="D274" s="16" t="s">
        <v>7705</v>
      </c>
      <c r="E274" s="16" t="s">
        <v>8007</v>
      </c>
      <c r="F274" s="16" t="s">
        <v>8008</v>
      </c>
      <c r="G274" s="16" t="s">
        <v>8009</v>
      </c>
      <c r="H274" s="16" t="s">
        <v>8008</v>
      </c>
      <c r="I274" s="16" t="s">
        <v>4479</v>
      </c>
      <c r="J274" s="16" t="s">
        <v>1123</v>
      </c>
      <c r="K274" s="16" t="s">
        <v>4480</v>
      </c>
      <c r="L274" s="16" t="s">
        <v>85</v>
      </c>
      <c r="M274" s="16" t="s">
        <v>1238</v>
      </c>
      <c r="N274" s="16" t="s">
        <v>914</v>
      </c>
      <c r="O274" s="16" t="s">
        <v>1239</v>
      </c>
      <c r="P274" s="16" t="s">
        <v>914</v>
      </c>
      <c r="Q274" s="16" t="s">
        <v>1239</v>
      </c>
      <c r="R274" s="16" t="s">
        <v>915</v>
      </c>
      <c r="S274" s="16" t="s">
        <v>915</v>
      </c>
      <c r="T274" s="16" t="s">
        <v>1238</v>
      </c>
      <c r="U274" s="16" t="s">
        <v>1240</v>
      </c>
      <c r="V274" s="16" t="s">
        <v>916</v>
      </c>
      <c r="W274" s="16" t="s">
        <v>1240</v>
      </c>
      <c r="X274" s="16" t="s">
        <v>934</v>
      </c>
      <c r="Y274" s="16" t="s">
        <v>934</v>
      </c>
      <c r="Z274" s="16" t="s">
        <v>935</v>
      </c>
      <c r="DA274" s="405" t="s">
        <v>5</v>
      </c>
      <c r="DB274" s="405" t="s">
        <v>363</v>
      </c>
      <c r="DC274" s="406" t="s">
        <v>85</v>
      </c>
      <c r="DD274" s="405" t="s">
        <v>917</v>
      </c>
      <c r="DE274" s="405" t="s">
        <v>5</v>
      </c>
      <c r="DF274" s="406" t="s">
        <v>85</v>
      </c>
      <c r="DG274" s="407">
        <v>45845</v>
      </c>
      <c r="DH274" s="405" t="s">
        <v>8007</v>
      </c>
      <c r="DI274" s="406">
        <v>465455</v>
      </c>
      <c r="DJ274" s="408">
        <v>5</v>
      </c>
      <c r="DK274" s="405">
        <v>1</v>
      </c>
      <c r="DL274" s="82">
        <v>383.16</v>
      </c>
      <c r="DM274" s="409">
        <v>1.9158000000000002</v>
      </c>
      <c r="DN274" s="82" t="s">
        <v>85</v>
      </c>
      <c r="DO274" s="82" t="s">
        <v>85</v>
      </c>
      <c r="DP274" s="410" t="s">
        <v>85</v>
      </c>
    </row>
    <row r="275" spans="1:120" x14ac:dyDescent="0.25">
      <c r="A275" s="16" t="s">
        <v>8010</v>
      </c>
      <c r="B275" s="16" t="s">
        <v>8011</v>
      </c>
      <c r="C275" s="16" t="s">
        <v>8012</v>
      </c>
      <c r="D275" s="16" t="s">
        <v>7705</v>
      </c>
      <c r="E275" s="16" t="s">
        <v>8013</v>
      </c>
      <c r="F275" s="16" t="s">
        <v>8014</v>
      </c>
      <c r="G275" s="16" t="s">
        <v>8015</v>
      </c>
      <c r="H275" s="16" t="s">
        <v>8016</v>
      </c>
      <c r="I275" s="16" t="s">
        <v>6196</v>
      </c>
      <c r="J275" s="16" t="s">
        <v>1123</v>
      </c>
      <c r="K275" s="16" t="s">
        <v>6197</v>
      </c>
      <c r="L275" s="16" t="s">
        <v>85</v>
      </c>
      <c r="M275" s="16" t="s">
        <v>1238</v>
      </c>
      <c r="N275" s="16" t="s">
        <v>914</v>
      </c>
      <c r="O275" s="16" t="s">
        <v>1239</v>
      </c>
      <c r="P275" s="16" t="s">
        <v>914</v>
      </c>
      <c r="Q275" s="16" t="s">
        <v>1239</v>
      </c>
      <c r="R275" s="16" t="s">
        <v>915</v>
      </c>
      <c r="S275" s="16" t="s">
        <v>915</v>
      </c>
      <c r="T275" s="16" t="s">
        <v>1238</v>
      </c>
      <c r="U275" s="16" t="s">
        <v>1240</v>
      </c>
      <c r="V275" s="16" t="s">
        <v>916</v>
      </c>
      <c r="W275" s="16" t="s">
        <v>1240</v>
      </c>
      <c r="X275" s="16" t="s">
        <v>934</v>
      </c>
      <c r="Y275" s="16" t="s">
        <v>934</v>
      </c>
      <c r="Z275" s="16" t="s">
        <v>935</v>
      </c>
      <c r="DA275" s="405" t="s">
        <v>5</v>
      </c>
      <c r="DB275" s="405" t="s">
        <v>363</v>
      </c>
      <c r="DC275" s="406" t="s">
        <v>85</v>
      </c>
      <c r="DD275" s="405" t="s">
        <v>917</v>
      </c>
      <c r="DE275" s="405" t="s">
        <v>5</v>
      </c>
      <c r="DF275" s="406" t="s">
        <v>85</v>
      </c>
      <c r="DG275" s="407">
        <v>45845</v>
      </c>
      <c r="DH275" s="405" t="s">
        <v>8013</v>
      </c>
      <c r="DI275" s="406">
        <v>465455</v>
      </c>
      <c r="DJ275" s="408">
        <v>5</v>
      </c>
      <c r="DK275" s="405">
        <v>1</v>
      </c>
      <c r="DL275" s="82">
        <v>383.16</v>
      </c>
      <c r="DM275" s="409">
        <v>1.9158000000000002</v>
      </c>
      <c r="DN275" s="82" t="s">
        <v>85</v>
      </c>
      <c r="DO275" s="82" t="s">
        <v>85</v>
      </c>
      <c r="DP275" s="410" t="s">
        <v>85</v>
      </c>
    </row>
    <row r="276" spans="1:120" x14ac:dyDescent="0.25">
      <c r="A276" s="16" t="s">
        <v>8017</v>
      </c>
      <c r="B276" s="16" t="s">
        <v>8018</v>
      </c>
      <c r="C276" s="16" t="s">
        <v>8019</v>
      </c>
      <c r="D276" s="16" t="s">
        <v>7705</v>
      </c>
      <c r="E276" s="16" t="s">
        <v>8020</v>
      </c>
      <c r="F276" s="16" t="s">
        <v>8021</v>
      </c>
      <c r="G276" s="16" t="s">
        <v>8022</v>
      </c>
      <c r="H276" s="16" t="s">
        <v>8023</v>
      </c>
      <c r="I276" s="16" t="s">
        <v>2876</v>
      </c>
      <c r="J276" s="16" t="s">
        <v>995</v>
      </c>
      <c r="K276" s="16" t="s">
        <v>2877</v>
      </c>
      <c r="L276" s="16" t="s">
        <v>85</v>
      </c>
      <c r="M276" s="16" t="s">
        <v>1165</v>
      </c>
      <c r="N276" s="16" t="s">
        <v>914</v>
      </c>
      <c r="O276" s="16" t="s">
        <v>1166</v>
      </c>
      <c r="P276" s="16" t="s">
        <v>914</v>
      </c>
      <c r="Q276" s="16" t="s">
        <v>1166</v>
      </c>
      <c r="R276" s="16" t="s">
        <v>915</v>
      </c>
      <c r="S276" s="16" t="s">
        <v>915</v>
      </c>
      <c r="T276" s="16" t="s">
        <v>1167</v>
      </c>
      <c r="U276" s="16" t="s">
        <v>1168</v>
      </c>
      <c r="V276" s="16" t="s">
        <v>916</v>
      </c>
      <c r="W276" s="16" t="s">
        <v>1168</v>
      </c>
      <c r="X276" s="16" t="s">
        <v>934</v>
      </c>
      <c r="Y276" s="16" t="s">
        <v>934</v>
      </c>
      <c r="Z276" s="16" t="s">
        <v>935</v>
      </c>
      <c r="DA276" s="405" t="s">
        <v>5</v>
      </c>
      <c r="DB276" s="405" t="s">
        <v>363</v>
      </c>
      <c r="DC276" s="406" t="s">
        <v>85</v>
      </c>
      <c r="DD276" s="405" t="s">
        <v>917</v>
      </c>
      <c r="DE276" s="405" t="s">
        <v>5</v>
      </c>
      <c r="DF276" s="406" t="s">
        <v>85</v>
      </c>
      <c r="DG276" s="407">
        <v>45845</v>
      </c>
      <c r="DH276" s="405" t="s">
        <v>8020</v>
      </c>
      <c r="DI276" s="406">
        <v>465455</v>
      </c>
      <c r="DJ276" s="408">
        <v>5</v>
      </c>
      <c r="DK276" s="405">
        <v>1</v>
      </c>
      <c r="DL276" s="82">
        <v>468.28</v>
      </c>
      <c r="DM276" s="409">
        <v>2.3413999999999997</v>
      </c>
      <c r="DN276" s="82" t="s">
        <v>85</v>
      </c>
      <c r="DO276" s="82" t="s">
        <v>85</v>
      </c>
      <c r="DP276" s="410" t="s">
        <v>85</v>
      </c>
    </row>
    <row r="277" spans="1:120" x14ac:dyDescent="0.25">
      <c r="A277" s="16" t="s">
        <v>8024</v>
      </c>
      <c r="B277" s="16" t="s">
        <v>8025</v>
      </c>
      <c r="C277" s="16" t="s">
        <v>8026</v>
      </c>
      <c r="D277" s="16" t="s">
        <v>7705</v>
      </c>
      <c r="E277" s="16" t="s">
        <v>8027</v>
      </c>
      <c r="F277" s="16" t="s">
        <v>8028</v>
      </c>
      <c r="G277" s="16" t="s">
        <v>8029</v>
      </c>
      <c r="H277" s="16" t="s">
        <v>8030</v>
      </c>
      <c r="I277" s="16" t="s">
        <v>1090</v>
      </c>
      <c r="J277" s="16" t="s">
        <v>943</v>
      </c>
      <c r="K277" s="16" t="s">
        <v>1091</v>
      </c>
      <c r="L277" s="16" t="s">
        <v>85</v>
      </c>
      <c r="M277" s="16" t="s">
        <v>984</v>
      </c>
      <c r="N277" s="16" t="s">
        <v>914</v>
      </c>
      <c r="O277" s="16" t="s">
        <v>985</v>
      </c>
      <c r="P277" s="16" t="s">
        <v>914</v>
      </c>
      <c r="Q277" s="16" t="s">
        <v>985</v>
      </c>
      <c r="R277" s="16" t="s">
        <v>915</v>
      </c>
      <c r="S277" s="16" t="s">
        <v>915</v>
      </c>
      <c r="T277" s="16" t="s">
        <v>986</v>
      </c>
      <c r="U277" s="16" t="s">
        <v>987</v>
      </c>
      <c r="V277" s="16" t="s">
        <v>916</v>
      </c>
      <c r="W277" s="16" t="s">
        <v>987</v>
      </c>
      <c r="X277" s="16" t="s">
        <v>934</v>
      </c>
      <c r="Y277" s="16" t="s">
        <v>934</v>
      </c>
      <c r="Z277" s="16" t="s">
        <v>935</v>
      </c>
      <c r="DA277" s="405" t="s">
        <v>5</v>
      </c>
      <c r="DB277" s="405" t="s">
        <v>363</v>
      </c>
      <c r="DC277" s="406" t="s">
        <v>85</v>
      </c>
      <c r="DD277" s="405" t="s">
        <v>917</v>
      </c>
      <c r="DE277" s="405" t="s">
        <v>5</v>
      </c>
      <c r="DF277" s="406" t="s">
        <v>85</v>
      </c>
      <c r="DG277" s="407">
        <v>45845</v>
      </c>
      <c r="DH277" s="405" t="s">
        <v>8027</v>
      </c>
      <c r="DI277" s="406">
        <v>465455</v>
      </c>
      <c r="DJ277" s="408">
        <v>5</v>
      </c>
      <c r="DK277" s="405">
        <v>1</v>
      </c>
      <c r="DL277" s="82">
        <v>340.55</v>
      </c>
      <c r="DM277" s="409">
        <v>1.70275</v>
      </c>
      <c r="DN277" s="82" t="s">
        <v>85</v>
      </c>
      <c r="DO277" s="82" t="s">
        <v>85</v>
      </c>
      <c r="DP277" s="410" t="s">
        <v>85</v>
      </c>
    </row>
    <row r="278" spans="1:120" x14ac:dyDescent="0.25">
      <c r="A278" s="16" t="s">
        <v>8031</v>
      </c>
      <c r="B278" s="16" t="s">
        <v>8032</v>
      </c>
      <c r="C278" s="16" t="s">
        <v>8033</v>
      </c>
      <c r="D278" s="16" t="s">
        <v>7705</v>
      </c>
      <c r="E278" s="16" t="s">
        <v>8034</v>
      </c>
      <c r="F278" s="16" t="s">
        <v>8035</v>
      </c>
      <c r="G278" s="16" t="s">
        <v>8036</v>
      </c>
      <c r="H278" s="16" t="s">
        <v>8037</v>
      </c>
      <c r="I278" s="16" t="s">
        <v>2830</v>
      </c>
      <c r="J278" s="16" t="s">
        <v>943</v>
      </c>
      <c r="K278" s="16" t="s">
        <v>2831</v>
      </c>
      <c r="L278" s="16" t="s">
        <v>85</v>
      </c>
      <c r="M278" s="16" t="s">
        <v>984</v>
      </c>
      <c r="N278" s="16" t="s">
        <v>914</v>
      </c>
      <c r="O278" s="16" t="s">
        <v>985</v>
      </c>
      <c r="P278" s="16" t="s">
        <v>914</v>
      </c>
      <c r="Q278" s="16" t="s">
        <v>985</v>
      </c>
      <c r="R278" s="16" t="s">
        <v>915</v>
      </c>
      <c r="S278" s="16" t="s">
        <v>915</v>
      </c>
      <c r="T278" s="16" t="s">
        <v>986</v>
      </c>
      <c r="U278" s="16" t="s">
        <v>987</v>
      </c>
      <c r="V278" s="16" t="s">
        <v>916</v>
      </c>
      <c r="W278" s="16" t="s">
        <v>987</v>
      </c>
      <c r="X278" s="16" t="s">
        <v>934</v>
      </c>
      <c r="Y278" s="16" t="s">
        <v>934</v>
      </c>
      <c r="Z278" s="16" t="s">
        <v>935</v>
      </c>
      <c r="DA278" s="405" t="s">
        <v>5</v>
      </c>
      <c r="DB278" s="405" t="s">
        <v>363</v>
      </c>
      <c r="DC278" s="406" t="s">
        <v>85</v>
      </c>
      <c r="DD278" s="405" t="s">
        <v>917</v>
      </c>
      <c r="DE278" s="405" t="s">
        <v>5</v>
      </c>
      <c r="DF278" s="406" t="s">
        <v>85</v>
      </c>
      <c r="DG278" s="407">
        <v>45845</v>
      </c>
      <c r="DH278" s="405" t="s">
        <v>8034</v>
      </c>
      <c r="DI278" s="406">
        <v>465455</v>
      </c>
      <c r="DJ278" s="408">
        <v>5</v>
      </c>
      <c r="DK278" s="405">
        <v>1</v>
      </c>
      <c r="DL278" s="82">
        <v>340.55</v>
      </c>
      <c r="DM278" s="409">
        <v>1.70275</v>
      </c>
      <c r="DN278" s="82" t="s">
        <v>85</v>
      </c>
      <c r="DO278" s="82" t="s">
        <v>85</v>
      </c>
      <c r="DP278" s="410" t="s">
        <v>85</v>
      </c>
    </row>
    <row r="279" spans="1:120" x14ac:dyDescent="0.25">
      <c r="A279" s="16" t="s">
        <v>8038</v>
      </c>
      <c r="B279" s="16" t="s">
        <v>8039</v>
      </c>
      <c r="C279" s="16" t="s">
        <v>8040</v>
      </c>
      <c r="D279" s="16" t="s">
        <v>7705</v>
      </c>
      <c r="E279" s="16" t="s">
        <v>8041</v>
      </c>
      <c r="F279" s="16" t="s">
        <v>8042</v>
      </c>
      <c r="G279" s="16" t="s">
        <v>8043</v>
      </c>
      <c r="H279" s="16" t="s">
        <v>8042</v>
      </c>
      <c r="I279" s="16" t="s">
        <v>3164</v>
      </c>
      <c r="J279" s="16" t="s">
        <v>995</v>
      </c>
      <c r="K279" s="16" t="s">
        <v>3165</v>
      </c>
      <c r="L279" s="16" t="s">
        <v>85</v>
      </c>
      <c r="M279" s="16" t="s">
        <v>1165</v>
      </c>
      <c r="N279" s="16" t="s">
        <v>914</v>
      </c>
      <c r="O279" s="16" t="s">
        <v>1166</v>
      </c>
      <c r="P279" s="16" t="s">
        <v>914</v>
      </c>
      <c r="Q279" s="16" t="s">
        <v>1166</v>
      </c>
      <c r="R279" s="16" t="s">
        <v>915</v>
      </c>
      <c r="S279" s="16" t="s">
        <v>915</v>
      </c>
      <c r="T279" s="16" t="s">
        <v>1167</v>
      </c>
      <c r="U279" s="16" t="s">
        <v>1168</v>
      </c>
      <c r="V279" s="16" t="s">
        <v>916</v>
      </c>
      <c r="W279" s="16" t="s">
        <v>1168</v>
      </c>
      <c r="X279" s="16" t="s">
        <v>934</v>
      </c>
      <c r="Y279" s="16" t="s">
        <v>934</v>
      </c>
      <c r="Z279" s="16" t="s">
        <v>935</v>
      </c>
      <c r="DA279" s="405" t="s">
        <v>5</v>
      </c>
      <c r="DB279" s="405" t="s">
        <v>363</v>
      </c>
      <c r="DC279" s="406" t="s">
        <v>85</v>
      </c>
      <c r="DD279" s="405" t="s">
        <v>917</v>
      </c>
      <c r="DE279" s="405" t="s">
        <v>5</v>
      </c>
      <c r="DF279" s="406" t="s">
        <v>85</v>
      </c>
      <c r="DG279" s="407">
        <v>45845</v>
      </c>
      <c r="DH279" s="405" t="s">
        <v>8041</v>
      </c>
      <c r="DI279" s="406">
        <v>465455</v>
      </c>
      <c r="DJ279" s="408">
        <v>5</v>
      </c>
      <c r="DK279" s="405">
        <v>1</v>
      </c>
      <c r="DL279" s="82">
        <v>468.28</v>
      </c>
      <c r="DM279" s="409">
        <v>2.3413999999999997</v>
      </c>
      <c r="DN279" s="82" t="s">
        <v>85</v>
      </c>
      <c r="DO279" s="82" t="s">
        <v>85</v>
      </c>
      <c r="DP279" s="410" t="s">
        <v>85</v>
      </c>
    </row>
    <row r="280" spans="1:120" x14ac:dyDescent="0.25">
      <c r="A280" s="16" t="s">
        <v>8044</v>
      </c>
      <c r="B280" s="16" t="s">
        <v>8045</v>
      </c>
      <c r="C280" s="16" t="s">
        <v>8046</v>
      </c>
      <c r="D280" s="16" t="s">
        <v>7705</v>
      </c>
      <c r="E280" s="16" t="s">
        <v>8047</v>
      </c>
      <c r="F280" s="16" t="s">
        <v>8048</v>
      </c>
      <c r="G280" s="16" t="s">
        <v>8049</v>
      </c>
      <c r="H280" s="16" t="s">
        <v>8050</v>
      </c>
      <c r="I280" s="16" t="s">
        <v>8051</v>
      </c>
      <c r="J280" s="16" t="s">
        <v>3579</v>
      </c>
      <c r="K280" s="16" t="s">
        <v>8052</v>
      </c>
      <c r="L280" s="16" t="s">
        <v>85</v>
      </c>
      <c r="M280" s="16" t="s">
        <v>2485</v>
      </c>
      <c r="N280" s="16" t="s">
        <v>914</v>
      </c>
      <c r="O280" s="16" t="s">
        <v>1397</v>
      </c>
      <c r="P280" s="16" t="s">
        <v>914</v>
      </c>
      <c r="Q280" s="16" t="s">
        <v>1397</v>
      </c>
      <c r="R280" s="16" t="s">
        <v>915</v>
      </c>
      <c r="S280" s="16" t="s">
        <v>915</v>
      </c>
      <c r="T280" s="16" t="s">
        <v>2485</v>
      </c>
      <c r="U280" s="16" t="s">
        <v>2486</v>
      </c>
      <c r="V280" s="16" t="s">
        <v>916</v>
      </c>
      <c r="W280" s="16" t="s">
        <v>2486</v>
      </c>
      <c r="X280" s="16" t="s">
        <v>934</v>
      </c>
      <c r="Y280" s="16" t="s">
        <v>934</v>
      </c>
      <c r="Z280" s="16" t="s">
        <v>935</v>
      </c>
      <c r="DA280" s="405" t="s">
        <v>5</v>
      </c>
      <c r="DB280" s="405" t="s">
        <v>363</v>
      </c>
      <c r="DC280" s="406" t="s">
        <v>85</v>
      </c>
      <c r="DD280" s="405" t="s">
        <v>917</v>
      </c>
      <c r="DE280" s="405" t="s">
        <v>5</v>
      </c>
      <c r="DF280" s="406" t="s">
        <v>85</v>
      </c>
      <c r="DG280" s="407">
        <v>45845</v>
      </c>
      <c r="DH280" s="405" t="s">
        <v>8047</v>
      </c>
      <c r="DI280" s="406">
        <v>465455</v>
      </c>
      <c r="DJ280" s="408">
        <v>5</v>
      </c>
      <c r="DK280" s="405">
        <v>1</v>
      </c>
      <c r="DL280" s="82">
        <v>266.05</v>
      </c>
      <c r="DM280" s="409">
        <v>1.3302500000000002</v>
      </c>
      <c r="DN280" s="82" t="s">
        <v>85</v>
      </c>
      <c r="DO280" s="82" t="s">
        <v>85</v>
      </c>
      <c r="DP280" s="410" t="s">
        <v>85</v>
      </c>
    </row>
    <row r="281" spans="1:120" x14ac:dyDescent="0.25">
      <c r="A281" s="16" t="s">
        <v>8053</v>
      </c>
      <c r="B281" s="16" t="s">
        <v>8054</v>
      </c>
      <c r="C281" s="16" t="s">
        <v>8055</v>
      </c>
      <c r="D281" s="16" t="s">
        <v>7705</v>
      </c>
      <c r="E281" s="16" t="s">
        <v>8056</v>
      </c>
      <c r="F281" s="16" t="s">
        <v>8057</v>
      </c>
      <c r="G281" s="16" t="s">
        <v>8058</v>
      </c>
      <c r="H281" s="16" t="s">
        <v>8059</v>
      </c>
      <c r="I281" s="16" t="s">
        <v>2721</v>
      </c>
      <c r="J281" s="16" t="s">
        <v>928</v>
      </c>
      <c r="K281" s="16" t="s">
        <v>2722</v>
      </c>
      <c r="L281" s="16" t="s">
        <v>85</v>
      </c>
      <c r="M281" s="16" t="s">
        <v>1322</v>
      </c>
      <c r="N281" s="16" t="s">
        <v>914</v>
      </c>
      <c r="O281" s="16" t="s">
        <v>1323</v>
      </c>
      <c r="P281" s="16" t="s">
        <v>914</v>
      </c>
      <c r="Q281" s="16" t="s">
        <v>1323</v>
      </c>
      <c r="R281" s="16" t="s">
        <v>915</v>
      </c>
      <c r="S281" s="16" t="s">
        <v>915</v>
      </c>
      <c r="T281" s="16" t="s">
        <v>1322</v>
      </c>
      <c r="U281" s="16" t="s">
        <v>1324</v>
      </c>
      <c r="V281" s="16" t="s">
        <v>916</v>
      </c>
      <c r="W281" s="16" t="s">
        <v>1324</v>
      </c>
      <c r="X281" s="16" t="s">
        <v>934</v>
      </c>
      <c r="Y281" s="16" t="s">
        <v>934</v>
      </c>
      <c r="Z281" s="16" t="s">
        <v>935</v>
      </c>
      <c r="DA281" s="405" t="s">
        <v>5</v>
      </c>
      <c r="DB281" s="405" t="s">
        <v>363</v>
      </c>
      <c r="DC281" s="406" t="s">
        <v>85</v>
      </c>
      <c r="DD281" s="405" t="s">
        <v>917</v>
      </c>
      <c r="DE281" s="405" t="s">
        <v>5</v>
      </c>
      <c r="DF281" s="406" t="s">
        <v>85</v>
      </c>
      <c r="DG281" s="407">
        <v>45845</v>
      </c>
      <c r="DH281" s="405" t="s">
        <v>8056</v>
      </c>
      <c r="DI281" s="406">
        <v>465455</v>
      </c>
      <c r="DJ281" s="408">
        <v>5</v>
      </c>
      <c r="DK281" s="405">
        <v>1</v>
      </c>
      <c r="DL281" s="82">
        <v>332.47</v>
      </c>
      <c r="DM281" s="409">
        <v>1.6623500000000002</v>
      </c>
      <c r="DN281" s="82" t="s">
        <v>85</v>
      </c>
      <c r="DO281" s="82" t="s">
        <v>85</v>
      </c>
      <c r="DP281" s="410" t="s">
        <v>85</v>
      </c>
    </row>
    <row r="282" spans="1:120" x14ac:dyDescent="0.25">
      <c r="A282" s="16" t="s">
        <v>8060</v>
      </c>
      <c r="B282" s="16" t="s">
        <v>8061</v>
      </c>
      <c r="C282" s="16" t="s">
        <v>8062</v>
      </c>
      <c r="D282" s="16" t="s">
        <v>7705</v>
      </c>
      <c r="E282" s="16" t="s">
        <v>8063</v>
      </c>
      <c r="F282" s="16" t="s">
        <v>8064</v>
      </c>
      <c r="G282" s="16" t="s">
        <v>8065</v>
      </c>
      <c r="H282" s="16" t="s">
        <v>8066</v>
      </c>
      <c r="I282" s="16" t="s">
        <v>8067</v>
      </c>
      <c r="J282" s="16" t="s">
        <v>8068</v>
      </c>
      <c r="K282" s="16" t="s">
        <v>8069</v>
      </c>
      <c r="L282" s="16" t="s">
        <v>85</v>
      </c>
      <c r="M282" s="16" t="s">
        <v>2046</v>
      </c>
      <c r="N282" s="16" t="s">
        <v>914</v>
      </c>
      <c r="O282" s="16" t="s">
        <v>1239</v>
      </c>
      <c r="P282" s="16" t="s">
        <v>914</v>
      </c>
      <c r="Q282" s="16" t="s">
        <v>1239</v>
      </c>
      <c r="R282" s="16" t="s">
        <v>915</v>
      </c>
      <c r="S282" s="16" t="s">
        <v>915</v>
      </c>
      <c r="T282" s="16" t="s">
        <v>2047</v>
      </c>
      <c r="U282" s="16" t="s">
        <v>2048</v>
      </c>
      <c r="V282" s="16" t="s">
        <v>916</v>
      </c>
      <c r="W282" s="16" t="s">
        <v>2048</v>
      </c>
      <c r="X282" s="16" t="s">
        <v>934</v>
      </c>
      <c r="Y282" s="16" t="s">
        <v>934</v>
      </c>
      <c r="Z282" s="16" t="s">
        <v>935</v>
      </c>
      <c r="DA282" s="405" t="s">
        <v>5</v>
      </c>
      <c r="DB282" s="405" t="s">
        <v>363</v>
      </c>
      <c r="DC282" s="406" t="s">
        <v>85</v>
      </c>
      <c r="DD282" s="405" t="s">
        <v>917</v>
      </c>
      <c r="DE282" s="405" t="s">
        <v>5</v>
      </c>
      <c r="DF282" s="406" t="s">
        <v>85</v>
      </c>
      <c r="DG282" s="407">
        <v>45845</v>
      </c>
      <c r="DH282" s="405" t="s">
        <v>8063</v>
      </c>
      <c r="DI282" s="406">
        <v>465455</v>
      </c>
      <c r="DJ282" s="408">
        <v>5</v>
      </c>
      <c r="DK282" s="405">
        <v>1</v>
      </c>
      <c r="DL282" s="82">
        <v>383.08</v>
      </c>
      <c r="DM282" s="409">
        <v>1.9154</v>
      </c>
      <c r="DN282" s="82" t="s">
        <v>85</v>
      </c>
      <c r="DO282" s="82" t="s">
        <v>85</v>
      </c>
      <c r="DP282" s="410" t="s">
        <v>85</v>
      </c>
    </row>
    <row r="283" spans="1:120" x14ac:dyDescent="0.25">
      <c r="A283" s="16" t="s">
        <v>8070</v>
      </c>
      <c r="B283" s="16" t="s">
        <v>8071</v>
      </c>
      <c r="C283" s="16" t="s">
        <v>8072</v>
      </c>
      <c r="D283" s="16" t="s">
        <v>7705</v>
      </c>
      <c r="E283" s="16" t="s">
        <v>8073</v>
      </c>
      <c r="F283" s="16" t="s">
        <v>8074</v>
      </c>
      <c r="G283" s="16" t="s">
        <v>8075</v>
      </c>
      <c r="H283" s="16" t="s">
        <v>8076</v>
      </c>
      <c r="I283" s="16" t="s">
        <v>1309</v>
      </c>
      <c r="J283" s="16" t="s">
        <v>1109</v>
      </c>
      <c r="K283" s="16" t="s">
        <v>1310</v>
      </c>
      <c r="L283" s="16" t="s">
        <v>85</v>
      </c>
      <c r="M283" s="16" t="s">
        <v>1311</v>
      </c>
      <c r="N283" s="16" t="s">
        <v>914</v>
      </c>
      <c r="O283" s="16" t="s">
        <v>1312</v>
      </c>
      <c r="P283" s="16" t="s">
        <v>914</v>
      </c>
      <c r="Q283" s="16" t="s">
        <v>1312</v>
      </c>
      <c r="R283" s="16" t="s">
        <v>915</v>
      </c>
      <c r="S283" s="16" t="s">
        <v>915</v>
      </c>
      <c r="T283" s="16" t="s">
        <v>1311</v>
      </c>
      <c r="U283" s="16" t="s">
        <v>1313</v>
      </c>
      <c r="V283" s="16" t="s">
        <v>916</v>
      </c>
      <c r="W283" s="16" t="s">
        <v>1313</v>
      </c>
      <c r="X283" s="16" t="s">
        <v>934</v>
      </c>
      <c r="Y283" s="16" t="s">
        <v>934</v>
      </c>
      <c r="Z283" s="16" t="s">
        <v>935</v>
      </c>
      <c r="DA283" s="405" t="s">
        <v>5</v>
      </c>
      <c r="DB283" s="405" t="s">
        <v>363</v>
      </c>
      <c r="DC283" s="406" t="s">
        <v>85</v>
      </c>
      <c r="DD283" s="405" t="s">
        <v>917</v>
      </c>
      <c r="DE283" s="405" t="s">
        <v>5</v>
      </c>
      <c r="DF283" s="406" t="s">
        <v>85</v>
      </c>
      <c r="DG283" s="407">
        <v>45845</v>
      </c>
      <c r="DH283" s="405" t="s">
        <v>8073</v>
      </c>
      <c r="DI283" s="406">
        <v>465455</v>
      </c>
      <c r="DJ283" s="408">
        <v>5</v>
      </c>
      <c r="DK283" s="405">
        <v>1</v>
      </c>
      <c r="DL283" s="82">
        <v>531.54</v>
      </c>
      <c r="DM283" s="409">
        <v>2.6576999999999997</v>
      </c>
      <c r="DN283" s="82" t="s">
        <v>85</v>
      </c>
      <c r="DO283" s="82" t="s">
        <v>85</v>
      </c>
      <c r="DP283" s="410" t="s">
        <v>85</v>
      </c>
    </row>
    <row r="284" spans="1:120" x14ac:dyDescent="0.25">
      <c r="A284" s="16" t="s">
        <v>8077</v>
      </c>
      <c r="B284" s="16" t="s">
        <v>8078</v>
      </c>
      <c r="C284" s="16" t="s">
        <v>8079</v>
      </c>
      <c r="D284" s="16" t="s">
        <v>7705</v>
      </c>
      <c r="E284" s="16" t="s">
        <v>8080</v>
      </c>
      <c r="F284" s="16" t="s">
        <v>8081</v>
      </c>
      <c r="G284" s="16" t="s">
        <v>8082</v>
      </c>
      <c r="H284" s="16" t="s">
        <v>8074</v>
      </c>
      <c r="I284" s="16" t="s">
        <v>1737</v>
      </c>
      <c r="J284" s="16" t="s">
        <v>1123</v>
      </c>
      <c r="K284" s="16" t="s">
        <v>1738</v>
      </c>
      <c r="L284" s="16" t="s">
        <v>85</v>
      </c>
      <c r="M284" s="16" t="s">
        <v>1238</v>
      </c>
      <c r="N284" s="16" t="s">
        <v>914</v>
      </c>
      <c r="O284" s="16" t="s">
        <v>1239</v>
      </c>
      <c r="P284" s="16" t="s">
        <v>914</v>
      </c>
      <c r="Q284" s="16" t="s">
        <v>1239</v>
      </c>
      <c r="R284" s="16" t="s">
        <v>915</v>
      </c>
      <c r="S284" s="16" t="s">
        <v>915</v>
      </c>
      <c r="T284" s="16" t="s">
        <v>1238</v>
      </c>
      <c r="U284" s="16" t="s">
        <v>1240</v>
      </c>
      <c r="V284" s="16" t="s">
        <v>916</v>
      </c>
      <c r="W284" s="16" t="s">
        <v>1240</v>
      </c>
      <c r="X284" s="16" t="s">
        <v>934</v>
      </c>
      <c r="Y284" s="16" t="s">
        <v>934</v>
      </c>
      <c r="Z284" s="16" t="s">
        <v>935</v>
      </c>
      <c r="DA284" s="405" t="s">
        <v>5</v>
      </c>
      <c r="DB284" s="405" t="s">
        <v>363</v>
      </c>
      <c r="DC284" s="406" t="s">
        <v>85</v>
      </c>
      <c r="DD284" s="405" t="s">
        <v>917</v>
      </c>
      <c r="DE284" s="405" t="s">
        <v>5</v>
      </c>
      <c r="DF284" s="406" t="s">
        <v>85</v>
      </c>
      <c r="DG284" s="407">
        <v>45845</v>
      </c>
      <c r="DH284" s="405" t="s">
        <v>8080</v>
      </c>
      <c r="DI284" s="406">
        <v>465455</v>
      </c>
      <c r="DJ284" s="408">
        <v>5</v>
      </c>
      <c r="DK284" s="405">
        <v>1</v>
      </c>
      <c r="DL284" s="82">
        <v>383.16</v>
      </c>
      <c r="DM284" s="409">
        <v>1.9158000000000002</v>
      </c>
      <c r="DN284" s="82" t="s">
        <v>85</v>
      </c>
      <c r="DO284" s="82" t="s">
        <v>85</v>
      </c>
      <c r="DP284" s="410" t="s">
        <v>85</v>
      </c>
    </row>
    <row r="285" spans="1:120" x14ac:dyDescent="0.25">
      <c r="A285" s="16" t="s">
        <v>8083</v>
      </c>
      <c r="B285" s="16" t="s">
        <v>8084</v>
      </c>
      <c r="C285" s="16" t="s">
        <v>8085</v>
      </c>
      <c r="D285" s="16" t="s">
        <v>7705</v>
      </c>
      <c r="E285" s="16" t="s">
        <v>8086</v>
      </c>
      <c r="F285" s="16" t="s">
        <v>8087</v>
      </c>
      <c r="G285" s="16" t="s">
        <v>8088</v>
      </c>
      <c r="H285" s="16" t="s">
        <v>8089</v>
      </c>
      <c r="I285" s="16" t="s">
        <v>2241</v>
      </c>
      <c r="J285" s="16" t="s">
        <v>1123</v>
      </c>
      <c r="K285" s="16" t="s">
        <v>2242</v>
      </c>
      <c r="L285" s="16" t="s">
        <v>85</v>
      </c>
      <c r="M285" s="16" t="s">
        <v>1238</v>
      </c>
      <c r="N285" s="16" t="s">
        <v>914</v>
      </c>
      <c r="O285" s="16" t="s">
        <v>1239</v>
      </c>
      <c r="P285" s="16" t="s">
        <v>914</v>
      </c>
      <c r="Q285" s="16" t="s">
        <v>1239</v>
      </c>
      <c r="R285" s="16" t="s">
        <v>915</v>
      </c>
      <c r="S285" s="16" t="s">
        <v>915</v>
      </c>
      <c r="T285" s="16" t="s">
        <v>1238</v>
      </c>
      <c r="U285" s="16" t="s">
        <v>1240</v>
      </c>
      <c r="V285" s="16" t="s">
        <v>916</v>
      </c>
      <c r="W285" s="16" t="s">
        <v>1240</v>
      </c>
      <c r="X285" s="16" t="s">
        <v>934</v>
      </c>
      <c r="Y285" s="16" t="s">
        <v>934</v>
      </c>
      <c r="Z285" s="16" t="s">
        <v>935</v>
      </c>
      <c r="DA285" s="405" t="s">
        <v>5</v>
      </c>
      <c r="DB285" s="405" t="s">
        <v>363</v>
      </c>
      <c r="DC285" s="406" t="s">
        <v>85</v>
      </c>
      <c r="DD285" s="405" t="s">
        <v>917</v>
      </c>
      <c r="DE285" s="405" t="s">
        <v>5</v>
      </c>
      <c r="DF285" s="406" t="s">
        <v>85</v>
      </c>
      <c r="DG285" s="407">
        <v>45845</v>
      </c>
      <c r="DH285" s="405" t="s">
        <v>8086</v>
      </c>
      <c r="DI285" s="406">
        <v>465455</v>
      </c>
      <c r="DJ285" s="408">
        <v>5</v>
      </c>
      <c r="DK285" s="405">
        <v>1</v>
      </c>
      <c r="DL285" s="82">
        <v>383.16</v>
      </c>
      <c r="DM285" s="409">
        <v>1.9158000000000002</v>
      </c>
      <c r="DN285" s="82" t="s">
        <v>85</v>
      </c>
      <c r="DO285" s="82" t="s">
        <v>85</v>
      </c>
      <c r="DP285" s="410" t="s">
        <v>85</v>
      </c>
    </row>
    <row r="286" spans="1:120" x14ac:dyDescent="0.25">
      <c r="A286" s="16" t="s">
        <v>8090</v>
      </c>
      <c r="B286" s="16" t="s">
        <v>8091</v>
      </c>
      <c r="C286" s="16" t="s">
        <v>8092</v>
      </c>
      <c r="D286" s="16" t="s">
        <v>7705</v>
      </c>
      <c r="E286" s="16" t="s">
        <v>8093</v>
      </c>
      <c r="F286" s="16" t="s">
        <v>8094</v>
      </c>
      <c r="G286" s="16" t="s">
        <v>8095</v>
      </c>
      <c r="H286" s="16" t="s">
        <v>8096</v>
      </c>
      <c r="I286" s="16" t="s">
        <v>2721</v>
      </c>
      <c r="J286" s="16" t="s">
        <v>928</v>
      </c>
      <c r="K286" s="16" t="s">
        <v>2722</v>
      </c>
      <c r="L286" s="16" t="s">
        <v>85</v>
      </c>
      <c r="M286" s="16" t="s">
        <v>1322</v>
      </c>
      <c r="N286" s="16" t="s">
        <v>914</v>
      </c>
      <c r="O286" s="16" t="s">
        <v>1323</v>
      </c>
      <c r="P286" s="16" t="s">
        <v>914</v>
      </c>
      <c r="Q286" s="16" t="s">
        <v>1323</v>
      </c>
      <c r="R286" s="16" t="s">
        <v>915</v>
      </c>
      <c r="S286" s="16" t="s">
        <v>915</v>
      </c>
      <c r="T286" s="16" t="s">
        <v>1322</v>
      </c>
      <c r="U286" s="16" t="s">
        <v>1324</v>
      </c>
      <c r="V286" s="16" t="s">
        <v>916</v>
      </c>
      <c r="W286" s="16" t="s">
        <v>1324</v>
      </c>
      <c r="X286" s="16" t="s">
        <v>934</v>
      </c>
      <c r="Y286" s="16" t="s">
        <v>934</v>
      </c>
      <c r="Z286" s="16" t="s">
        <v>935</v>
      </c>
      <c r="DA286" s="405" t="s">
        <v>5</v>
      </c>
      <c r="DB286" s="405" t="s">
        <v>363</v>
      </c>
      <c r="DC286" s="406" t="s">
        <v>85</v>
      </c>
      <c r="DD286" s="405" t="s">
        <v>917</v>
      </c>
      <c r="DE286" s="405" t="s">
        <v>5</v>
      </c>
      <c r="DF286" s="406" t="s">
        <v>85</v>
      </c>
      <c r="DG286" s="407">
        <v>45845</v>
      </c>
      <c r="DH286" s="405" t="s">
        <v>8093</v>
      </c>
      <c r="DI286" s="406">
        <v>465455</v>
      </c>
      <c r="DJ286" s="408">
        <v>5</v>
      </c>
      <c r="DK286" s="405">
        <v>1</v>
      </c>
      <c r="DL286" s="82">
        <v>332.47</v>
      </c>
      <c r="DM286" s="409">
        <v>1.6623500000000002</v>
      </c>
      <c r="DN286" s="82" t="s">
        <v>85</v>
      </c>
      <c r="DO286" s="82" t="s">
        <v>85</v>
      </c>
      <c r="DP286" s="410" t="s">
        <v>85</v>
      </c>
    </row>
    <row r="287" spans="1:120" x14ac:dyDescent="0.25">
      <c r="A287" s="16" t="s">
        <v>8097</v>
      </c>
      <c r="B287" s="16" t="s">
        <v>8098</v>
      </c>
      <c r="C287" s="16" t="s">
        <v>8099</v>
      </c>
      <c r="D287" s="16" t="s">
        <v>7705</v>
      </c>
      <c r="E287" s="16" t="s">
        <v>8100</v>
      </c>
      <c r="F287" s="16" t="s">
        <v>8101</v>
      </c>
      <c r="G287" s="16" t="s">
        <v>8102</v>
      </c>
      <c r="H287" s="16" t="s">
        <v>8103</v>
      </c>
      <c r="I287" s="16" t="s">
        <v>2661</v>
      </c>
      <c r="J287" s="16" t="s">
        <v>943</v>
      </c>
      <c r="K287" s="16" t="s">
        <v>2662</v>
      </c>
      <c r="L287" s="16" t="s">
        <v>85</v>
      </c>
      <c r="M287" s="16" t="s">
        <v>984</v>
      </c>
      <c r="N287" s="16" t="s">
        <v>914</v>
      </c>
      <c r="O287" s="16" t="s">
        <v>985</v>
      </c>
      <c r="P287" s="16" t="s">
        <v>914</v>
      </c>
      <c r="Q287" s="16" t="s">
        <v>985</v>
      </c>
      <c r="R287" s="16" t="s">
        <v>915</v>
      </c>
      <c r="S287" s="16" t="s">
        <v>915</v>
      </c>
      <c r="T287" s="16" t="s">
        <v>986</v>
      </c>
      <c r="U287" s="16" t="s">
        <v>987</v>
      </c>
      <c r="V287" s="16" t="s">
        <v>916</v>
      </c>
      <c r="W287" s="16" t="s">
        <v>987</v>
      </c>
      <c r="X287" s="16" t="s">
        <v>934</v>
      </c>
      <c r="Y287" s="16" t="s">
        <v>934</v>
      </c>
      <c r="Z287" s="16" t="s">
        <v>935</v>
      </c>
      <c r="DA287" s="405" t="s">
        <v>5</v>
      </c>
      <c r="DB287" s="405" t="s">
        <v>363</v>
      </c>
      <c r="DC287" s="406" t="s">
        <v>85</v>
      </c>
      <c r="DD287" s="405" t="s">
        <v>917</v>
      </c>
      <c r="DE287" s="405" t="s">
        <v>5</v>
      </c>
      <c r="DF287" s="406" t="s">
        <v>85</v>
      </c>
      <c r="DG287" s="407">
        <v>45845</v>
      </c>
      <c r="DH287" s="405" t="s">
        <v>8100</v>
      </c>
      <c r="DI287" s="406">
        <v>465455</v>
      </c>
      <c r="DJ287" s="408">
        <v>5</v>
      </c>
      <c r="DK287" s="405">
        <v>1</v>
      </c>
      <c r="DL287" s="82">
        <v>340.55</v>
      </c>
      <c r="DM287" s="409">
        <v>1.70275</v>
      </c>
      <c r="DN287" s="82" t="s">
        <v>85</v>
      </c>
      <c r="DO287" s="82" t="s">
        <v>85</v>
      </c>
      <c r="DP287" s="410" t="s">
        <v>85</v>
      </c>
    </row>
    <row r="288" spans="1:120" x14ac:dyDescent="0.25">
      <c r="A288" s="16" t="s">
        <v>8104</v>
      </c>
      <c r="B288" s="16" t="s">
        <v>8105</v>
      </c>
      <c r="C288" s="16" t="s">
        <v>8106</v>
      </c>
      <c r="D288" s="16" t="s">
        <v>7705</v>
      </c>
      <c r="E288" s="16" t="s">
        <v>8107</v>
      </c>
      <c r="F288" s="16" t="s">
        <v>8108</v>
      </c>
      <c r="G288" s="16" t="s">
        <v>8109</v>
      </c>
      <c r="H288" s="16" t="s">
        <v>8110</v>
      </c>
      <c r="I288" s="16" t="s">
        <v>2118</v>
      </c>
      <c r="J288" s="16" t="s">
        <v>928</v>
      </c>
      <c r="K288" s="16" t="s">
        <v>2119</v>
      </c>
      <c r="L288" s="16" t="s">
        <v>85</v>
      </c>
      <c r="M288" s="16" t="s">
        <v>1322</v>
      </c>
      <c r="N288" s="16" t="s">
        <v>914</v>
      </c>
      <c r="O288" s="16" t="s">
        <v>1323</v>
      </c>
      <c r="P288" s="16" t="s">
        <v>914</v>
      </c>
      <c r="Q288" s="16" t="s">
        <v>1323</v>
      </c>
      <c r="R288" s="16" t="s">
        <v>915</v>
      </c>
      <c r="S288" s="16" t="s">
        <v>915</v>
      </c>
      <c r="T288" s="16" t="s">
        <v>1322</v>
      </c>
      <c r="U288" s="16" t="s">
        <v>1324</v>
      </c>
      <c r="V288" s="16" t="s">
        <v>916</v>
      </c>
      <c r="W288" s="16" t="s">
        <v>1324</v>
      </c>
      <c r="X288" s="16" t="s">
        <v>934</v>
      </c>
      <c r="Y288" s="16" t="s">
        <v>934</v>
      </c>
      <c r="Z288" s="16" t="s">
        <v>935</v>
      </c>
      <c r="DA288" s="405" t="s">
        <v>5</v>
      </c>
      <c r="DB288" s="405" t="s">
        <v>363</v>
      </c>
      <c r="DC288" s="406" t="s">
        <v>85</v>
      </c>
      <c r="DD288" s="405" t="s">
        <v>917</v>
      </c>
      <c r="DE288" s="405" t="s">
        <v>5</v>
      </c>
      <c r="DF288" s="406" t="s">
        <v>85</v>
      </c>
      <c r="DG288" s="407">
        <v>45845</v>
      </c>
      <c r="DH288" s="405" t="s">
        <v>8107</v>
      </c>
      <c r="DI288" s="406">
        <v>465455</v>
      </c>
      <c r="DJ288" s="408">
        <v>5</v>
      </c>
      <c r="DK288" s="405">
        <v>1</v>
      </c>
      <c r="DL288" s="82">
        <v>332.47</v>
      </c>
      <c r="DM288" s="409">
        <v>1.6623500000000002</v>
      </c>
      <c r="DN288" s="82" t="s">
        <v>85</v>
      </c>
      <c r="DO288" s="82" t="s">
        <v>85</v>
      </c>
      <c r="DP288" s="410" t="s">
        <v>85</v>
      </c>
    </row>
    <row r="289" spans="1:120" x14ac:dyDescent="0.25">
      <c r="A289" s="16" t="s">
        <v>8111</v>
      </c>
      <c r="B289" s="16" t="s">
        <v>8112</v>
      </c>
      <c r="C289" s="16" t="s">
        <v>8113</v>
      </c>
      <c r="D289" s="16" t="s">
        <v>7705</v>
      </c>
      <c r="E289" s="16" t="s">
        <v>8114</v>
      </c>
      <c r="F289" s="16" t="s">
        <v>8115</v>
      </c>
      <c r="G289" s="16" t="s">
        <v>8116</v>
      </c>
      <c r="H289" s="16" t="s">
        <v>8117</v>
      </c>
      <c r="I289" s="16" t="s">
        <v>1269</v>
      </c>
      <c r="J289" s="16" t="s">
        <v>943</v>
      </c>
      <c r="K289" s="16" t="s">
        <v>1270</v>
      </c>
      <c r="L289" s="16" t="s">
        <v>85</v>
      </c>
      <c r="M289" s="16" t="s">
        <v>984</v>
      </c>
      <c r="N289" s="16" t="s">
        <v>914</v>
      </c>
      <c r="O289" s="16" t="s">
        <v>985</v>
      </c>
      <c r="P289" s="16" t="s">
        <v>914</v>
      </c>
      <c r="Q289" s="16" t="s">
        <v>985</v>
      </c>
      <c r="R289" s="16" t="s">
        <v>915</v>
      </c>
      <c r="S289" s="16" t="s">
        <v>915</v>
      </c>
      <c r="T289" s="16" t="s">
        <v>986</v>
      </c>
      <c r="U289" s="16" t="s">
        <v>987</v>
      </c>
      <c r="V289" s="16" t="s">
        <v>916</v>
      </c>
      <c r="W289" s="16" t="s">
        <v>987</v>
      </c>
      <c r="X289" s="16" t="s">
        <v>934</v>
      </c>
      <c r="Y289" s="16" t="s">
        <v>934</v>
      </c>
      <c r="Z289" s="16" t="s">
        <v>935</v>
      </c>
      <c r="DA289" s="405" t="s">
        <v>5</v>
      </c>
      <c r="DB289" s="405" t="s">
        <v>363</v>
      </c>
      <c r="DC289" s="406" t="s">
        <v>85</v>
      </c>
      <c r="DD289" s="405" t="s">
        <v>917</v>
      </c>
      <c r="DE289" s="405" t="s">
        <v>5</v>
      </c>
      <c r="DF289" s="406" t="s">
        <v>85</v>
      </c>
      <c r="DG289" s="407">
        <v>45845</v>
      </c>
      <c r="DH289" s="405" t="s">
        <v>8114</v>
      </c>
      <c r="DI289" s="406">
        <v>465455</v>
      </c>
      <c r="DJ289" s="408">
        <v>5</v>
      </c>
      <c r="DK289" s="405">
        <v>1</v>
      </c>
      <c r="DL289" s="82">
        <v>340.55</v>
      </c>
      <c r="DM289" s="409">
        <v>1.70275</v>
      </c>
      <c r="DN289" s="82" t="s">
        <v>85</v>
      </c>
      <c r="DO289" s="82" t="s">
        <v>85</v>
      </c>
      <c r="DP289" s="410" t="s">
        <v>85</v>
      </c>
    </row>
    <row r="290" spans="1:120" x14ac:dyDescent="0.25">
      <c r="A290" s="16" t="s">
        <v>8118</v>
      </c>
      <c r="B290" s="16" t="s">
        <v>8119</v>
      </c>
      <c r="C290" s="16" t="s">
        <v>8120</v>
      </c>
      <c r="D290" s="16" t="s">
        <v>7705</v>
      </c>
      <c r="E290" s="16" t="s">
        <v>8121</v>
      </c>
      <c r="F290" s="16" t="s">
        <v>8122</v>
      </c>
      <c r="G290" s="16" t="s">
        <v>8123</v>
      </c>
      <c r="H290" s="16" t="s">
        <v>8124</v>
      </c>
      <c r="I290" s="16" t="s">
        <v>8125</v>
      </c>
      <c r="J290" s="16" t="s">
        <v>928</v>
      </c>
      <c r="K290" s="16" t="s">
        <v>8126</v>
      </c>
      <c r="L290" s="16" t="s">
        <v>85</v>
      </c>
      <c r="M290" s="16" t="s">
        <v>1322</v>
      </c>
      <c r="N290" s="16" t="s">
        <v>914</v>
      </c>
      <c r="O290" s="16" t="s">
        <v>1323</v>
      </c>
      <c r="P290" s="16" t="s">
        <v>914</v>
      </c>
      <c r="Q290" s="16" t="s">
        <v>1323</v>
      </c>
      <c r="R290" s="16" t="s">
        <v>915</v>
      </c>
      <c r="S290" s="16" t="s">
        <v>915</v>
      </c>
      <c r="T290" s="16" t="s">
        <v>1322</v>
      </c>
      <c r="U290" s="16" t="s">
        <v>1324</v>
      </c>
      <c r="V290" s="16" t="s">
        <v>916</v>
      </c>
      <c r="W290" s="16" t="s">
        <v>1324</v>
      </c>
      <c r="X290" s="16" t="s">
        <v>934</v>
      </c>
      <c r="Y290" s="16" t="s">
        <v>934</v>
      </c>
      <c r="Z290" s="16" t="s">
        <v>935</v>
      </c>
      <c r="DA290" s="405" t="s">
        <v>5</v>
      </c>
      <c r="DB290" s="405" t="s">
        <v>363</v>
      </c>
      <c r="DC290" s="406" t="s">
        <v>85</v>
      </c>
      <c r="DD290" s="405" t="s">
        <v>917</v>
      </c>
      <c r="DE290" s="405" t="s">
        <v>5</v>
      </c>
      <c r="DF290" s="406" t="s">
        <v>85</v>
      </c>
      <c r="DG290" s="407">
        <v>45845</v>
      </c>
      <c r="DH290" s="405" t="s">
        <v>8121</v>
      </c>
      <c r="DI290" s="406">
        <v>465455</v>
      </c>
      <c r="DJ290" s="408">
        <v>5</v>
      </c>
      <c r="DK290" s="405">
        <v>1</v>
      </c>
      <c r="DL290" s="82">
        <v>332.47</v>
      </c>
      <c r="DM290" s="409">
        <v>1.6623500000000002</v>
      </c>
      <c r="DN290" s="82" t="s">
        <v>85</v>
      </c>
      <c r="DO290" s="82" t="s">
        <v>85</v>
      </c>
      <c r="DP290" s="410" t="s">
        <v>85</v>
      </c>
    </row>
    <row r="291" spans="1:120" x14ac:dyDescent="0.25">
      <c r="A291" s="16" t="s">
        <v>8118</v>
      </c>
      <c r="B291" s="16" t="s">
        <v>8119</v>
      </c>
      <c r="C291" s="16" t="s">
        <v>8120</v>
      </c>
      <c r="D291" s="16" t="s">
        <v>7705</v>
      </c>
      <c r="E291" s="16" t="s">
        <v>8121</v>
      </c>
      <c r="F291" s="16" t="s">
        <v>8122</v>
      </c>
      <c r="G291" s="16" t="s">
        <v>8123</v>
      </c>
      <c r="H291" s="16" t="s">
        <v>8124</v>
      </c>
      <c r="I291" s="16" t="s">
        <v>4789</v>
      </c>
      <c r="J291" s="16" t="s">
        <v>928</v>
      </c>
      <c r="K291" s="16" t="s">
        <v>4790</v>
      </c>
      <c r="L291" s="16" t="s">
        <v>85</v>
      </c>
      <c r="M291" s="16" t="s">
        <v>1322</v>
      </c>
      <c r="N291" s="16" t="s">
        <v>914</v>
      </c>
      <c r="O291" s="16" t="s">
        <v>1323</v>
      </c>
      <c r="P291" s="16" t="s">
        <v>914</v>
      </c>
      <c r="Q291" s="16" t="s">
        <v>1323</v>
      </c>
      <c r="R291" s="16" t="s">
        <v>915</v>
      </c>
      <c r="S291" s="16" t="s">
        <v>915</v>
      </c>
      <c r="T291" s="16" t="s">
        <v>1322</v>
      </c>
      <c r="U291" s="16" t="s">
        <v>1324</v>
      </c>
      <c r="V291" s="16" t="s">
        <v>916</v>
      </c>
      <c r="W291" s="16" t="s">
        <v>1324</v>
      </c>
      <c r="X291" s="16" t="s">
        <v>934</v>
      </c>
      <c r="Y291" s="16" t="s">
        <v>934</v>
      </c>
      <c r="Z291" s="16" t="s">
        <v>935</v>
      </c>
      <c r="DA291" s="405" t="s">
        <v>5</v>
      </c>
      <c r="DB291" s="405" t="s">
        <v>363</v>
      </c>
      <c r="DC291" s="406" t="s">
        <v>85</v>
      </c>
      <c r="DD291" s="405" t="s">
        <v>917</v>
      </c>
      <c r="DE291" s="405" t="s">
        <v>5</v>
      </c>
      <c r="DF291" s="406" t="s">
        <v>85</v>
      </c>
      <c r="DG291" s="407">
        <v>45845</v>
      </c>
      <c r="DH291" s="405" t="s">
        <v>8121</v>
      </c>
      <c r="DI291" s="406">
        <v>465455</v>
      </c>
      <c r="DJ291" s="408">
        <v>5</v>
      </c>
      <c r="DK291" s="405">
        <v>1</v>
      </c>
      <c r="DL291" s="82">
        <v>332.47</v>
      </c>
      <c r="DM291" s="409">
        <v>1.6623500000000002</v>
      </c>
      <c r="DN291" s="82" t="s">
        <v>85</v>
      </c>
      <c r="DO291" s="82" t="s">
        <v>85</v>
      </c>
      <c r="DP291" s="410" t="s">
        <v>85</v>
      </c>
    </row>
    <row r="292" spans="1:120" x14ac:dyDescent="0.25">
      <c r="A292" s="16" t="s">
        <v>8127</v>
      </c>
      <c r="B292" s="16" t="s">
        <v>8128</v>
      </c>
      <c r="C292" s="16" t="s">
        <v>8129</v>
      </c>
      <c r="D292" s="16" t="s">
        <v>7705</v>
      </c>
      <c r="E292" s="16" t="s">
        <v>8130</v>
      </c>
      <c r="F292" s="16" t="s">
        <v>8131</v>
      </c>
      <c r="G292" s="16" t="s">
        <v>8132</v>
      </c>
      <c r="H292" s="16" t="s">
        <v>8133</v>
      </c>
      <c r="I292" s="16" t="s">
        <v>1937</v>
      </c>
      <c r="J292" s="16" t="s">
        <v>1036</v>
      </c>
      <c r="K292" s="16" t="s">
        <v>1938</v>
      </c>
      <c r="L292" s="16" t="s">
        <v>85</v>
      </c>
      <c r="M292" s="16" t="s">
        <v>1216</v>
      </c>
      <c r="N292" s="16" t="s">
        <v>914</v>
      </c>
      <c r="O292" s="16" t="s">
        <v>946</v>
      </c>
      <c r="P292" s="16" t="s">
        <v>914</v>
      </c>
      <c r="Q292" s="16" t="s">
        <v>946</v>
      </c>
      <c r="R292" s="16" t="s">
        <v>915</v>
      </c>
      <c r="S292" s="16" t="s">
        <v>915</v>
      </c>
      <c r="T292" s="16" t="s">
        <v>1216</v>
      </c>
      <c r="U292" s="16" t="s">
        <v>1217</v>
      </c>
      <c r="V292" s="16" t="s">
        <v>916</v>
      </c>
      <c r="W292" s="16" t="s">
        <v>1217</v>
      </c>
      <c r="X292" s="16" t="s">
        <v>934</v>
      </c>
      <c r="Y292" s="16" t="s">
        <v>934</v>
      </c>
      <c r="Z292" s="16" t="s">
        <v>935</v>
      </c>
      <c r="DA292" s="405" t="s">
        <v>5</v>
      </c>
      <c r="DB292" s="405" t="s">
        <v>363</v>
      </c>
      <c r="DC292" s="406" t="s">
        <v>85</v>
      </c>
      <c r="DD292" s="405" t="s">
        <v>917</v>
      </c>
      <c r="DE292" s="405" t="s">
        <v>5</v>
      </c>
      <c r="DF292" s="406" t="s">
        <v>85</v>
      </c>
      <c r="DG292" s="407">
        <v>45845</v>
      </c>
      <c r="DH292" s="405" t="s">
        <v>8130</v>
      </c>
      <c r="DI292" s="406">
        <v>465455</v>
      </c>
      <c r="DJ292" s="408">
        <v>5</v>
      </c>
      <c r="DK292" s="405">
        <v>1</v>
      </c>
      <c r="DL292" s="82">
        <v>319.22000000000003</v>
      </c>
      <c r="DM292" s="409">
        <v>1.5961000000000001</v>
      </c>
      <c r="DN292" s="82" t="s">
        <v>85</v>
      </c>
      <c r="DO292" s="82" t="s">
        <v>85</v>
      </c>
      <c r="DP292" s="410" t="s">
        <v>85</v>
      </c>
    </row>
    <row r="293" spans="1:120" x14ac:dyDescent="0.25">
      <c r="A293" s="16" t="s">
        <v>8134</v>
      </c>
      <c r="B293" s="16" t="s">
        <v>8135</v>
      </c>
      <c r="C293" s="16" t="s">
        <v>8136</v>
      </c>
      <c r="D293" s="16" t="s">
        <v>7705</v>
      </c>
      <c r="E293" s="16" t="s">
        <v>8137</v>
      </c>
      <c r="F293" s="16" t="s">
        <v>8138</v>
      </c>
      <c r="G293" s="16" t="s">
        <v>8139</v>
      </c>
      <c r="H293" s="16" t="s">
        <v>8140</v>
      </c>
      <c r="I293" s="16" t="s">
        <v>1017</v>
      </c>
      <c r="J293" s="16" t="s">
        <v>995</v>
      </c>
      <c r="K293" s="16" t="s">
        <v>1018</v>
      </c>
      <c r="L293" s="16" t="s">
        <v>85</v>
      </c>
      <c r="M293" s="16" t="s">
        <v>1165</v>
      </c>
      <c r="N293" s="16" t="s">
        <v>914</v>
      </c>
      <c r="O293" s="16" t="s">
        <v>1166</v>
      </c>
      <c r="P293" s="16" t="s">
        <v>914</v>
      </c>
      <c r="Q293" s="16" t="s">
        <v>1166</v>
      </c>
      <c r="R293" s="16" t="s">
        <v>915</v>
      </c>
      <c r="S293" s="16" t="s">
        <v>915</v>
      </c>
      <c r="T293" s="16" t="s">
        <v>1167</v>
      </c>
      <c r="U293" s="16" t="s">
        <v>1168</v>
      </c>
      <c r="V293" s="16" t="s">
        <v>916</v>
      </c>
      <c r="W293" s="16" t="s">
        <v>1168</v>
      </c>
      <c r="X293" s="16" t="s">
        <v>934</v>
      </c>
      <c r="Y293" s="16" t="s">
        <v>934</v>
      </c>
      <c r="Z293" s="16" t="s">
        <v>935</v>
      </c>
      <c r="DA293" s="405" t="s">
        <v>5</v>
      </c>
      <c r="DB293" s="405" t="s">
        <v>363</v>
      </c>
      <c r="DC293" s="406" t="s">
        <v>85</v>
      </c>
      <c r="DD293" s="405" t="s">
        <v>917</v>
      </c>
      <c r="DE293" s="405" t="s">
        <v>5</v>
      </c>
      <c r="DF293" s="406" t="s">
        <v>85</v>
      </c>
      <c r="DG293" s="407">
        <v>45845</v>
      </c>
      <c r="DH293" s="405" t="s">
        <v>8137</v>
      </c>
      <c r="DI293" s="406">
        <v>465455</v>
      </c>
      <c r="DJ293" s="408">
        <v>5</v>
      </c>
      <c r="DK293" s="405">
        <v>1</v>
      </c>
      <c r="DL293" s="82">
        <v>468.28</v>
      </c>
      <c r="DM293" s="409">
        <v>2.3413999999999997</v>
      </c>
      <c r="DN293" s="82" t="s">
        <v>85</v>
      </c>
      <c r="DO293" s="82" t="s">
        <v>85</v>
      </c>
      <c r="DP293" s="410" t="s">
        <v>85</v>
      </c>
    </row>
    <row r="294" spans="1:120" x14ac:dyDescent="0.25">
      <c r="A294" s="16" t="s">
        <v>8141</v>
      </c>
      <c r="B294" s="16" t="s">
        <v>8142</v>
      </c>
      <c r="C294" s="16" t="s">
        <v>8143</v>
      </c>
      <c r="D294" s="16" t="s">
        <v>7705</v>
      </c>
      <c r="E294" s="16" t="s">
        <v>8144</v>
      </c>
      <c r="F294" s="16" t="s">
        <v>8138</v>
      </c>
      <c r="G294" s="16" t="s">
        <v>8145</v>
      </c>
      <c r="H294" s="16" t="s">
        <v>8138</v>
      </c>
      <c r="I294" s="16" t="s">
        <v>1987</v>
      </c>
      <c r="J294" s="16" t="s">
        <v>1988</v>
      </c>
      <c r="K294" s="16" t="s">
        <v>1989</v>
      </c>
      <c r="L294" s="16" t="s">
        <v>85</v>
      </c>
      <c r="M294" s="16" t="s">
        <v>1955</v>
      </c>
      <c r="N294" s="16" t="s">
        <v>914</v>
      </c>
      <c r="O294" s="16" t="s">
        <v>1039</v>
      </c>
      <c r="P294" s="16" t="s">
        <v>914</v>
      </c>
      <c r="Q294" s="16" t="s">
        <v>1039</v>
      </c>
      <c r="R294" s="16" t="s">
        <v>915</v>
      </c>
      <c r="S294" s="16" t="s">
        <v>915</v>
      </c>
      <c r="T294" s="16" t="s">
        <v>1955</v>
      </c>
      <c r="U294" s="16" t="s">
        <v>1956</v>
      </c>
      <c r="V294" s="16" t="s">
        <v>916</v>
      </c>
      <c r="W294" s="16" t="s">
        <v>1956</v>
      </c>
      <c r="X294" s="16" t="s">
        <v>934</v>
      </c>
      <c r="Y294" s="16" t="s">
        <v>934</v>
      </c>
      <c r="Z294" s="16" t="s">
        <v>935</v>
      </c>
      <c r="DA294" s="405" t="s">
        <v>5</v>
      </c>
      <c r="DB294" s="405" t="s">
        <v>363</v>
      </c>
      <c r="DC294" s="406" t="s">
        <v>85</v>
      </c>
      <c r="DD294" s="405" t="s">
        <v>917</v>
      </c>
      <c r="DE294" s="405" t="s">
        <v>5</v>
      </c>
      <c r="DF294" s="406" t="s">
        <v>85</v>
      </c>
      <c r="DG294" s="407">
        <v>45845</v>
      </c>
      <c r="DH294" s="405" t="s">
        <v>8144</v>
      </c>
      <c r="DI294" s="406">
        <v>465455</v>
      </c>
      <c r="DJ294" s="408">
        <v>5</v>
      </c>
      <c r="DK294" s="405">
        <v>1</v>
      </c>
      <c r="DL294" s="82">
        <v>311.2</v>
      </c>
      <c r="DM294" s="409">
        <v>1.556</v>
      </c>
      <c r="DN294" s="82" t="s">
        <v>85</v>
      </c>
      <c r="DO294" s="82" t="s">
        <v>85</v>
      </c>
      <c r="DP294" s="410" t="s">
        <v>85</v>
      </c>
    </row>
    <row r="295" spans="1:120" x14ac:dyDescent="0.25">
      <c r="A295" s="16" t="s">
        <v>8146</v>
      </c>
      <c r="B295" s="16" t="s">
        <v>8147</v>
      </c>
      <c r="C295" s="16" t="s">
        <v>8148</v>
      </c>
      <c r="D295" s="16" t="s">
        <v>7705</v>
      </c>
      <c r="E295" s="16" t="s">
        <v>8149</v>
      </c>
      <c r="F295" s="16" t="s">
        <v>8150</v>
      </c>
      <c r="G295" s="16" t="s">
        <v>8151</v>
      </c>
      <c r="H295" s="16" t="s">
        <v>8150</v>
      </c>
      <c r="I295" s="16" t="s">
        <v>6196</v>
      </c>
      <c r="J295" s="16" t="s">
        <v>1123</v>
      </c>
      <c r="K295" s="16" t="s">
        <v>6197</v>
      </c>
      <c r="L295" s="16" t="s">
        <v>85</v>
      </c>
      <c r="M295" s="16" t="s">
        <v>1238</v>
      </c>
      <c r="N295" s="16" t="s">
        <v>914</v>
      </c>
      <c r="O295" s="16" t="s">
        <v>1239</v>
      </c>
      <c r="P295" s="16" t="s">
        <v>914</v>
      </c>
      <c r="Q295" s="16" t="s">
        <v>1239</v>
      </c>
      <c r="R295" s="16" t="s">
        <v>915</v>
      </c>
      <c r="S295" s="16" t="s">
        <v>915</v>
      </c>
      <c r="T295" s="16" t="s">
        <v>1238</v>
      </c>
      <c r="U295" s="16" t="s">
        <v>1240</v>
      </c>
      <c r="V295" s="16" t="s">
        <v>916</v>
      </c>
      <c r="W295" s="16" t="s">
        <v>1240</v>
      </c>
      <c r="X295" s="16" t="s">
        <v>934</v>
      </c>
      <c r="Y295" s="16" t="s">
        <v>934</v>
      </c>
      <c r="Z295" s="16" t="s">
        <v>935</v>
      </c>
      <c r="DA295" s="405" t="s">
        <v>5</v>
      </c>
      <c r="DB295" s="405" t="s">
        <v>363</v>
      </c>
      <c r="DC295" s="406" t="s">
        <v>85</v>
      </c>
      <c r="DD295" s="405" t="s">
        <v>917</v>
      </c>
      <c r="DE295" s="405" t="s">
        <v>5</v>
      </c>
      <c r="DF295" s="406" t="s">
        <v>85</v>
      </c>
      <c r="DG295" s="407">
        <v>45845</v>
      </c>
      <c r="DH295" s="405" t="s">
        <v>8149</v>
      </c>
      <c r="DI295" s="406">
        <v>465455</v>
      </c>
      <c r="DJ295" s="408">
        <v>5</v>
      </c>
      <c r="DK295" s="405">
        <v>1</v>
      </c>
      <c r="DL295" s="82">
        <v>383.16</v>
      </c>
      <c r="DM295" s="409">
        <v>1.9158000000000002</v>
      </c>
      <c r="DN295" s="82" t="s">
        <v>85</v>
      </c>
      <c r="DO295" s="82" t="s">
        <v>85</v>
      </c>
      <c r="DP295" s="410" t="s">
        <v>85</v>
      </c>
    </row>
    <row r="296" spans="1:120" x14ac:dyDescent="0.25">
      <c r="A296" s="16" t="s">
        <v>8152</v>
      </c>
      <c r="B296" s="16" t="s">
        <v>8153</v>
      </c>
      <c r="C296" s="16" t="s">
        <v>8154</v>
      </c>
      <c r="D296" s="16" t="s">
        <v>7705</v>
      </c>
      <c r="E296" s="16" t="s">
        <v>8155</v>
      </c>
      <c r="F296" s="16" t="s">
        <v>8156</v>
      </c>
      <c r="G296" s="16" t="s">
        <v>8157</v>
      </c>
      <c r="H296" s="16" t="s">
        <v>8158</v>
      </c>
      <c r="I296" s="16" t="s">
        <v>8159</v>
      </c>
      <c r="J296" s="16" t="s">
        <v>956</v>
      </c>
      <c r="K296" s="16" t="s">
        <v>8160</v>
      </c>
      <c r="L296" s="16" t="s">
        <v>85</v>
      </c>
      <c r="M296" s="16" t="s">
        <v>1396</v>
      </c>
      <c r="N296" s="16" t="s">
        <v>914</v>
      </c>
      <c r="O296" s="16" t="s">
        <v>1397</v>
      </c>
      <c r="P296" s="16" t="s">
        <v>914</v>
      </c>
      <c r="Q296" s="16" t="s">
        <v>1397</v>
      </c>
      <c r="R296" s="16" t="s">
        <v>915</v>
      </c>
      <c r="S296" s="16" t="s">
        <v>915</v>
      </c>
      <c r="T296" s="16" t="s">
        <v>1396</v>
      </c>
      <c r="U296" s="16" t="s">
        <v>1398</v>
      </c>
      <c r="V296" s="16" t="s">
        <v>916</v>
      </c>
      <c r="W296" s="16" t="s">
        <v>1398</v>
      </c>
      <c r="X296" s="16" t="s">
        <v>934</v>
      </c>
      <c r="Y296" s="16" t="s">
        <v>934</v>
      </c>
      <c r="Z296" s="16" t="s">
        <v>935</v>
      </c>
      <c r="DA296" s="405" t="s">
        <v>5</v>
      </c>
      <c r="DB296" s="405" t="s">
        <v>363</v>
      </c>
      <c r="DC296" s="406" t="s">
        <v>85</v>
      </c>
      <c r="DD296" s="405" t="s">
        <v>917</v>
      </c>
      <c r="DE296" s="405" t="s">
        <v>5</v>
      </c>
      <c r="DF296" s="406" t="s">
        <v>85</v>
      </c>
      <c r="DG296" s="407">
        <v>45845</v>
      </c>
      <c r="DH296" s="405" t="s">
        <v>8155</v>
      </c>
      <c r="DI296" s="406">
        <v>465455</v>
      </c>
      <c r="DJ296" s="408">
        <v>5</v>
      </c>
      <c r="DK296" s="405">
        <v>1</v>
      </c>
      <c r="DL296" s="82">
        <v>265.92</v>
      </c>
      <c r="DM296" s="409">
        <v>1.3296000000000001</v>
      </c>
      <c r="DN296" s="82" t="s">
        <v>85</v>
      </c>
      <c r="DO296" s="82" t="s">
        <v>85</v>
      </c>
      <c r="DP296" s="410" t="s">
        <v>85</v>
      </c>
    </row>
    <row r="297" spans="1:120" x14ac:dyDescent="0.25">
      <c r="A297" s="16" t="s">
        <v>8161</v>
      </c>
      <c r="B297" s="16" t="s">
        <v>8162</v>
      </c>
      <c r="C297" s="16" t="s">
        <v>8163</v>
      </c>
      <c r="D297" s="16" t="s">
        <v>7705</v>
      </c>
      <c r="E297" s="16" t="s">
        <v>8164</v>
      </c>
      <c r="F297" s="16" t="s">
        <v>8156</v>
      </c>
      <c r="G297" s="16" t="s">
        <v>8165</v>
      </c>
      <c r="H297" s="16" t="s">
        <v>8156</v>
      </c>
      <c r="I297" s="16" t="s">
        <v>6098</v>
      </c>
      <c r="J297" s="16" t="s">
        <v>928</v>
      </c>
      <c r="K297" s="16" t="s">
        <v>6099</v>
      </c>
      <c r="L297" s="16" t="s">
        <v>85</v>
      </c>
      <c r="M297" s="16" t="s">
        <v>1322</v>
      </c>
      <c r="N297" s="16" t="s">
        <v>914</v>
      </c>
      <c r="O297" s="16" t="s">
        <v>1323</v>
      </c>
      <c r="P297" s="16" t="s">
        <v>914</v>
      </c>
      <c r="Q297" s="16" t="s">
        <v>1323</v>
      </c>
      <c r="R297" s="16" t="s">
        <v>915</v>
      </c>
      <c r="S297" s="16" t="s">
        <v>915</v>
      </c>
      <c r="T297" s="16" t="s">
        <v>1322</v>
      </c>
      <c r="U297" s="16" t="s">
        <v>1324</v>
      </c>
      <c r="V297" s="16" t="s">
        <v>916</v>
      </c>
      <c r="W297" s="16" t="s">
        <v>1324</v>
      </c>
      <c r="X297" s="16" t="s">
        <v>934</v>
      </c>
      <c r="Y297" s="16" t="s">
        <v>934</v>
      </c>
      <c r="Z297" s="16" t="s">
        <v>935</v>
      </c>
      <c r="DA297" s="405" t="s">
        <v>5</v>
      </c>
      <c r="DB297" s="405" t="s">
        <v>363</v>
      </c>
      <c r="DC297" s="406" t="s">
        <v>85</v>
      </c>
      <c r="DD297" s="405" t="s">
        <v>917</v>
      </c>
      <c r="DE297" s="405" t="s">
        <v>5</v>
      </c>
      <c r="DF297" s="406" t="s">
        <v>85</v>
      </c>
      <c r="DG297" s="407">
        <v>45845</v>
      </c>
      <c r="DH297" s="405" t="s">
        <v>8164</v>
      </c>
      <c r="DI297" s="406">
        <v>465455</v>
      </c>
      <c r="DJ297" s="408">
        <v>5</v>
      </c>
      <c r="DK297" s="405">
        <v>1</v>
      </c>
      <c r="DL297" s="82">
        <v>332.47</v>
      </c>
      <c r="DM297" s="409">
        <v>1.6623500000000002</v>
      </c>
      <c r="DN297" s="82" t="s">
        <v>85</v>
      </c>
      <c r="DO297" s="82" t="s">
        <v>85</v>
      </c>
      <c r="DP297" s="410" t="s">
        <v>85</v>
      </c>
    </row>
    <row r="298" spans="1:120" x14ac:dyDescent="0.25">
      <c r="A298" s="16" t="s">
        <v>8166</v>
      </c>
      <c r="B298" s="16" t="s">
        <v>8167</v>
      </c>
      <c r="C298" s="16" t="s">
        <v>8168</v>
      </c>
      <c r="D298" s="16" t="s">
        <v>7705</v>
      </c>
      <c r="E298" s="16" t="s">
        <v>8169</v>
      </c>
      <c r="F298" s="16" t="s">
        <v>8170</v>
      </c>
      <c r="G298" s="16" t="s">
        <v>8171</v>
      </c>
      <c r="H298" s="16" t="s">
        <v>8170</v>
      </c>
      <c r="I298" s="16" t="s">
        <v>1090</v>
      </c>
      <c r="J298" s="16" t="s">
        <v>943</v>
      </c>
      <c r="K298" s="16" t="s">
        <v>1091</v>
      </c>
      <c r="L298" s="16" t="s">
        <v>85</v>
      </c>
      <c r="M298" s="16" t="s">
        <v>984</v>
      </c>
      <c r="N298" s="16" t="s">
        <v>914</v>
      </c>
      <c r="O298" s="16" t="s">
        <v>985</v>
      </c>
      <c r="P298" s="16" t="s">
        <v>914</v>
      </c>
      <c r="Q298" s="16" t="s">
        <v>985</v>
      </c>
      <c r="R298" s="16" t="s">
        <v>915</v>
      </c>
      <c r="S298" s="16" t="s">
        <v>915</v>
      </c>
      <c r="T298" s="16" t="s">
        <v>986</v>
      </c>
      <c r="U298" s="16" t="s">
        <v>987</v>
      </c>
      <c r="V298" s="16" t="s">
        <v>916</v>
      </c>
      <c r="W298" s="16" t="s">
        <v>987</v>
      </c>
      <c r="X298" s="16" t="s">
        <v>934</v>
      </c>
      <c r="Y298" s="16" t="s">
        <v>934</v>
      </c>
      <c r="Z298" s="16" t="s">
        <v>935</v>
      </c>
      <c r="DA298" s="405" t="s">
        <v>5</v>
      </c>
      <c r="DB298" s="405" t="s">
        <v>363</v>
      </c>
      <c r="DC298" s="406" t="s">
        <v>85</v>
      </c>
      <c r="DD298" s="405" t="s">
        <v>917</v>
      </c>
      <c r="DE298" s="405" t="s">
        <v>5</v>
      </c>
      <c r="DF298" s="406" t="s">
        <v>85</v>
      </c>
      <c r="DG298" s="407">
        <v>45845</v>
      </c>
      <c r="DH298" s="405" t="s">
        <v>8169</v>
      </c>
      <c r="DI298" s="406">
        <v>465455</v>
      </c>
      <c r="DJ298" s="408">
        <v>5</v>
      </c>
      <c r="DK298" s="405">
        <v>1</v>
      </c>
      <c r="DL298" s="82">
        <v>340.55</v>
      </c>
      <c r="DM298" s="409">
        <v>1.70275</v>
      </c>
      <c r="DN298" s="82" t="s">
        <v>85</v>
      </c>
      <c r="DO298" s="82" t="s">
        <v>85</v>
      </c>
      <c r="DP298" s="410" t="s">
        <v>85</v>
      </c>
    </row>
    <row r="299" spans="1:120" x14ac:dyDescent="0.25">
      <c r="A299" s="16" t="s">
        <v>8172</v>
      </c>
      <c r="B299" s="16" t="s">
        <v>8173</v>
      </c>
      <c r="C299" s="16" t="s">
        <v>8174</v>
      </c>
      <c r="D299" s="16" t="s">
        <v>7705</v>
      </c>
      <c r="E299" s="16" t="s">
        <v>8175</v>
      </c>
      <c r="F299" s="16" t="s">
        <v>8176</v>
      </c>
      <c r="G299" s="16" t="s">
        <v>8177</v>
      </c>
      <c r="H299" s="16" t="s">
        <v>8176</v>
      </c>
      <c r="I299" s="16" t="s">
        <v>1937</v>
      </c>
      <c r="J299" s="16" t="s">
        <v>1036</v>
      </c>
      <c r="K299" s="16" t="s">
        <v>1938</v>
      </c>
      <c r="L299" s="16" t="s">
        <v>85</v>
      </c>
      <c r="M299" s="16" t="s">
        <v>1216</v>
      </c>
      <c r="N299" s="16" t="s">
        <v>914</v>
      </c>
      <c r="O299" s="16" t="s">
        <v>946</v>
      </c>
      <c r="P299" s="16" t="s">
        <v>914</v>
      </c>
      <c r="Q299" s="16" t="s">
        <v>946</v>
      </c>
      <c r="R299" s="16" t="s">
        <v>915</v>
      </c>
      <c r="S299" s="16" t="s">
        <v>915</v>
      </c>
      <c r="T299" s="16" t="s">
        <v>1216</v>
      </c>
      <c r="U299" s="16" t="s">
        <v>1217</v>
      </c>
      <c r="V299" s="16" t="s">
        <v>916</v>
      </c>
      <c r="W299" s="16" t="s">
        <v>1217</v>
      </c>
      <c r="X299" s="16" t="s">
        <v>934</v>
      </c>
      <c r="Y299" s="16" t="s">
        <v>934</v>
      </c>
      <c r="Z299" s="16" t="s">
        <v>935</v>
      </c>
      <c r="DA299" s="405" t="s">
        <v>5</v>
      </c>
      <c r="DB299" s="405" t="s">
        <v>363</v>
      </c>
      <c r="DC299" s="406" t="s">
        <v>85</v>
      </c>
      <c r="DD299" s="405" t="s">
        <v>917</v>
      </c>
      <c r="DE299" s="405" t="s">
        <v>5</v>
      </c>
      <c r="DF299" s="406" t="s">
        <v>85</v>
      </c>
      <c r="DG299" s="407">
        <v>45845</v>
      </c>
      <c r="DH299" s="405" t="s">
        <v>8175</v>
      </c>
      <c r="DI299" s="406">
        <v>465455</v>
      </c>
      <c r="DJ299" s="408">
        <v>5</v>
      </c>
      <c r="DK299" s="405">
        <v>1</v>
      </c>
      <c r="DL299" s="82">
        <v>319.22000000000003</v>
      </c>
      <c r="DM299" s="409">
        <v>1.5961000000000001</v>
      </c>
      <c r="DN299" s="82" t="s">
        <v>85</v>
      </c>
      <c r="DO299" s="82" t="s">
        <v>85</v>
      </c>
      <c r="DP299" s="410" t="s">
        <v>85</v>
      </c>
    </row>
    <row r="300" spans="1:120" x14ac:dyDescent="0.25">
      <c r="A300" s="16" t="s">
        <v>8178</v>
      </c>
      <c r="B300" s="16" t="s">
        <v>8179</v>
      </c>
      <c r="C300" s="16" t="s">
        <v>8180</v>
      </c>
      <c r="D300" s="16" t="s">
        <v>7705</v>
      </c>
      <c r="E300" s="16" t="s">
        <v>8181</v>
      </c>
      <c r="F300" s="16" t="s">
        <v>8182</v>
      </c>
      <c r="G300" s="16" t="s">
        <v>8183</v>
      </c>
      <c r="H300" s="16" t="s">
        <v>8182</v>
      </c>
      <c r="I300" s="16" t="s">
        <v>7512</v>
      </c>
      <c r="J300" s="16" t="s">
        <v>1354</v>
      </c>
      <c r="K300" s="16" t="s">
        <v>7513</v>
      </c>
      <c r="L300" s="16" t="s">
        <v>85</v>
      </c>
      <c r="M300" s="16" t="s">
        <v>945</v>
      </c>
      <c r="N300" s="16" t="s">
        <v>914</v>
      </c>
      <c r="O300" s="16" t="s">
        <v>946</v>
      </c>
      <c r="P300" s="16" t="s">
        <v>914</v>
      </c>
      <c r="Q300" s="16" t="s">
        <v>946</v>
      </c>
      <c r="R300" s="16" t="s">
        <v>915</v>
      </c>
      <c r="S300" s="16" t="s">
        <v>915</v>
      </c>
      <c r="T300" s="16" t="s">
        <v>945</v>
      </c>
      <c r="U300" s="16" t="s">
        <v>947</v>
      </c>
      <c r="V300" s="16" t="s">
        <v>916</v>
      </c>
      <c r="W300" s="16" t="s">
        <v>947</v>
      </c>
      <c r="X300" s="16" t="s">
        <v>934</v>
      </c>
      <c r="Y300" s="16" t="s">
        <v>934</v>
      </c>
      <c r="Z300" s="16" t="s">
        <v>935</v>
      </c>
      <c r="DA300" s="405" t="s">
        <v>5</v>
      </c>
      <c r="DB300" s="405" t="s">
        <v>363</v>
      </c>
      <c r="DC300" s="406" t="s">
        <v>85</v>
      </c>
      <c r="DD300" s="405" t="s">
        <v>917</v>
      </c>
      <c r="DE300" s="405" t="s">
        <v>5</v>
      </c>
      <c r="DF300" s="406" t="s">
        <v>85</v>
      </c>
      <c r="DG300" s="407">
        <v>45845</v>
      </c>
      <c r="DH300" s="405" t="s">
        <v>8181</v>
      </c>
      <c r="DI300" s="406">
        <v>465455</v>
      </c>
      <c r="DJ300" s="408">
        <v>5</v>
      </c>
      <c r="DK300" s="405">
        <v>1</v>
      </c>
      <c r="DL300" s="82">
        <v>319.27</v>
      </c>
      <c r="DM300" s="409">
        <v>1.5963499999999999</v>
      </c>
      <c r="DN300" s="82" t="s">
        <v>85</v>
      </c>
      <c r="DO300" s="82" t="s">
        <v>85</v>
      </c>
      <c r="DP300" s="410" t="s">
        <v>85</v>
      </c>
    </row>
    <row r="301" spans="1:120" x14ac:dyDescent="0.25">
      <c r="A301" s="16" t="s">
        <v>8184</v>
      </c>
      <c r="B301" s="16" t="s">
        <v>8185</v>
      </c>
      <c r="C301" s="16" t="s">
        <v>8186</v>
      </c>
      <c r="D301" s="16" t="s">
        <v>7705</v>
      </c>
      <c r="E301" s="16" t="s">
        <v>8187</v>
      </c>
      <c r="F301" s="16" t="s">
        <v>8188</v>
      </c>
      <c r="G301" s="16" t="s">
        <v>8189</v>
      </c>
      <c r="H301" s="16" t="s">
        <v>8190</v>
      </c>
      <c r="I301" s="16" t="s">
        <v>1465</v>
      </c>
      <c r="J301" s="16" t="s">
        <v>943</v>
      </c>
      <c r="K301" s="16" t="s">
        <v>1466</v>
      </c>
      <c r="L301" s="16" t="s">
        <v>85</v>
      </c>
      <c r="M301" s="16" t="s">
        <v>1759</v>
      </c>
      <c r="N301" s="16" t="s">
        <v>914</v>
      </c>
      <c r="O301" s="16" t="s">
        <v>1760</v>
      </c>
      <c r="P301" s="16" t="s">
        <v>914</v>
      </c>
      <c r="Q301" s="16" t="s">
        <v>1760</v>
      </c>
      <c r="R301" s="16" t="s">
        <v>915</v>
      </c>
      <c r="S301" s="16" t="s">
        <v>915</v>
      </c>
      <c r="T301" s="16" t="s">
        <v>1761</v>
      </c>
      <c r="U301" s="16" t="s">
        <v>1762</v>
      </c>
      <c r="V301" s="16" t="s">
        <v>1763</v>
      </c>
      <c r="W301" s="16" t="s">
        <v>1764</v>
      </c>
      <c r="X301" s="16" t="s">
        <v>934</v>
      </c>
      <c r="Y301" s="16" t="s">
        <v>934</v>
      </c>
      <c r="Z301" s="16" t="s">
        <v>935</v>
      </c>
      <c r="DA301" s="405" t="s">
        <v>5</v>
      </c>
      <c r="DB301" s="405" t="s">
        <v>363</v>
      </c>
      <c r="DC301" s="406" t="s">
        <v>85</v>
      </c>
      <c r="DD301" s="405" t="s">
        <v>917</v>
      </c>
      <c r="DE301" s="405" t="s">
        <v>5</v>
      </c>
      <c r="DF301" s="406" t="s">
        <v>85</v>
      </c>
      <c r="DG301" s="407">
        <v>45845</v>
      </c>
      <c r="DH301" s="405" t="s">
        <v>8187</v>
      </c>
      <c r="DI301" s="406">
        <v>465455</v>
      </c>
      <c r="DJ301" s="408">
        <v>5</v>
      </c>
      <c r="DK301" s="405">
        <v>2</v>
      </c>
      <c r="DL301" s="82">
        <v>340.56</v>
      </c>
      <c r="DM301" s="409">
        <v>1.7028000000000001</v>
      </c>
      <c r="DN301" s="82" t="s">
        <v>85</v>
      </c>
      <c r="DO301" s="82" t="s">
        <v>85</v>
      </c>
      <c r="DP301" s="410" t="s">
        <v>85</v>
      </c>
    </row>
    <row r="302" spans="1:120" x14ac:dyDescent="0.25">
      <c r="A302" s="16" t="s">
        <v>8191</v>
      </c>
      <c r="B302" s="16" t="s">
        <v>8192</v>
      </c>
      <c r="C302" s="16" t="s">
        <v>8193</v>
      </c>
      <c r="D302" s="16" t="s">
        <v>7705</v>
      </c>
      <c r="E302" s="16" t="s">
        <v>8194</v>
      </c>
      <c r="F302" s="16" t="s">
        <v>8195</v>
      </c>
      <c r="G302" s="16" t="s">
        <v>8196</v>
      </c>
      <c r="H302" s="16" t="s">
        <v>8195</v>
      </c>
      <c r="I302" s="16" t="s">
        <v>1057</v>
      </c>
      <c r="J302" s="16" t="s">
        <v>943</v>
      </c>
      <c r="K302" s="16" t="s">
        <v>1058</v>
      </c>
      <c r="L302" s="16" t="s">
        <v>85</v>
      </c>
      <c r="M302" s="16" t="s">
        <v>984</v>
      </c>
      <c r="N302" s="16" t="s">
        <v>914</v>
      </c>
      <c r="O302" s="16" t="s">
        <v>985</v>
      </c>
      <c r="P302" s="16" t="s">
        <v>914</v>
      </c>
      <c r="Q302" s="16" t="s">
        <v>985</v>
      </c>
      <c r="R302" s="16" t="s">
        <v>915</v>
      </c>
      <c r="S302" s="16" t="s">
        <v>915</v>
      </c>
      <c r="T302" s="16" t="s">
        <v>986</v>
      </c>
      <c r="U302" s="16" t="s">
        <v>987</v>
      </c>
      <c r="V302" s="16" t="s">
        <v>916</v>
      </c>
      <c r="W302" s="16" t="s">
        <v>987</v>
      </c>
      <c r="X302" s="16" t="s">
        <v>934</v>
      </c>
      <c r="Y302" s="16" t="s">
        <v>934</v>
      </c>
      <c r="Z302" s="16" t="s">
        <v>935</v>
      </c>
      <c r="DA302" s="405" t="s">
        <v>5</v>
      </c>
      <c r="DB302" s="405" t="s">
        <v>363</v>
      </c>
      <c r="DC302" s="406" t="s">
        <v>85</v>
      </c>
      <c r="DD302" s="405" t="s">
        <v>917</v>
      </c>
      <c r="DE302" s="405" t="s">
        <v>5</v>
      </c>
      <c r="DF302" s="406" t="s">
        <v>85</v>
      </c>
      <c r="DG302" s="407">
        <v>45845</v>
      </c>
      <c r="DH302" s="405" t="s">
        <v>8194</v>
      </c>
      <c r="DI302" s="406">
        <v>465455</v>
      </c>
      <c r="DJ302" s="408">
        <v>5</v>
      </c>
      <c r="DK302" s="405">
        <v>1</v>
      </c>
      <c r="DL302" s="82">
        <v>340.55</v>
      </c>
      <c r="DM302" s="409">
        <v>1.70275</v>
      </c>
      <c r="DN302" s="82" t="s">
        <v>85</v>
      </c>
      <c r="DO302" s="82" t="s">
        <v>85</v>
      </c>
      <c r="DP302" s="410" t="s">
        <v>85</v>
      </c>
    </row>
    <row r="303" spans="1:120" x14ac:dyDescent="0.25">
      <c r="A303" s="16" t="s">
        <v>8197</v>
      </c>
      <c r="B303" s="16" t="s">
        <v>8198</v>
      </c>
      <c r="C303" s="16" t="s">
        <v>8199</v>
      </c>
      <c r="D303" s="16" t="s">
        <v>7705</v>
      </c>
      <c r="E303" s="16" t="s">
        <v>8200</v>
      </c>
      <c r="F303" s="16" t="s">
        <v>8201</v>
      </c>
      <c r="G303" s="16" t="s">
        <v>8202</v>
      </c>
      <c r="H303" s="16" t="s">
        <v>8203</v>
      </c>
      <c r="I303" s="16" t="s">
        <v>1214</v>
      </c>
      <c r="J303" s="16" t="s">
        <v>1036</v>
      </c>
      <c r="K303" s="16" t="s">
        <v>1215</v>
      </c>
      <c r="L303" s="16" t="s">
        <v>85</v>
      </c>
      <c r="M303" s="16" t="s">
        <v>1216</v>
      </c>
      <c r="N303" s="16" t="s">
        <v>914</v>
      </c>
      <c r="O303" s="16" t="s">
        <v>946</v>
      </c>
      <c r="P303" s="16" t="s">
        <v>914</v>
      </c>
      <c r="Q303" s="16" t="s">
        <v>946</v>
      </c>
      <c r="R303" s="16" t="s">
        <v>915</v>
      </c>
      <c r="S303" s="16" t="s">
        <v>915</v>
      </c>
      <c r="T303" s="16" t="s">
        <v>1216</v>
      </c>
      <c r="U303" s="16" t="s">
        <v>1217</v>
      </c>
      <c r="V303" s="16" t="s">
        <v>916</v>
      </c>
      <c r="W303" s="16" t="s">
        <v>1217</v>
      </c>
      <c r="X303" s="16" t="s">
        <v>934</v>
      </c>
      <c r="Y303" s="16" t="s">
        <v>934</v>
      </c>
      <c r="Z303" s="16" t="s">
        <v>935</v>
      </c>
      <c r="DA303" s="405" t="s">
        <v>5</v>
      </c>
      <c r="DB303" s="405" t="s">
        <v>363</v>
      </c>
      <c r="DC303" s="406" t="s">
        <v>85</v>
      </c>
      <c r="DD303" s="405" t="s">
        <v>917</v>
      </c>
      <c r="DE303" s="405" t="s">
        <v>5</v>
      </c>
      <c r="DF303" s="406" t="s">
        <v>85</v>
      </c>
      <c r="DG303" s="407">
        <v>45845</v>
      </c>
      <c r="DH303" s="405" t="s">
        <v>8200</v>
      </c>
      <c r="DI303" s="406">
        <v>465455</v>
      </c>
      <c r="DJ303" s="408">
        <v>5</v>
      </c>
      <c r="DK303" s="405">
        <v>1</v>
      </c>
      <c r="DL303" s="82">
        <v>319.22000000000003</v>
      </c>
      <c r="DM303" s="409">
        <v>1.5961000000000001</v>
      </c>
      <c r="DN303" s="82" t="s">
        <v>85</v>
      </c>
      <c r="DO303" s="82" t="s">
        <v>85</v>
      </c>
      <c r="DP303" s="410" t="s">
        <v>85</v>
      </c>
    </row>
    <row r="304" spans="1:120" x14ac:dyDescent="0.25">
      <c r="A304" s="16" t="s">
        <v>8204</v>
      </c>
      <c r="B304" s="16" t="s">
        <v>8205</v>
      </c>
      <c r="C304" s="16" t="s">
        <v>8206</v>
      </c>
      <c r="D304" s="16" t="s">
        <v>7705</v>
      </c>
      <c r="E304" s="16" t="s">
        <v>8207</v>
      </c>
      <c r="F304" s="16" t="s">
        <v>8208</v>
      </c>
      <c r="G304" s="16" t="s">
        <v>8209</v>
      </c>
      <c r="H304" s="16" t="s">
        <v>8210</v>
      </c>
      <c r="I304" s="16" t="s">
        <v>1099</v>
      </c>
      <c r="J304" s="16" t="s">
        <v>943</v>
      </c>
      <c r="K304" s="16" t="s">
        <v>1100</v>
      </c>
      <c r="L304" s="16" t="s">
        <v>85</v>
      </c>
      <c r="M304" s="16" t="s">
        <v>984</v>
      </c>
      <c r="N304" s="16" t="s">
        <v>914</v>
      </c>
      <c r="O304" s="16" t="s">
        <v>985</v>
      </c>
      <c r="P304" s="16" t="s">
        <v>914</v>
      </c>
      <c r="Q304" s="16" t="s">
        <v>985</v>
      </c>
      <c r="R304" s="16" t="s">
        <v>915</v>
      </c>
      <c r="S304" s="16" t="s">
        <v>915</v>
      </c>
      <c r="T304" s="16" t="s">
        <v>986</v>
      </c>
      <c r="U304" s="16" t="s">
        <v>987</v>
      </c>
      <c r="V304" s="16" t="s">
        <v>916</v>
      </c>
      <c r="W304" s="16" t="s">
        <v>987</v>
      </c>
      <c r="X304" s="16" t="s">
        <v>934</v>
      </c>
      <c r="Y304" s="16" t="s">
        <v>934</v>
      </c>
      <c r="Z304" s="16" t="s">
        <v>935</v>
      </c>
      <c r="DA304" s="405" t="s">
        <v>5</v>
      </c>
      <c r="DB304" s="405" t="s">
        <v>363</v>
      </c>
      <c r="DC304" s="406" t="s">
        <v>85</v>
      </c>
      <c r="DD304" s="405" t="s">
        <v>917</v>
      </c>
      <c r="DE304" s="405" t="s">
        <v>5</v>
      </c>
      <c r="DF304" s="406" t="s">
        <v>85</v>
      </c>
      <c r="DG304" s="407">
        <v>45845</v>
      </c>
      <c r="DH304" s="405" t="s">
        <v>8207</v>
      </c>
      <c r="DI304" s="406">
        <v>465455</v>
      </c>
      <c r="DJ304" s="408">
        <v>5</v>
      </c>
      <c r="DK304" s="405">
        <v>1</v>
      </c>
      <c r="DL304" s="82">
        <v>340.55</v>
      </c>
      <c r="DM304" s="409">
        <v>1.70275</v>
      </c>
      <c r="DN304" s="82" t="s">
        <v>85</v>
      </c>
      <c r="DO304" s="82" t="s">
        <v>85</v>
      </c>
      <c r="DP304" s="410" t="s">
        <v>85</v>
      </c>
    </row>
    <row r="305" spans="1:120" x14ac:dyDescent="0.25">
      <c r="A305" s="16" t="s">
        <v>8211</v>
      </c>
      <c r="B305" s="16" t="s">
        <v>8212</v>
      </c>
      <c r="C305" s="16" t="s">
        <v>8213</v>
      </c>
      <c r="D305" s="16" t="s">
        <v>7705</v>
      </c>
      <c r="E305" s="16" t="s">
        <v>8214</v>
      </c>
      <c r="F305" s="16" t="s">
        <v>8215</v>
      </c>
      <c r="G305" s="16" t="s">
        <v>8216</v>
      </c>
      <c r="H305" s="16" t="s">
        <v>8215</v>
      </c>
      <c r="I305" s="16" t="s">
        <v>1406</v>
      </c>
      <c r="J305" s="16" t="s">
        <v>1359</v>
      </c>
      <c r="K305" s="16" t="s">
        <v>1407</v>
      </c>
      <c r="L305" s="16" t="s">
        <v>85</v>
      </c>
      <c r="M305" s="16" t="s">
        <v>1350</v>
      </c>
      <c r="N305" s="16" t="s">
        <v>914</v>
      </c>
      <c r="O305" s="16" t="s">
        <v>1351</v>
      </c>
      <c r="P305" s="16" t="s">
        <v>914</v>
      </c>
      <c r="Q305" s="16" t="s">
        <v>1351</v>
      </c>
      <c r="R305" s="16" t="s">
        <v>915</v>
      </c>
      <c r="S305" s="16" t="s">
        <v>915</v>
      </c>
      <c r="T305" s="16" t="s">
        <v>1352</v>
      </c>
      <c r="U305" s="16" t="s">
        <v>1353</v>
      </c>
      <c r="V305" s="16" t="s">
        <v>916</v>
      </c>
      <c r="W305" s="16" t="s">
        <v>1353</v>
      </c>
      <c r="X305" s="16" t="s">
        <v>934</v>
      </c>
      <c r="Y305" s="16" t="s">
        <v>934</v>
      </c>
      <c r="Z305" s="16" t="s">
        <v>935</v>
      </c>
      <c r="DA305" s="405" t="s">
        <v>5</v>
      </c>
      <c r="DB305" s="405" t="s">
        <v>363</v>
      </c>
      <c r="DC305" s="406" t="s">
        <v>85</v>
      </c>
      <c r="DD305" s="405" t="s">
        <v>917</v>
      </c>
      <c r="DE305" s="405" t="s">
        <v>5</v>
      </c>
      <c r="DF305" s="406" t="s">
        <v>85</v>
      </c>
      <c r="DG305" s="407">
        <v>45845</v>
      </c>
      <c r="DH305" s="405" t="s">
        <v>8214</v>
      </c>
      <c r="DI305" s="406">
        <v>465455</v>
      </c>
      <c r="DJ305" s="408">
        <v>5</v>
      </c>
      <c r="DK305" s="405">
        <v>1</v>
      </c>
      <c r="DL305" s="82">
        <v>303.3</v>
      </c>
      <c r="DM305" s="409">
        <v>1.5165000000000002</v>
      </c>
      <c r="DN305" s="82" t="s">
        <v>85</v>
      </c>
      <c r="DO305" s="82" t="s">
        <v>85</v>
      </c>
      <c r="DP305" s="410" t="s">
        <v>85</v>
      </c>
    </row>
    <row r="306" spans="1:120" x14ac:dyDescent="0.25">
      <c r="A306" s="16" t="s">
        <v>8217</v>
      </c>
      <c r="B306" s="16" t="s">
        <v>8218</v>
      </c>
      <c r="C306" s="16" t="s">
        <v>8219</v>
      </c>
      <c r="D306" s="16" t="s">
        <v>7705</v>
      </c>
      <c r="E306" s="16" t="s">
        <v>8220</v>
      </c>
      <c r="F306" s="16" t="s">
        <v>8221</v>
      </c>
      <c r="G306" s="16" t="s">
        <v>8222</v>
      </c>
      <c r="H306" s="16" t="s">
        <v>8221</v>
      </c>
      <c r="I306" s="16" t="s">
        <v>7054</v>
      </c>
      <c r="J306" s="16" t="s">
        <v>1520</v>
      </c>
      <c r="K306" s="16" t="s">
        <v>7055</v>
      </c>
      <c r="L306" s="16" t="s">
        <v>85</v>
      </c>
      <c r="M306" s="16" t="s">
        <v>1522</v>
      </c>
      <c r="N306" s="16" t="s">
        <v>914</v>
      </c>
      <c r="O306" s="16" t="s">
        <v>1523</v>
      </c>
      <c r="P306" s="16" t="s">
        <v>914</v>
      </c>
      <c r="Q306" s="16" t="s">
        <v>1523</v>
      </c>
      <c r="R306" s="16" t="s">
        <v>915</v>
      </c>
      <c r="S306" s="16" t="s">
        <v>915</v>
      </c>
      <c r="T306" s="16" t="s">
        <v>1524</v>
      </c>
      <c r="U306" s="16" t="s">
        <v>1525</v>
      </c>
      <c r="V306" s="16" t="s">
        <v>916</v>
      </c>
      <c r="W306" s="16" t="s">
        <v>1525</v>
      </c>
      <c r="X306" s="16" t="s">
        <v>934</v>
      </c>
      <c r="Y306" s="16" t="s">
        <v>934</v>
      </c>
      <c r="Z306" s="16" t="s">
        <v>935</v>
      </c>
      <c r="DA306" s="405" t="s">
        <v>5</v>
      </c>
      <c r="DB306" s="405" t="s">
        <v>363</v>
      </c>
      <c r="DC306" s="406" t="s">
        <v>85</v>
      </c>
      <c r="DD306" s="405" t="s">
        <v>917</v>
      </c>
      <c r="DE306" s="405" t="s">
        <v>5</v>
      </c>
      <c r="DF306" s="406" t="s">
        <v>85</v>
      </c>
      <c r="DG306" s="407">
        <v>45845</v>
      </c>
      <c r="DH306" s="405" t="s">
        <v>8220</v>
      </c>
      <c r="DI306" s="406">
        <v>465455</v>
      </c>
      <c r="DJ306" s="408">
        <v>5</v>
      </c>
      <c r="DK306" s="405">
        <v>1</v>
      </c>
      <c r="DL306" s="82">
        <v>186.15</v>
      </c>
      <c r="DM306" s="409">
        <v>0.93075000000000008</v>
      </c>
      <c r="DN306" s="82" t="s">
        <v>85</v>
      </c>
      <c r="DO306" s="82" t="s">
        <v>85</v>
      </c>
      <c r="DP306" s="410" t="s">
        <v>85</v>
      </c>
    </row>
    <row r="307" spans="1:120" x14ac:dyDescent="0.25">
      <c r="A307" s="16" t="s">
        <v>8223</v>
      </c>
      <c r="B307" s="16" t="s">
        <v>8224</v>
      </c>
      <c r="C307" s="16" t="s">
        <v>8225</v>
      </c>
      <c r="D307" s="16" t="s">
        <v>7705</v>
      </c>
      <c r="E307" s="16" t="s">
        <v>8226</v>
      </c>
      <c r="F307" s="16" t="s">
        <v>8227</v>
      </c>
      <c r="G307" s="16" t="s">
        <v>8228</v>
      </c>
      <c r="H307" s="16" t="s">
        <v>8229</v>
      </c>
      <c r="I307" s="16" t="s">
        <v>1017</v>
      </c>
      <c r="J307" s="16" t="s">
        <v>995</v>
      </c>
      <c r="K307" s="16" t="s">
        <v>1018</v>
      </c>
      <c r="L307" s="16" t="s">
        <v>85</v>
      </c>
      <c r="M307" s="16" t="s">
        <v>1165</v>
      </c>
      <c r="N307" s="16" t="s">
        <v>914</v>
      </c>
      <c r="O307" s="16" t="s">
        <v>1166</v>
      </c>
      <c r="P307" s="16" t="s">
        <v>914</v>
      </c>
      <c r="Q307" s="16" t="s">
        <v>1166</v>
      </c>
      <c r="R307" s="16" t="s">
        <v>915</v>
      </c>
      <c r="S307" s="16" t="s">
        <v>915</v>
      </c>
      <c r="T307" s="16" t="s">
        <v>1167</v>
      </c>
      <c r="U307" s="16" t="s">
        <v>1168</v>
      </c>
      <c r="V307" s="16" t="s">
        <v>916</v>
      </c>
      <c r="W307" s="16" t="s">
        <v>1168</v>
      </c>
      <c r="X307" s="16" t="s">
        <v>934</v>
      </c>
      <c r="Y307" s="16" t="s">
        <v>934</v>
      </c>
      <c r="Z307" s="16" t="s">
        <v>935</v>
      </c>
      <c r="DA307" s="405" t="s">
        <v>5</v>
      </c>
      <c r="DB307" s="405" t="s">
        <v>363</v>
      </c>
      <c r="DC307" s="406" t="s">
        <v>85</v>
      </c>
      <c r="DD307" s="405" t="s">
        <v>917</v>
      </c>
      <c r="DE307" s="405" t="s">
        <v>5</v>
      </c>
      <c r="DF307" s="406" t="s">
        <v>85</v>
      </c>
      <c r="DG307" s="407">
        <v>45845</v>
      </c>
      <c r="DH307" s="405" t="s">
        <v>8226</v>
      </c>
      <c r="DI307" s="406">
        <v>465455</v>
      </c>
      <c r="DJ307" s="408">
        <v>5</v>
      </c>
      <c r="DK307" s="405">
        <v>1</v>
      </c>
      <c r="DL307" s="82">
        <v>468.28</v>
      </c>
      <c r="DM307" s="409">
        <v>2.3413999999999997</v>
      </c>
      <c r="DN307" s="82" t="s">
        <v>85</v>
      </c>
      <c r="DO307" s="82" t="s">
        <v>85</v>
      </c>
      <c r="DP307" s="410" t="s">
        <v>85</v>
      </c>
    </row>
    <row r="308" spans="1:120" x14ac:dyDescent="0.25">
      <c r="A308" s="16" t="s">
        <v>8230</v>
      </c>
      <c r="B308" s="16" t="s">
        <v>8231</v>
      </c>
      <c r="C308" s="16" t="s">
        <v>8232</v>
      </c>
      <c r="D308" s="16" t="s">
        <v>7705</v>
      </c>
      <c r="E308" s="16" t="s">
        <v>8233</v>
      </c>
      <c r="F308" s="16" t="s">
        <v>8234</v>
      </c>
      <c r="G308" s="16" t="s">
        <v>8235</v>
      </c>
      <c r="H308" s="16" t="s">
        <v>8236</v>
      </c>
      <c r="I308" s="16" t="s">
        <v>1494</v>
      </c>
      <c r="J308" s="16" t="s">
        <v>943</v>
      </c>
      <c r="K308" s="16" t="s">
        <v>1495</v>
      </c>
      <c r="L308" s="16" t="s">
        <v>85</v>
      </c>
      <c r="M308" s="16" t="s">
        <v>984</v>
      </c>
      <c r="N308" s="16" t="s">
        <v>914</v>
      </c>
      <c r="O308" s="16" t="s">
        <v>985</v>
      </c>
      <c r="P308" s="16" t="s">
        <v>914</v>
      </c>
      <c r="Q308" s="16" t="s">
        <v>985</v>
      </c>
      <c r="R308" s="16" t="s">
        <v>915</v>
      </c>
      <c r="S308" s="16" t="s">
        <v>915</v>
      </c>
      <c r="T308" s="16" t="s">
        <v>986</v>
      </c>
      <c r="U308" s="16" t="s">
        <v>987</v>
      </c>
      <c r="V308" s="16" t="s">
        <v>916</v>
      </c>
      <c r="W308" s="16" t="s">
        <v>987</v>
      </c>
      <c r="X308" s="16" t="s">
        <v>934</v>
      </c>
      <c r="Y308" s="16" t="s">
        <v>934</v>
      </c>
      <c r="Z308" s="16" t="s">
        <v>935</v>
      </c>
      <c r="DA308" s="405" t="s">
        <v>5</v>
      </c>
      <c r="DB308" s="405" t="s">
        <v>363</v>
      </c>
      <c r="DC308" s="406" t="s">
        <v>85</v>
      </c>
      <c r="DD308" s="405" t="s">
        <v>917</v>
      </c>
      <c r="DE308" s="405" t="s">
        <v>5</v>
      </c>
      <c r="DF308" s="406" t="s">
        <v>85</v>
      </c>
      <c r="DG308" s="407">
        <v>45845</v>
      </c>
      <c r="DH308" s="405" t="s">
        <v>8233</v>
      </c>
      <c r="DI308" s="406">
        <v>465455</v>
      </c>
      <c r="DJ308" s="408">
        <v>5</v>
      </c>
      <c r="DK308" s="405">
        <v>1</v>
      </c>
      <c r="DL308" s="82">
        <v>340.55</v>
      </c>
      <c r="DM308" s="409">
        <v>1.70275</v>
      </c>
      <c r="DN308" s="82" t="s">
        <v>85</v>
      </c>
      <c r="DO308" s="82" t="s">
        <v>85</v>
      </c>
      <c r="DP308" s="410" t="s">
        <v>85</v>
      </c>
    </row>
    <row r="309" spans="1:120" x14ac:dyDescent="0.25">
      <c r="A309" s="16" t="s">
        <v>8230</v>
      </c>
      <c r="B309" s="16" t="s">
        <v>8231</v>
      </c>
      <c r="C309" s="16" t="s">
        <v>8232</v>
      </c>
      <c r="D309" s="16" t="s">
        <v>7705</v>
      </c>
      <c r="E309" s="16" t="s">
        <v>8233</v>
      </c>
      <c r="F309" s="16" t="s">
        <v>8234</v>
      </c>
      <c r="G309" s="16" t="s">
        <v>8235</v>
      </c>
      <c r="H309" s="16" t="s">
        <v>8236</v>
      </c>
      <c r="I309" s="16" t="s">
        <v>2136</v>
      </c>
      <c r="J309" s="16" t="s">
        <v>943</v>
      </c>
      <c r="K309" s="16" t="s">
        <v>2137</v>
      </c>
      <c r="L309" s="16" t="s">
        <v>85</v>
      </c>
      <c r="M309" s="16" t="s">
        <v>984</v>
      </c>
      <c r="N309" s="16" t="s">
        <v>914</v>
      </c>
      <c r="O309" s="16" t="s">
        <v>985</v>
      </c>
      <c r="P309" s="16" t="s">
        <v>914</v>
      </c>
      <c r="Q309" s="16" t="s">
        <v>985</v>
      </c>
      <c r="R309" s="16" t="s">
        <v>915</v>
      </c>
      <c r="S309" s="16" t="s">
        <v>915</v>
      </c>
      <c r="T309" s="16" t="s">
        <v>986</v>
      </c>
      <c r="U309" s="16" t="s">
        <v>987</v>
      </c>
      <c r="V309" s="16" t="s">
        <v>916</v>
      </c>
      <c r="W309" s="16" t="s">
        <v>987</v>
      </c>
      <c r="X309" s="16" t="s">
        <v>934</v>
      </c>
      <c r="Y309" s="16" t="s">
        <v>934</v>
      </c>
      <c r="Z309" s="16" t="s">
        <v>935</v>
      </c>
      <c r="DA309" s="405" t="s">
        <v>5</v>
      </c>
      <c r="DB309" s="405" t="s">
        <v>363</v>
      </c>
      <c r="DC309" s="406" t="s">
        <v>85</v>
      </c>
      <c r="DD309" s="405" t="s">
        <v>917</v>
      </c>
      <c r="DE309" s="405" t="s">
        <v>5</v>
      </c>
      <c r="DF309" s="406" t="s">
        <v>85</v>
      </c>
      <c r="DG309" s="407">
        <v>45845</v>
      </c>
      <c r="DH309" s="405" t="s">
        <v>8233</v>
      </c>
      <c r="DI309" s="406">
        <v>465455</v>
      </c>
      <c r="DJ309" s="408">
        <v>5</v>
      </c>
      <c r="DK309" s="405">
        <v>1</v>
      </c>
      <c r="DL309" s="82">
        <v>340.55</v>
      </c>
      <c r="DM309" s="409">
        <v>1.70275</v>
      </c>
      <c r="DN309" s="82" t="s">
        <v>85</v>
      </c>
      <c r="DO309" s="82" t="s">
        <v>85</v>
      </c>
      <c r="DP309" s="410" t="s">
        <v>85</v>
      </c>
    </row>
    <row r="310" spans="1:120" x14ac:dyDescent="0.25">
      <c r="A310" s="16" t="s">
        <v>8237</v>
      </c>
      <c r="B310" s="16" t="s">
        <v>8238</v>
      </c>
      <c r="C310" s="16" t="s">
        <v>8239</v>
      </c>
      <c r="D310" s="16" t="s">
        <v>7705</v>
      </c>
      <c r="E310" s="16" t="s">
        <v>8240</v>
      </c>
      <c r="F310" s="16" t="s">
        <v>8241</v>
      </c>
      <c r="G310" s="16" t="s">
        <v>8242</v>
      </c>
      <c r="H310" s="16" t="s">
        <v>8243</v>
      </c>
      <c r="I310" s="16" t="s">
        <v>6965</v>
      </c>
      <c r="J310" s="16" t="s">
        <v>1123</v>
      </c>
      <c r="K310" s="16" t="s">
        <v>6966</v>
      </c>
      <c r="L310" s="16" t="s">
        <v>85</v>
      </c>
      <c r="M310" s="16" t="s">
        <v>1238</v>
      </c>
      <c r="N310" s="16" t="s">
        <v>914</v>
      </c>
      <c r="O310" s="16" t="s">
        <v>1239</v>
      </c>
      <c r="P310" s="16" t="s">
        <v>914</v>
      </c>
      <c r="Q310" s="16" t="s">
        <v>1239</v>
      </c>
      <c r="R310" s="16" t="s">
        <v>915</v>
      </c>
      <c r="S310" s="16" t="s">
        <v>915</v>
      </c>
      <c r="T310" s="16" t="s">
        <v>1238</v>
      </c>
      <c r="U310" s="16" t="s">
        <v>1240</v>
      </c>
      <c r="V310" s="16" t="s">
        <v>916</v>
      </c>
      <c r="W310" s="16" t="s">
        <v>1240</v>
      </c>
      <c r="X310" s="16" t="s">
        <v>934</v>
      </c>
      <c r="Y310" s="16" t="s">
        <v>934</v>
      </c>
      <c r="Z310" s="16" t="s">
        <v>935</v>
      </c>
      <c r="DA310" s="405" t="s">
        <v>5</v>
      </c>
      <c r="DB310" s="405" t="s">
        <v>363</v>
      </c>
      <c r="DC310" s="406" t="s">
        <v>85</v>
      </c>
      <c r="DD310" s="405" t="s">
        <v>917</v>
      </c>
      <c r="DE310" s="405" t="s">
        <v>5</v>
      </c>
      <c r="DF310" s="406" t="s">
        <v>85</v>
      </c>
      <c r="DG310" s="407">
        <v>45845</v>
      </c>
      <c r="DH310" s="405" t="s">
        <v>8240</v>
      </c>
      <c r="DI310" s="406">
        <v>465455</v>
      </c>
      <c r="DJ310" s="408">
        <v>5</v>
      </c>
      <c r="DK310" s="405">
        <v>1</v>
      </c>
      <c r="DL310" s="82">
        <v>383.16</v>
      </c>
      <c r="DM310" s="409">
        <v>1.9158000000000002</v>
      </c>
      <c r="DN310" s="82" t="s">
        <v>85</v>
      </c>
      <c r="DO310" s="82" t="s">
        <v>85</v>
      </c>
      <c r="DP310" s="410" t="s">
        <v>85</v>
      </c>
    </row>
    <row r="311" spans="1:120" x14ac:dyDescent="0.25">
      <c r="A311" s="16" t="s">
        <v>8244</v>
      </c>
      <c r="B311" s="16" t="s">
        <v>8245</v>
      </c>
      <c r="C311" s="16" t="s">
        <v>8246</v>
      </c>
      <c r="D311" s="16" t="s">
        <v>7705</v>
      </c>
      <c r="E311" s="16" t="s">
        <v>8247</v>
      </c>
      <c r="F311" s="16" t="s">
        <v>8248</v>
      </c>
      <c r="G311" s="16" t="s">
        <v>8249</v>
      </c>
      <c r="H311" s="16" t="s">
        <v>8248</v>
      </c>
      <c r="I311" s="16" t="s">
        <v>2898</v>
      </c>
      <c r="J311" s="16" t="s">
        <v>943</v>
      </c>
      <c r="K311" s="16" t="s">
        <v>2899</v>
      </c>
      <c r="L311" s="16" t="s">
        <v>85</v>
      </c>
      <c r="M311" s="16" t="s">
        <v>984</v>
      </c>
      <c r="N311" s="16" t="s">
        <v>914</v>
      </c>
      <c r="O311" s="16" t="s">
        <v>985</v>
      </c>
      <c r="P311" s="16" t="s">
        <v>914</v>
      </c>
      <c r="Q311" s="16" t="s">
        <v>985</v>
      </c>
      <c r="R311" s="16" t="s">
        <v>915</v>
      </c>
      <c r="S311" s="16" t="s">
        <v>915</v>
      </c>
      <c r="T311" s="16" t="s">
        <v>986</v>
      </c>
      <c r="U311" s="16" t="s">
        <v>987</v>
      </c>
      <c r="V311" s="16" t="s">
        <v>916</v>
      </c>
      <c r="W311" s="16" t="s">
        <v>987</v>
      </c>
      <c r="X311" s="16" t="s">
        <v>934</v>
      </c>
      <c r="Y311" s="16" t="s">
        <v>934</v>
      </c>
      <c r="Z311" s="16" t="s">
        <v>935</v>
      </c>
      <c r="DA311" s="405" t="s">
        <v>5</v>
      </c>
      <c r="DB311" s="405" t="s">
        <v>363</v>
      </c>
      <c r="DC311" s="406" t="s">
        <v>85</v>
      </c>
      <c r="DD311" s="405" t="s">
        <v>917</v>
      </c>
      <c r="DE311" s="405" t="s">
        <v>5</v>
      </c>
      <c r="DF311" s="406" t="s">
        <v>85</v>
      </c>
      <c r="DG311" s="407">
        <v>45845</v>
      </c>
      <c r="DH311" s="405" t="s">
        <v>8247</v>
      </c>
      <c r="DI311" s="406">
        <v>465455</v>
      </c>
      <c r="DJ311" s="408">
        <v>5</v>
      </c>
      <c r="DK311" s="405">
        <v>1</v>
      </c>
      <c r="DL311" s="82">
        <v>340.55</v>
      </c>
      <c r="DM311" s="409">
        <v>1.70275</v>
      </c>
      <c r="DN311" s="82" t="s">
        <v>85</v>
      </c>
      <c r="DO311" s="82" t="s">
        <v>85</v>
      </c>
      <c r="DP311" s="410" t="s">
        <v>85</v>
      </c>
    </row>
    <row r="312" spans="1:120" x14ac:dyDescent="0.25">
      <c r="A312" s="16" t="s">
        <v>8250</v>
      </c>
      <c r="B312" s="16" t="s">
        <v>8251</v>
      </c>
      <c r="C312" s="16" t="s">
        <v>8252</v>
      </c>
      <c r="D312" s="16" t="s">
        <v>7705</v>
      </c>
      <c r="E312" s="16" t="s">
        <v>8253</v>
      </c>
      <c r="F312" s="16" t="s">
        <v>8254</v>
      </c>
      <c r="G312" s="16" t="s">
        <v>8255</v>
      </c>
      <c r="H312" s="16" t="s">
        <v>8254</v>
      </c>
      <c r="I312" s="16" t="s">
        <v>1386</v>
      </c>
      <c r="J312" s="16" t="s">
        <v>1109</v>
      </c>
      <c r="K312" s="16" t="s">
        <v>1387</v>
      </c>
      <c r="L312" s="16" t="s">
        <v>85</v>
      </c>
      <c r="M312" s="16" t="s">
        <v>1311</v>
      </c>
      <c r="N312" s="16" t="s">
        <v>914</v>
      </c>
      <c r="O312" s="16" t="s">
        <v>1312</v>
      </c>
      <c r="P312" s="16" t="s">
        <v>914</v>
      </c>
      <c r="Q312" s="16" t="s">
        <v>1312</v>
      </c>
      <c r="R312" s="16" t="s">
        <v>915</v>
      </c>
      <c r="S312" s="16" t="s">
        <v>915</v>
      </c>
      <c r="T312" s="16" t="s">
        <v>1311</v>
      </c>
      <c r="U312" s="16" t="s">
        <v>1313</v>
      </c>
      <c r="V312" s="16" t="s">
        <v>916</v>
      </c>
      <c r="W312" s="16" t="s">
        <v>1313</v>
      </c>
      <c r="X312" s="16" t="s">
        <v>934</v>
      </c>
      <c r="Y312" s="16" t="s">
        <v>934</v>
      </c>
      <c r="Z312" s="16" t="s">
        <v>935</v>
      </c>
      <c r="DA312" s="405" t="s">
        <v>5</v>
      </c>
      <c r="DB312" s="405" t="s">
        <v>363</v>
      </c>
      <c r="DC312" s="406" t="s">
        <v>85</v>
      </c>
      <c r="DD312" s="405" t="s">
        <v>917</v>
      </c>
      <c r="DE312" s="405" t="s">
        <v>5</v>
      </c>
      <c r="DF312" s="406" t="s">
        <v>85</v>
      </c>
      <c r="DG312" s="407">
        <v>45845</v>
      </c>
      <c r="DH312" s="405" t="s">
        <v>8253</v>
      </c>
      <c r="DI312" s="406">
        <v>465455</v>
      </c>
      <c r="DJ312" s="408">
        <v>5</v>
      </c>
      <c r="DK312" s="405">
        <v>1</v>
      </c>
      <c r="DL312" s="82">
        <v>531.54</v>
      </c>
      <c r="DM312" s="409">
        <v>2.6576999999999997</v>
      </c>
      <c r="DN312" s="82" t="s">
        <v>85</v>
      </c>
      <c r="DO312" s="82" t="s">
        <v>85</v>
      </c>
      <c r="DP312" s="410" t="s">
        <v>85</v>
      </c>
    </row>
    <row r="313" spans="1:120" x14ac:dyDescent="0.25">
      <c r="A313" s="16" t="s">
        <v>8256</v>
      </c>
      <c r="B313" s="16" t="s">
        <v>8257</v>
      </c>
      <c r="C313" s="16" t="s">
        <v>8258</v>
      </c>
      <c r="D313" s="16" t="s">
        <v>7705</v>
      </c>
      <c r="E313" s="16" t="s">
        <v>8259</v>
      </c>
      <c r="F313" s="16" t="s">
        <v>8260</v>
      </c>
      <c r="G313" s="16" t="s">
        <v>8261</v>
      </c>
      <c r="H313" s="16" t="s">
        <v>8262</v>
      </c>
      <c r="I313" s="16" t="s">
        <v>1456</v>
      </c>
      <c r="J313" s="16" t="s">
        <v>928</v>
      </c>
      <c r="K313" s="16" t="s">
        <v>1457</v>
      </c>
      <c r="L313" s="16" t="s">
        <v>85</v>
      </c>
      <c r="M313" s="16" t="s">
        <v>1322</v>
      </c>
      <c r="N313" s="16" t="s">
        <v>914</v>
      </c>
      <c r="O313" s="16" t="s">
        <v>1323</v>
      </c>
      <c r="P313" s="16" t="s">
        <v>914</v>
      </c>
      <c r="Q313" s="16" t="s">
        <v>1323</v>
      </c>
      <c r="R313" s="16" t="s">
        <v>915</v>
      </c>
      <c r="S313" s="16" t="s">
        <v>915</v>
      </c>
      <c r="T313" s="16" t="s">
        <v>1322</v>
      </c>
      <c r="U313" s="16" t="s">
        <v>1324</v>
      </c>
      <c r="V313" s="16" t="s">
        <v>916</v>
      </c>
      <c r="W313" s="16" t="s">
        <v>1324</v>
      </c>
      <c r="X313" s="16" t="s">
        <v>934</v>
      </c>
      <c r="Y313" s="16" t="s">
        <v>934</v>
      </c>
      <c r="Z313" s="16" t="s">
        <v>935</v>
      </c>
      <c r="DA313" s="405" t="s">
        <v>5</v>
      </c>
      <c r="DB313" s="405" t="s">
        <v>363</v>
      </c>
      <c r="DC313" s="406" t="s">
        <v>85</v>
      </c>
      <c r="DD313" s="405" t="s">
        <v>917</v>
      </c>
      <c r="DE313" s="405" t="s">
        <v>5</v>
      </c>
      <c r="DF313" s="406" t="s">
        <v>85</v>
      </c>
      <c r="DG313" s="407">
        <v>45845</v>
      </c>
      <c r="DH313" s="405" t="s">
        <v>8259</v>
      </c>
      <c r="DI313" s="406">
        <v>465455</v>
      </c>
      <c r="DJ313" s="408">
        <v>5</v>
      </c>
      <c r="DK313" s="405">
        <v>1</v>
      </c>
      <c r="DL313" s="82">
        <v>332.47</v>
      </c>
      <c r="DM313" s="409">
        <v>1.6623500000000002</v>
      </c>
      <c r="DN313" s="82" t="s">
        <v>85</v>
      </c>
      <c r="DO313" s="82" t="s">
        <v>85</v>
      </c>
      <c r="DP313" s="410" t="s">
        <v>85</v>
      </c>
    </row>
    <row r="314" spans="1:120" x14ac:dyDescent="0.25">
      <c r="A314" s="16" t="s">
        <v>8263</v>
      </c>
      <c r="B314" s="16" t="s">
        <v>8264</v>
      </c>
      <c r="C314" s="16" t="s">
        <v>8265</v>
      </c>
      <c r="D314" s="16" t="s">
        <v>7705</v>
      </c>
      <c r="E314" s="16" t="s">
        <v>8266</v>
      </c>
      <c r="F314" s="16" t="s">
        <v>8267</v>
      </c>
      <c r="G314" s="16" t="s">
        <v>8268</v>
      </c>
      <c r="H314" s="16" t="s">
        <v>8269</v>
      </c>
      <c r="I314" s="16" t="s">
        <v>1248</v>
      </c>
      <c r="J314" s="16" t="s">
        <v>995</v>
      </c>
      <c r="K314" s="16" t="s">
        <v>1249</v>
      </c>
      <c r="L314" s="16" t="s">
        <v>85</v>
      </c>
      <c r="M314" s="16" t="s">
        <v>1165</v>
      </c>
      <c r="N314" s="16" t="s">
        <v>914</v>
      </c>
      <c r="O314" s="16" t="s">
        <v>1166</v>
      </c>
      <c r="P314" s="16" t="s">
        <v>914</v>
      </c>
      <c r="Q314" s="16" t="s">
        <v>1166</v>
      </c>
      <c r="R314" s="16" t="s">
        <v>915</v>
      </c>
      <c r="S314" s="16" t="s">
        <v>915</v>
      </c>
      <c r="T314" s="16" t="s">
        <v>1167</v>
      </c>
      <c r="U314" s="16" t="s">
        <v>1168</v>
      </c>
      <c r="V314" s="16" t="s">
        <v>916</v>
      </c>
      <c r="W314" s="16" t="s">
        <v>1168</v>
      </c>
      <c r="X314" s="16" t="s">
        <v>934</v>
      </c>
      <c r="Y314" s="16" t="s">
        <v>934</v>
      </c>
      <c r="Z314" s="16" t="s">
        <v>935</v>
      </c>
      <c r="DA314" s="405" t="s">
        <v>5</v>
      </c>
      <c r="DB314" s="405" t="s">
        <v>363</v>
      </c>
      <c r="DC314" s="406" t="s">
        <v>85</v>
      </c>
      <c r="DD314" s="405" t="s">
        <v>917</v>
      </c>
      <c r="DE314" s="405" t="s">
        <v>5</v>
      </c>
      <c r="DF314" s="406" t="s">
        <v>85</v>
      </c>
      <c r="DG314" s="407">
        <v>45845</v>
      </c>
      <c r="DH314" s="405" t="s">
        <v>8266</v>
      </c>
      <c r="DI314" s="406">
        <v>465455</v>
      </c>
      <c r="DJ314" s="408">
        <v>5</v>
      </c>
      <c r="DK314" s="405">
        <v>1</v>
      </c>
      <c r="DL314" s="82">
        <v>468.28</v>
      </c>
      <c r="DM314" s="409">
        <v>2.3413999999999997</v>
      </c>
      <c r="DN314" s="82" t="s">
        <v>85</v>
      </c>
      <c r="DO314" s="82" t="s">
        <v>85</v>
      </c>
      <c r="DP314" s="410" t="s">
        <v>85</v>
      </c>
    </row>
    <row r="315" spans="1:120" x14ac:dyDescent="0.25">
      <c r="A315" s="16" t="s">
        <v>8270</v>
      </c>
      <c r="B315" s="16" t="s">
        <v>8271</v>
      </c>
      <c r="C315" s="16" t="s">
        <v>8272</v>
      </c>
      <c r="D315" s="16" t="s">
        <v>7705</v>
      </c>
      <c r="E315" s="16" t="s">
        <v>8273</v>
      </c>
      <c r="F315" s="16" t="s">
        <v>8274</v>
      </c>
      <c r="G315" s="16" t="s">
        <v>8275</v>
      </c>
      <c r="H315" s="16" t="s">
        <v>8267</v>
      </c>
      <c r="I315" s="16" t="s">
        <v>1728</v>
      </c>
      <c r="J315" s="16" t="s">
        <v>943</v>
      </c>
      <c r="K315" s="16" t="s">
        <v>1729</v>
      </c>
      <c r="L315" s="16" t="s">
        <v>85</v>
      </c>
      <c r="M315" s="16" t="s">
        <v>984</v>
      </c>
      <c r="N315" s="16" t="s">
        <v>914</v>
      </c>
      <c r="O315" s="16" t="s">
        <v>985</v>
      </c>
      <c r="P315" s="16" t="s">
        <v>914</v>
      </c>
      <c r="Q315" s="16" t="s">
        <v>985</v>
      </c>
      <c r="R315" s="16" t="s">
        <v>915</v>
      </c>
      <c r="S315" s="16" t="s">
        <v>915</v>
      </c>
      <c r="T315" s="16" t="s">
        <v>986</v>
      </c>
      <c r="U315" s="16" t="s">
        <v>987</v>
      </c>
      <c r="V315" s="16" t="s">
        <v>916</v>
      </c>
      <c r="W315" s="16" t="s">
        <v>987</v>
      </c>
      <c r="X315" s="16" t="s">
        <v>934</v>
      </c>
      <c r="Y315" s="16" t="s">
        <v>934</v>
      </c>
      <c r="Z315" s="16" t="s">
        <v>935</v>
      </c>
      <c r="DA315" s="405" t="s">
        <v>5</v>
      </c>
      <c r="DB315" s="405" t="s">
        <v>363</v>
      </c>
      <c r="DC315" s="406" t="s">
        <v>85</v>
      </c>
      <c r="DD315" s="405" t="s">
        <v>917</v>
      </c>
      <c r="DE315" s="405" t="s">
        <v>5</v>
      </c>
      <c r="DF315" s="406" t="s">
        <v>85</v>
      </c>
      <c r="DG315" s="407">
        <v>45845</v>
      </c>
      <c r="DH315" s="405" t="s">
        <v>8273</v>
      </c>
      <c r="DI315" s="406">
        <v>465455</v>
      </c>
      <c r="DJ315" s="408">
        <v>5</v>
      </c>
      <c r="DK315" s="405">
        <v>1</v>
      </c>
      <c r="DL315" s="82">
        <v>340.55</v>
      </c>
      <c r="DM315" s="409">
        <v>1.70275</v>
      </c>
      <c r="DN315" s="82" t="s">
        <v>85</v>
      </c>
      <c r="DO315" s="82" t="s">
        <v>85</v>
      </c>
      <c r="DP315" s="410" t="s">
        <v>85</v>
      </c>
    </row>
    <row r="316" spans="1:120" x14ac:dyDescent="0.25">
      <c r="A316" s="16" t="s">
        <v>8276</v>
      </c>
      <c r="B316" s="16" t="s">
        <v>8277</v>
      </c>
      <c r="C316" s="16" t="s">
        <v>8278</v>
      </c>
      <c r="D316" s="16" t="s">
        <v>7705</v>
      </c>
      <c r="E316" s="16" t="s">
        <v>8279</v>
      </c>
      <c r="F316" s="16" t="s">
        <v>8280</v>
      </c>
      <c r="G316" s="16" t="s">
        <v>8281</v>
      </c>
      <c r="H316" s="16" t="s">
        <v>8282</v>
      </c>
      <c r="I316" s="16" t="s">
        <v>6098</v>
      </c>
      <c r="J316" s="16" t="s">
        <v>928</v>
      </c>
      <c r="K316" s="16" t="s">
        <v>6099</v>
      </c>
      <c r="L316" s="16" t="s">
        <v>85</v>
      </c>
      <c r="M316" s="16" t="s">
        <v>1322</v>
      </c>
      <c r="N316" s="16" t="s">
        <v>914</v>
      </c>
      <c r="O316" s="16" t="s">
        <v>1323</v>
      </c>
      <c r="P316" s="16" t="s">
        <v>914</v>
      </c>
      <c r="Q316" s="16" t="s">
        <v>1323</v>
      </c>
      <c r="R316" s="16" t="s">
        <v>915</v>
      </c>
      <c r="S316" s="16" t="s">
        <v>915</v>
      </c>
      <c r="T316" s="16" t="s">
        <v>1322</v>
      </c>
      <c r="U316" s="16" t="s">
        <v>1324</v>
      </c>
      <c r="V316" s="16" t="s">
        <v>916</v>
      </c>
      <c r="W316" s="16" t="s">
        <v>1324</v>
      </c>
      <c r="X316" s="16" t="s">
        <v>934</v>
      </c>
      <c r="Y316" s="16" t="s">
        <v>934</v>
      </c>
      <c r="Z316" s="16" t="s">
        <v>935</v>
      </c>
      <c r="DA316" s="405" t="s">
        <v>5</v>
      </c>
      <c r="DB316" s="405" t="s">
        <v>363</v>
      </c>
      <c r="DC316" s="406" t="s">
        <v>85</v>
      </c>
      <c r="DD316" s="405" t="s">
        <v>917</v>
      </c>
      <c r="DE316" s="405" t="s">
        <v>5</v>
      </c>
      <c r="DF316" s="406" t="s">
        <v>85</v>
      </c>
      <c r="DG316" s="407">
        <v>45845</v>
      </c>
      <c r="DH316" s="405" t="s">
        <v>8279</v>
      </c>
      <c r="DI316" s="406">
        <v>465455</v>
      </c>
      <c r="DJ316" s="408">
        <v>5</v>
      </c>
      <c r="DK316" s="405">
        <v>1</v>
      </c>
      <c r="DL316" s="82">
        <v>332.47</v>
      </c>
      <c r="DM316" s="409">
        <v>1.6623500000000002</v>
      </c>
      <c r="DN316" s="82" t="s">
        <v>85</v>
      </c>
      <c r="DO316" s="82" t="s">
        <v>85</v>
      </c>
      <c r="DP316" s="410" t="s">
        <v>85</v>
      </c>
    </row>
    <row r="317" spans="1:120" x14ac:dyDescent="0.25">
      <c r="A317" s="16" t="s">
        <v>8283</v>
      </c>
      <c r="B317" s="16" t="s">
        <v>8284</v>
      </c>
      <c r="C317" s="16" t="s">
        <v>8285</v>
      </c>
      <c r="D317" s="16" t="s">
        <v>7705</v>
      </c>
      <c r="E317" s="16" t="s">
        <v>8286</v>
      </c>
      <c r="F317" s="16" t="s">
        <v>8287</v>
      </c>
      <c r="G317" s="16" t="s">
        <v>8288</v>
      </c>
      <c r="H317" s="16" t="s">
        <v>8289</v>
      </c>
      <c r="I317" s="16" t="s">
        <v>5822</v>
      </c>
      <c r="J317" s="16" t="s">
        <v>1354</v>
      </c>
      <c r="K317" s="16" t="s">
        <v>5823</v>
      </c>
      <c r="L317" s="16" t="s">
        <v>85</v>
      </c>
      <c r="M317" s="16" t="s">
        <v>945</v>
      </c>
      <c r="N317" s="16" t="s">
        <v>914</v>
      </c>
      <c r="O317" s="16" t="s">
        <v>946</v>
      </c>
      <c r="P317" s="16" t="s">
        <v>914</v>
      </c>
      <c r="Q317" s="16" t="s">
        <v>946</v>
      </c>
      <c r="R317" s="16" t="s">
        <v>915</v>
      </c>
      <c r="S317" s="16" t="s">
        <v>915</v>
      </c>
      <c r="T317" s="16" t="s">
        <v>945</v>
      </c>
      <c r="U317" s="16" t="s">
        <v>947</v>
      </c>
      <c r="V317" s="16" t="s">
        <v>916</v>
      </c>
      <c r="W317" s="16" t="s">
        <v>947</v>
      </c>
      <c r="X317" s="16" t="s">
        <v>934</v>
      </c>
      <c r="Y317" s="16" t="s">
        <v>934</v>
      </c>
      <c r="Z317" s="16" t="s">
        <v>935</v>
      </c>
      <c r="DA317" s="405" t="s">
        <v>5</v>
      </c>
      <c r="DB317" s="405" t="s">
        <v>363</v>
      </c>
      <c r="DC317" s="406" t="s">
        <v>85</v>
      </c>
      <c r="DD317" s="405" t="s">
        <v>917</v>
      </c>
      <c r="DE317" s="405" t="s">
        <v>5</v>
      </c>
      <c r="DF317" s="406" t="s">
        <v>85</v>
      </c>
      <c r="DG317" s="407">
        <v>45845</v>
      </c>
      <c r="DH317" s="405" t="s">
        <v>8286</v>
      </c>
      <c r="DI317" s="406">
        <v>465455</v>
      </c>
      <c r="DJ317" s="408">
        <v>5</v>
      </c>
      <c r="DK317" s="405">
        <v>1</v>
      </c>
      <c r="DL317" s="82">
        <v>319.27</v>
      </c>
      <c r="DM317" s="409">
        <v>1.5963499999999999</v>
      </c>
      <c r="DN317" s="82" t="s">
        <v>85</v>
      </c>
      <c r="DO317" s="82" t="s">
        <v>85</v>
      </c>
      <c r="DP317" s="410" t="s">
        <v>85</v>
      </c>
    </row>
    <row r="318" spans="1:120" x14ac:dyDescent="0.25">
      <c r="A318" s="16" t="s">
        <v>8290</v>
      </c>
      <c r="B318" s="16" t="s">
        <v>8291</v>
      </c>
      <c r="C318" s="16" t="s">
        <v>8292</v>
      </c>
      <c r="D318" s="16" t="s">
        <v>7705</v>
      </c>
      <c r="E318" s="16" t="s">
        <v>8293</v>
      </c>
      <c r="F318" s="16" t="s">
        <v>8294</v>
      </c>
      <c r="G318" s="16" t="s">
        <v>8295</v>
      </c>
      <c r="H318" s="16" t="s">
        <v>8296</v>
      </c>
      <c r="I318" s="16" t="s">
        <v>1494</v>
      </c>
      <c r="J318" s="16" t="s">
        <v>943</v>
      </c>
      <c r="K318" s="16" t="s">
        <v>1495</v>
      </c>
      <c r="L318" s="16" t="s">
        <v>85</v>
      </c>
      <c r="M318" s="16" t="s">
        <v>984</v>
      </c>
      <c r="N318" s="16" t="s">
        <v>914</v>
      </c>
      <c r="O318" s="16" t="s">
        <v>985</v>
      </c>
      <c r="P318" s="16" t="s">
        <v>914</v>
      </c>
      <c r="Q318" s="16" t="s">
        <v>985</v>
      </c>
      <c r="R318" s="16" t="s">
        <v>915</v>
      </c>
      <c r="S318" s="16" t="s">
        <v>915</v>
      </c>
      <c r="T318" s="16" t="s">
        <v>986</v>
      </c>
      <c r="U318" s="16" t="s">
        <v>987</v>
      </c>
      <c r="V318" s="16" t="s">
        <v>916</v>
      </c>
      <c r="W318" s="16" t="s">
        <v>987</v>
      </c>
      <c r="X318" s="16" t="s">
        <v>934</v>
      </c>
      <c r="Y318" s="16" t="s">
        <v>934</v>
      </c>
      <c r="Z318" s="16" t="s">
        <v>935</v>
      </c>
      <c r="DA318" s="405" t="s">
        <v>5</v>
      </c>
      <c r="DB318" s="405" t="s">
        <v>363</v>
      </c>
      <c r="DC318" s="406" t="s">
        <v>85</v>
      </c>
      <c r="DD318" s="405" t="s">
        <v>917</v>
      </c>
      <c r="DE318" s="405" t="s">
        <v>5</v>
      </c>
      <c r="DF318" s="406" t="s">
        <v>85</v>
      </c>
      <c r="DG318" s="407">
        <v>45845</v>
      </c>
      <c r="DH318" s="405" t="s">
        <v>8293</v>
      </c>
      <c r="DI318" s="406">
        <v>465455</v>
      </c>
      <c r="DJ318" s="408">
        <v>5</v>
      </c>
      <c r="DK318" s="405">
        <v>1</v>
      </c>
      <c r="DL318" s="82">
        <v>340.55</v>
      </c>
      <c r="DM318" s="409">
        <v>1.70275</v>
      </c>
      <c r="DN318" s="82" t="s">
        <v>85</v>
      </c>
      <c r="DO318" s="82" t="s">
        <v>85</v>
      </c>
      <c r="DP318" s="410" t="s">
        <v>85</v>
      </c>
    </row>
    <row r="319" spans="1:120" x14ac:dyDescent="0.25">
      <c r="A319" s="16" t="s">
        <v>8290</v>
      </c>
      <c r="B319" s="16" t="s">
        <v>8291</v>
      </c>
      <c r="C319" s="16" t="s">
        <v>8292</v>
      </c>
      <c r="D319" s="16" t="s">
        <v>7705</v>
      </c>
      <c r="E319" s="16" t="s">
        <v>8293</v>
      </c>
      <c r="F319" s="16" t="s">
        <v>8294</v>
      </c>
      <c r="G319" s="16" t="s">
        <v>8295</v>
      </c>
      <c r="H319" s="16" t="s">
        <v>8296</v>
      </c>
      <c r="I319" s="16" t="s">
        <v>2056</v>
      </c>
      <c r="J319" s="16" t="s">
        <v>943</v>
      </c>
      <c r="K319" s="16" t="s">
        <v>2057</v>
      </c>
      <c r="L319" s="16" t="s">
        <v>85</v>
      </c>
      <c r="M319" s="16" t="s">
        <v>984</v>
      </c>
      <c r="N319" s="16" t="s">
        <v>914</v>
      </c>
      <c r="O319" s="16" t="s">
        <v>985</v>
      </c>
      <c r="P319" s="16" t="s">
        <v>914</v>
      </c>
      <c r="Q319" s="16" t="s">
        <v>985</v>
      </c>
      <c r="R319" s="16" t="s">
        <v>915</v>
      </c>
      <c r="S319" s="16" t="s">
        <v>915</v>
      </c>
      <c r="T319" s="16" t="s">
        <v>986</v>
      </c>
      <c r="U319" s="16" t="s">
        <v>987</v>
      </c>
      <c r="V319" s="16" t="s">
        <v>916</v>
      </c>
      <c r="W319" s="16" t="s">
        <v>987</v>
      </c>
      <c r="X319" s="16" t="s">
        <v>934</v>
      </c>
      <c r="Y319" s="16" t="s">
        <v>934</v>
      </c>
      <c r="Z319" s="16" t="s">
        <v>935</v>
      </c>
      <c r="DA319" s="405" t="s">
        <v>5</v>
      </c>
      <c r="DB319" s="405" t="s">
        <v>363</v>
      </c>
      <c r="DC319" s="406" t="s">
        <v>85</v>
      </c>
      <c r="DD319" s="405" t="s">
        <v>917</v>
      </c>
      <c r="DE319" s="405" t="s">
        <v>5</v>
      </c>
      <c r="DF319" s="406" t="s">
        <v>85</v>
      </c>
      <c r="DG319" s="407">
        <v>45845</v>
      </c>
      <c r="DH319" s="405" t="s">
        <v>8293</v>
      </c>
      <c r="DI319" s="406">
        <v>465455</v>
      </c>
      <c r="DJ319" s="408">
        <v>5</v>
      </c>
      <c r="DK319" s="405">
        <v>1</v>
      </c>
      <c r="DL319" s="82">
        <v>340.55</v>
      </c>
      <c r="DM319" s="409">
        <v>1.70275</v>
      </c>
      <c r="DN319" s="82" t="s">
        <v>85</v>
      </c>
      <c r="DO319" s="82" t="s">
        <v>85</v>
      </c>
      <c r="DP319" s="410" t="s">
        <v>85</v>
      </c>
    </row>
    <row r="320" spans="1:120" x14ac:dyDescent="0.25">
      <c r="A320" s="16" t="s">
        <v>8290</v>
      </c>
      <c r="B320" s="16" t="s">
        <v>8291</v>
      </c>
      <c r="C320" s="16" t="s">
        <v>8292</v>
      </c>
      <c r="D320" s="16" t="s">
        <v>7705</v>
      </c>
      <c r="E320" s="16" t="s">
        <v>8293</v>
      </c>
      <c r="F320" s="16" t="s">
        <v>8294</v>
      </c>
      <c r="G320" s="16" t="s">
        <v>8295</v>
      </c>
      <c r="H320" s="16" t="s">
        <v>8296</v>
      </c>
      <c r="I320" s="16" t="s">
        <v>1057</v>
      </c>
      <c r="J320" s="16" t="s">
        <v>943</v>
      </c>
      <c r="K320" s="16" t="s">
        <v>1058</v>
      </c>
      <c r="L320" s="16" t="s">
        <v>85</v>
      </c>
      <c r="M320" s="16" t="s">
        <v>984</v>
      </c>
      <c r="N320" s="16" t="s">
        <v>914</v>
      </c>
      <c r="O320" s="16" t="s">
        <v>985</v>
      </c>
      <c r="P320" s="16" t="s">
        <v>914</v>
      </c>
      <c r="Q320" s="16" t="s">
        <v>985</v>
      </c>
      <c r="R320" s="16" t="s">
        <v>915</v>
      </c>
      <c r="S320" s="16" t="s">
        <v>915</v>
      </c>
      <c r="T320" s="16" t="s">
        <v>986</v>
      </c>
      <c r="U320" s="16" t="s">
        <v>987</v>
      </c>
      <c r="V320" s="16" t="s">
        <v>916</v>
      </c>
      <c r="W320" s="16" t="s">
        <v>987</v>
      </c>
      <c r="X320" s="16" t="s">
        <v>934</v>
      </c>
      <c r="Y320" s="16" t="s">
        <v>934</v>
      </c>
      <c r="Z320" s="16" t="s">
        <v>935</v>
      </c>
      <c r="DA320" s="405" t="s">
        <v>5</v>
      </c>
      <c r="DB320" s="405" t="s">
        <v>363</v>
      </c>
      <c r="DC320" s="406" t="s">
        <v>85</v>
      </c>
      <c r="DD320" s="405" t="s">
        <v>917</v>
      </c>
      <c r="DE320" s="405" t="s">
        <v>5</v>
      </c>
      <c r="DF320" s="406" t="s">
        <v>85</v>
      </c>
      <c r="DG320" s="407">
        <v>45845</v>
      </c>
      <c r="DH320" s="405" t="s">
        <v>8293</v>
      </c>
      <c r="DI320" s="406">
        <v>465455</v>
      </c>
      <c r="DJ320" s="408">
        <v>5</v>
      </c>
      <c r="DK320" s="405">
        <v>1</v>
      </c>
      <c r="DL320" s="82">
        <v>340.55</v>
      </c>
      <c r="DM320" s="409">
        <v>1.70275</v>
      </c>
      <c r="DN320" s="82" t="s">
        <v>85</v>
      </c>
      <c r="DO320" s="82" t="s">
        <v>85</v>
      </c>
      <c r="DP320" s="410" t="s">
        <v>85</v>
      </c>
    </row>
    <row r="321" spans="1:120" x14ac:dyDescent="0.25">
      <c r="A321" s="16" t="s">
        <v>8297</v>
      </c>
      <c r="B321" s="16" t="s">
        <v>8298</v>
      </c>
      <c r="C321" s="16" t="s">
        <v>8299</v>
      </c>
      <c r="D321" s="16" t="s">
        <v>7705</v>
      </c>
      <c r="E321" s="16" t="s">
        <v>8300</v>
      </c>
      <c r="F321" s="16" t="s">
        <v>8301</v>
      </c>
      <c r="G321" s="16" t="s">
        <v>8302</v>
      </c>
      <c r="H321" s="16" t="s">
        <v>8301</v>
      </c>
      <c r="I321" s="16" t="s">
        <v>968</v>
      </c>
      <c r="J321" s="16" t="s">
        <v>943</v>
      </c>
      <c r="K321" s="16" t="s">
        <v>969</v>
      </c>
      <c r="L321" s="16" t="s">
        <v>85</v>
      </c>
      <c r="M321" s="16" t="s">
        <v>984</v>
      </c>
      <c r="N321" s="16" t="s">
        <v>914</v>
      </c>
      <c r="O321" s="16" t="s">
        <v>985</v>
      </c>
      <c r="P321" s="16" t="s">
        <v>914</v>
      </c>
      <c r="Q321" s="16" t="s">
        <v>985</v>
      </c>
      <c r="R321" s="16" t="s">
        <v>915</v>
      </c>
      <c r="S321" s="16" t="s">
        <v>915</v>
      </c>
      <c r="T321" s="16" t="s">
        <v>986</v>
      </c>
      <c r="U321" s="16" t="s">
        <v>987</v>
      </c>
      <c r="V321" s="16" t="s">
        <v>916</v>
      </c>
      <c r="W321" s="16" t="s">
        <v>987</v>
      </c>
      <c r="X321" s="16" t="s">
        <v>934</v>
      </c>
      <c r="Y321" s="16" t="s">
        <v>934</v>
      </c>
      <c r="Z321" s="16" t="s">
        <v>935</v>
      </c>
      <c r="DA321" s="405" t="s">
        <v>5</v>
      </c>
      <c r="DB321" s="405" t="s">
        <v>363</v>
      </c>
      <c r="DC321" s="406" t="s">
        <v>85</v>
      </c>
      <c r="DD321" s="405" t="s">
        <v>917</v>
      </c>
      <c r="DE321" s="405" t="s">
        <v>5</v>
      </c>
      <c r="DF321" s="406" t="s">
        <v>85</v>
      </c>
      <c r="DG321" s="407">
        <v>45845</v>
      </c>
      <c r="DH321" s="405" t="s">
        <v>8300</v>
      </c>
      <c r="DI321" s="406">
        <v>465455</v>
      </c>
      <c r="DJ321" s="408">
        <v>5</v>
      </c>
      <c r="DK321" s="405">
        <v>1</v>
      </c>
      <c r="DL321" s="82">
        <v>340.55</v>
      </c>
      <c r="DM321" s="409">
        <v>1.70275</v>
      </c>
      <c r="DN321" s="82" t="s">
        <v>85</v>
      </c>
      <c r="DO321" s="82" t="s">
        <v>85</v>
      </c>
      <c r="DP321" s="410" t="s">
        <v>85</v>
      </c>
    </row>
    <row r="322" spans="1:120" x14ac:dyDescent="0.25">
      <c r="A322" s="16" t="s">
        <v>8303</v>
      </c>
      <c r="B322" s="16" t="s">
        <v>8304</v>
      </c>
      <c r="C322" s="16" t="s">
        <v>8305</v>
      </c>
      <c r="D322" s="16" t="s">
        <v>7705</v>
      </c>
      <c r="E322" s="16" t="s">
        <v>8306</v>
      </c>
      <c r="F322" s="16" t="s">
        <v>8307</v>
      </c>
      <c r="G322" s="16" t="s">
        <v>8308</v>
      </c>
      <c r="H322" s="16" t="s">
        <v>8309</v>
      </c>
      <c r="I322" s="16" t="s">
        <v>1163</v>
      </c>
      <c r="J322" s="16" t="s">
        <v>995</v>
      </c>
      <c r="K322" s="16" t="s">
        <v>1164</v>
      </c>
      <c r="L322" s="16" t="s">
        <v>85</v>
      </c>
      <c r="M322" s="16" t="s">
        <v>1165</v>
      </c>
      <c r="N322" s="16" t="s">
        <v>914</v>
      </c>
      <c r="O322" s="16" t="s">
        <v>1166</v>
      </c>
      <c r="P322" s="16" t="s">
        <v>914</v>
      </c>
      <c r="Q322" s="16" t="s">
        <v>1166</v>
      </c>
      <c r="R322" s="16" t="s">
        <v>915</v>
      </c>
      <c r="S322" s="16" t="s">
        <v>915</v>
      </c>
      <c r="T322" s="16" t="s">
        <v>1167</v>
      </c>
      <c r="U322" s="16" t="s">
        <v>1168</v>
      </c>
      <c r="V322" s="16" t="s">
        <v>916</v>
      </c>
      <c r="W322" s="16" t="s">
        <v>1168</v>
      </c>
      <c r="X322" s="16" t="s">
        <v>934</v>
      </c>
      <c r="Y322" s="16" t="s">
        <v>934</v>
      </c>
      <c r="Z322" s="16" t="s">
        <v>935</v>
      </c>
      <c r="DA322" s="405" t="s">
        <v>5</v>
      </c>
      <c r="DB322" s="405" t="s">
        <v>363</v>
      </c>
      <c r="DC322" s="406" t="s">
        <v>85</v>
      </c>
      <c r="DD322" s="405" t="s">
        <v>917</v>
      </c>
      <c r="DE322" s="405" t="s">
        <v>5</v>
      </c>
      <c r="DF322" s="406" t="s">
        <v>85</v>
      </c>
      <c r="DG322" s="407">
        <v>45845</v>
      </c>
      <c r="DH322" s="405" t="s">
        <v>8306</v>
      </c>
      <c r="DI322" s="406">
        <v>465455</v>
      </c>
      <c r="DJ322" s="408">
        <v>5</v>
      </c>
      <c r="DK322" s="405">
        <v>1</v>
      </c>
      <c r="DL322" s="82">
        <v>468.28</v>
      </c>
      <c r="DM322" s="409">
        <v>2.3413999999999997</v>
      </c>
      <c r="DN322" s="82" t="s">
        <v>85</v>
      </c>
      <c r="DO322" s="82" t="s">
        <v>85</v>
      </c>
      <c r="DP322" s="410" t="s">
        <v>85</v>
      </c>
    </row>
    <row r="323" spans="1:120" x14ac:dyDescent="0.25">
      <c r="A323" s="16" t="s">
        <v>8310</v>
      </c>
      <c r="B323" s="16" t="s">
        <v>8311</v>
      </c>
      <c r="C323" s="16" t="s">
        <v>8312</v>
      </c>
      <c r="D323" s="16" t="s">
        <v>7705</v>
      </c>
      <c r="E323" s="16" t="s">
        <v>8313</v>
      </c>
      <c r="F323" s="16" t="s">
        <v>8314</v>
      </c>
      <c r="G323" s="16" t="s">
        <v>8315</v>
      </c>
      <c r="H323" s="16" t="s">
        <v>8316</v>
      </c>
      <c r="I323" s="16" t="s">
        <v>4159</v>
      </c>
      <c r="J323" s="16" t="s">
        <v>1354</v>
      </c>
      <c r="K323" s="16" t="s">
        <v>4160</v>
      </c>
      <c r="L323" s="16" t="s">
        <v>85</v>
      </c>
      <c r="M323" s="16" t="s">
        <v>945</v>
      </c>
      <c r="N323" s="16" t="s">
        <v>914</v>
      </c>
      <c r="O323" s="16" t="s">
        <v>946</v>
      </c>
      <c r="P323" s="16" t="s">
        <v>914</v>
      </c>
      <c r="Q323" s="16" t="s">
        <v>946</v>
      </c>
      <c r="R323" s="16" t="s">
        <v>915</v>
      </c>
      <c r="S323" s="16" t="s">
        <v>915</v>
      </c>
      <c r="T323" s="16" t="s">
        <v>945</v>
      </c>
      <c r="U323" s="16" t="s">
        <v>947</v>
      </c>
      <c r="V323" s="16" t="s">
        <v>916</v>
      </c>
      <c r="W323" s="16" t="s">
        <v>947</v>
      </c>
      <c r="X323" s="16" t="s">
        <v>934</v>
      </c>
      <c r="Y323" s="16" t="s">
        <v>934</v>
      </c>
      <c r="Z323" s="16" t="s">
        <v>935</v>
      </c>
      <c r="DA323" s="405" t="s">
        <v>5</v>
      </c>
      <c r="DB323" s="405" t="s">
        <v>363</v>
      </c>
      <c r="DC323" s="406" t="s">
        <v>85</v>
      </c>
      <c r="DD323" s="405" t="s">
        <v>917</v>
      </c>
      <c r="DE323" s="405" t="s">
        <v>5</v>
      </c>
      <c r="DF323" s="406" t="s">
        <v>85</v>
      </c>
      <c r="DG323" s="407">
        <v>45845</v>
      </c>
      <c r="DH323" s="405" t="s">
        <v>8313</v>
      </c>
      <c r="DI323" s="406">
        <v>465455</v>
      </c>
      <c r="DJ323" s="408">
        <v>5</v>
      </c>
      <c r="DK323" s="405">
        <v>1</v>
      </c>
      <c r="DL323" s="82">
        <v>319.27</v>
      </c>
      <c r="DM323" s="409">
        <v>1.5963499999999999</v>
      </c>
      <c r="DN323" s="82" t="s">
        <v>85</v>
      </c>
      <c r="DO323" s="82" t="s">
        <v>85</v>
      </c>
      <c r="DP323" s="410" t="s">
        <v>85</v>
      </c>
    </row>
    <row r="324" spans="1:120" x14ac:dyDescent="0.25">
      <c r="A324" s="16" t="s">
        <v>8317</v>
      </c>
      <c r="B324" s="16" t="s">
        <v>8318</v>
      </c>
      <c r="C324" s="16" t="s">
        <v>8319</v>
      </c>
      <c r="D324" s="16" t="s">
        <v>7705</v>
      </c>
      <c r="E324" s="16" t="s">
        <v>8320</v>
      </c>
      <c r="F324" s="16" t="s">
        <v>8321</v>
      </c>
      <c r="G324" s="16" t="s">
        <v>8322</v>
      </c>
      <c r="H324" s="16" t="s">
        <v>8321</v>
      </c>
      <c r="I324" s="16" t="s">
        <v>1099</v>
      </c>
      <c r="J324" s="16" t="s">
        <v>943</v>
      </c>
      <c r="K324" s="16" t="s">
        <v>1100</v>
      </c>
      <c r="L324" s="16" t="s">
        <v>85</v>
      </c>
      <c r="M324" s="16" t="s">
        <v>984</v>
      </c>
      <c r="N324" s="16" t="s">
        <v>914</v>
      </c>
      <c r="O324" s="16" t="s">
        <v>985</v>
      </c>
      <c r="P324" s="16" t="s">
        <v>914</v>
      </c>
      <c r="Q324" s="16" t="s">
        <v>985</v>
      </c>
      <c r="R324" s="16" t="s">
        <v>915</v>
      </c>
      <c r="S324" s="16" t="s">
        <v>915</v>
      </c>
      <c r="T324" s="16" t="s">
        <v>986</v>
      </c>
      <c r="U324" s="16" t="s">
        <v>987</v>
      </c>
      <c r="V324" s="16" t="s">
        <v>916</v>
      </c>
      <c r="W324" s="16" t="s">
        <v>987</v>
      </c>
      <c r="X324" s="16" t="s">
        <v>934</v>
      </c>
      <c r="Y324" s="16" t="s">
        <v>934</v>
      </c>
      <c r="Z324" s="16" t="s">
        <v>935</v>
      </c>
      <c r="DA324" s="405" t="s">
        <v>5</v>
      </c>
      <c r="DB324" s="405" t="s">
        <v>363</v>
      </c>
      <c r="DC324" s="406" t="s">
        <v>85</v>
      </c>
      <c r="DD324" s="405" t="s">
        <v>917</v>
      </c>
      <c r="DE324" s="405" t="s">
        <v>5</v>
      </c>
      <c r="DF324" s="406" t="s">
        <v>85</v>
      </c>
      <c r="DG324" s="407">
        <v>45845</v>
      </c>
      <c r="DH324" s="405" t="s">
        <v>8320</v>
      </c>
      <c r="DI324" s="406">
        <v>465455</v>
      </c>
      <c r="DJ324" s="408">
        <v>5</v>
      </c>
      <c r="DK324" s="405">
        <v>1</v>
      </c>
      <c r="DL324" s="82">
        <v>340.55</v>
      </c>
      <c r="DM324" s="409">
        <v>1.70275</v>
      </c>
      <c r="DN324" s="82" t="s">
        <v>85</v>
      </c>
      <c r="DO324" s="82" t="s">
        <v>85</v>
      </c>
      <c r="DP324" s="410" t="s">
        <v>85</v>
      </c>
    </row>
    <row r="325" spans="1:120" x14ac:dyDescent="0.25">
      <c r="A325" s="16" t="s">
        <v>8323</v>
      </c>
      <c r="B325" s="16" t="s">
        <v>8324</v>
      </c>
      <c r="C325" s="16" t="s">
        <v>8325</v>
      </c>
      <c r="D325" s="16" t="s">
        <v>7705</v>
      </c>
      <c r="E325" s="16" t="s">
        <v>8326</v>
      </c>
      <c r="F325" s="16" t="s">
        <v>8327</v>
      </c>
      <c r="G325" s="16" t="s">
        <v>8328</v>
      </c>
      <c r="H325" s="16" t="s">
        <v>8329</v>
      </c>
      <c r="I325" s="16" t="s">
        <v>1150</v>
      </c>
      <c r="J325" s="16" t="s">
        <v>943</v>
      </c>
      <c r="K325" s="16" t="s">
        <v>1151</v>
      </c>
      <c r="L325" s="16" t="s">
        <v>85</v>
      </c>
      <c r="M325" s="16" t="s">
        <v>984</v>
      </c>
      <c r="N325" s="16" t="s">
        <v>914</v>
      </c>
      <c r="O325" s="16" t="s">
        <v>985</v>
      </c>
      <c r="P325" s="16" t="s">
        <v>914</v>
      </c>
      <c r="Q325" s="16" t="s">
        <v>985</v>
      </c>
      <c r="R325" s="16" t="s">
        <v>915</v>
      </c>
      <c r="S325" s="16" t="s">
        <v>915</v>
      </c>
      <c r="T325" s="16" t="s">
        <v>986</v>
      </c>
      <c r="U325" s="16" t="s">
        <v>987</v>
      </c>
      <c r="V325" s="16" t="s">
        <v>916</v>
      </c>
      <c r="W325" s="16" t="s">
        <v>987</v>
      </c>
      <c r="X325" s="16" t="s">
        <v>934</v>
      </c>
      <c r="Y325" s="16" t="s">
        <v>934</v>
      </c>
      <c r="Z325" s="16" t="s">
        <v>935</v>
      </c>
      <c r="DA325" s="405" t="s">
        <v>5</v>
      </c>
      <c r="DB325" s="405" t="s">
        <v>363</v>
      </c>
      <c r="DC325" s="406" t="s">
        <v>85</v>
      </c>
      <c r="DD325" s="405" t="s">
        <v>917</v>
      </c>
      <c r="DE325" s="405" t="s">
        <v>5</v>
      </c>
      <c r="DF325" s="406" t="s">
        <v>85</v>
      </c>
      <c r="DG325" s="407">
        <v>45845</v>
      </c>
      <c r="DH325" s="405" t="s">
        <v>8326</v>
      </c>
      <c r="DI325" s="406">
        <v>465455</v>
      </c>
      <c r="DJ325" s="408">
        <v>5</v>
      </c>
      <c r="DK325" s="405">
        <v>1</v>
      </c>
      <c r="DL325" s="82">
        <v>340.55</v>
      </c>
      <c r="DM325" s="409">
        <v>1.70275</v>
      </c>
      <c r="DN325" s="82" t="s">
        <v>85</v>
      </c>
      <c r="DO325" s="82" t="s">
        <v>85</v>
      </c>
      <c r="DP325" s="410" t="s">
        <v>85</v>
      </c>
    </row>
    <row r="326" spans="1:120" x14ac:dyDescent="0.25">
      <c r="A326" s="16" t="s">
        <v>8330</v>
      </c>
      <c r="B326" s="16" t="s">
        <v>8331</v>
      </c>
      <c r="C326" s="16" t="s">
        <v>8332</v>
      </c>
      <c r="D326" s="16" t="s">
        <v>7705</v>
      </c>
      <c r="E326" s="16" t="s">
        <v>8333</v>
      </c>
      <c r="F326" s="16" t="s">
        <v>8334</v>
      </c>
      <c r="G326" s="16" t="s">
        <v>8335</v>
      </c>
      <c r="H326" s="16" t="s">
        <v>8336</v>
      </c>
      <c r="I326" s="16" t="s">
        <v>1547</v>
      </c>
      <c r="J326" s="16" t="s">
        <v>943</v>
      </c>
      <c r="K326" s="16" t="s">
        <v>1548</v>
      </c>
      <c r="L326" s="16" t="s">
        <v>85</v>
      </c>
      <c r="M326" s="16" t="s">
        <v>984</v>
      </c>
      <c r="N326" s="16" t="s">
        <v>914</v>
      </c>
      <c r="O326" s="16" t="s">
        <v>985</v>
      </c>
      <c r="P326" s="16" t="s">
        <v>914</v>
      </c>
      <c r="Q326" s="16" t="s">
        <v>985</v>
      </c>
      <c r="R326" s="16" t="s">
        <v>915</v>
      </c>
      <c r="S326" s="16" t="s">
        <v>915</v>
      </c>
      <c r="T326" s="16" t="s">
        <v>986</v>
      </c>
      <c r="U326" s="16" t="s">
        <v>987</v>
      </c>
      <c r="V326" s="16" t="s">
        <v>916</v>
      </c>
      <c r="W326" s="16" t="s">
        <v>987</v>
      </c>
      <c r="X326" s="16" t="s">
        <v>934</v>
      </c>
      <c r="Y326" s="16" t="s">
        <v>934</v>
      </c>
      <c r="Z326" s="16" t="s">
        <v>935</v>
      </c>
      <c r="DA326" s="405" t="s">
        <v>5</v>
      </c>
      <c r="DB326" s="405" t="s">
        <v>363</v>
      </c>
      <c r="DC326" s="406" t="s">
        <v>85</v>
      </c>
      <c r="DD326" s="405" t="s">
        <v>917</v>
      </c>
      <c r="DE326" s="405" t="s">
        <v>5</v>
      </c>
      <c r="DF326" s="406" t="s">
        <v>85</v>
      </c>
      <c r="DG326" s="407">
        <v>45845</v>
      </c>
      <c r="DH326" s="405" t="s">
        <v>8333</v>
      </c>
      <c r="DI326" s="406">
        <v>465455</v>
      </c>
      <c r="DJ326" s="408">
        <v>5</v>
      </c>
      <c r="DK326" s="405">
        <v>1</v>
      </c>
      <c r="DL326" s="82">
        <v>340.55</v>
      </c>
      <c r="DM326" s="409">
        <v>1.70275</v>
      </c>
      <c r="DN326" s="82" t="s">
        <v>85</v>
      </c>
      <c r="DO326" s="82" t="s">
        <v>85</v>
      </c>
      <c r="DP326" s="410" t="s">
        <v>85</v>
      </c>
    </row>
    <row r="327" spans="1:120" x14ac:dyDescent="0.25">
      <c r="A327" s="16" t="s">
        <v>8337</v>
      </c>
      <c r="B327" s="16" t="s">
        <v>8338</v>
      </c>
      <c r="C327" s="16" t="s">
        <v>8339</v>
      </c>
      <c r="D327" s="16" t="s">
        <v>7705</v>
      </c>
      <c r="E327" s="16" t="s">
        <v>8340</v>
      </c>
      <c r="F327" s="16" t="s">
        <v>8341</v>
      </c>
      <c r="G327" s="16" t="s">
        <v>8342</v>
      </c>
      <c r="H327" s="16" t="s">
        <v>8343</v>
      </c>
      <c r="I327" s="16" t="s">
        <v>1007</v>
      </c>
      <c r="J327" s="16" t="s">
        <v>928</v>
      </c>
      <c r="K327" s="16" t="s">
        <v>1008</v>
      </c>
      <c r="L327" s="16" t="s">
        <v>85</v>
      </c>
      <c r="M327" s="16" t="s">
        <v>1322</v>
      </c>
      <c r="N327" s="16" t="s">
        <v>914</v>
      </c>
      <c r="O327" s="16" t="s">
        <v>1323</v>
      </c>
      <c r="P327" s="16" t="s">
        <v>914</v>
      </c>
      <c r="Q327" s="16" t="s">
        <v>1323</v>
      </c>
      <c r="R327" s="16" t="s">
        <v>915</v>
      </c>
      <c r="S327" s="16" t="s">
        <v>915</v>
      </c>
      <c r="T327" s="16" t="s">
        <v>1322</v>
      </c>
      <c r="U327" s="16" t="s">
        <v>1324</v>
      </c>
      <c r="V327" s="16" t="s">
        <v>916</v>
      </c>
      <c r="W327" s="16" t="s">
        <v>1324</v>
      </c>
      <c r="X327" s="16" t="s">
        <v>934</v>
      </c>
      <c r="Y327" s="16" t="s">
        <v>934</v>
      </c>
      <c r="Z327" s="16" t="s">
        <v>935</v>
      </c>
      <c r="DA327" s="405" t="s">
        <v>5</v>
      </c>
      <c r="DB327" s="405" t="s">
        <v>363</v>
      </c>
      <c r="DC327" s="406" t="s">
        <v>85</v>
      </c>
      <c r="DD327" s="405" t="s">
        <v>917</v>
      </c>
      <c r="DE327" s="405" t="s">
        <v>5</v>
      </c>
      <c r="DF327" s="406" t="s">
        <v>85</v>
      </c>
      <c r="DG327" s="407">
        <v>45845</v>
      </c>
      <c r="DH327" s="405" t="s">
        <v>8340</v>
      </c>
      <c r="DI327" s="406">
        <v>465455</v>
      </c>
      <c r="DJ327" s="408">
        <v>5</v>
      </c>
      <c r="DK327" s="405">
        <v>1</v>
      </c>
      <c r="DL327" s="82">
        <v>332.47</v>
      </c>
      <c r="DM327" s="409">
        <v>1.6623500000000002</v>
      </c>
      <c r="DN327" s="82" t="s">
        <v>85</v>
      </c>
      <c r="DO327" s="82" t="s">
        <v>85</v>
      </c>
      <c r="DP327" s="410" t="s">
        <v>85</v>
      </c>
    </row>
    <row r="328" spans="1:120" x14ac:dyDescent="0.25">
      <c r="A328" s="16" t="s">
        <v>8344</v>
      </c>
      <c r="B328" s="16" t="s">
        <v>8345</v>
      </c>
      <c r="C328" s="16" t="s">
        <v>8346</v>
      </c>
      <c r="D328" s="16" t="s">
        <v>7705</v>
      </c>
      <c r="E328" s="16" t="s">
        <v>8347</v>
      </c>
      <c r="F328" s="16" t="s">
        <v>8348</v>
      </c>
      <c r="G328" s="16" t="s">
        <v>8349</v>
      </c>
      <c r="H328" s="16" t="s">
        <v>8350</v>
      </c>
      <c r="I328" s="16" t="s">
        <v>1914</v>
      </c>
      <c r="J328" s="16" t="s">
        <v>928</v>
      </c>
      <c r="K328" s="16" t="s">
        <v>1915</v>
      </c>
      <c r="L328" s="16" t="s">
        <v>85</v>
      </c>
      <c r="M328" s="16" t="s">
        <v>1322</v>
      </c>
      <c r="N328" s="16" t="s">
        <v>914</v>
      </c>
      <c r="O328" s="16" t="s">
        <v>1323</v>
      </c>
      <c r="P328" s="16" t="s">
        <v>914</v>
      </c>
      <c r="Q328" s="16" t="s">
        <v>1323</v>
      </c>
      <c r="R328" s="16" t="s">
        <v>915</v>
      </c>
      <c r="S328" s="16" t="s">
        <v>915</v>
      </c>
      <c r="T328" s="16" t="s">
        <v>1322</v>
      </c>
      <c r="U328" s="16" t="s">
        <v>1324</v>
      </c>
      <c r="V328" s="16" t="s">
        <v>916</v>
      </c>
      <c r="W328" s="16" t="s">
        <v>1324</v>
      </c>
      <c r="X328" s="16" t="s">
        <v>934</v>
      </c>
      <c r="Y328" s="16" t="s">
        <v>934</v>
      </c>
      <c r="Z328" s="16" t="s">
        <v>935</v>
      </c>
      <c r="DA328" s="405" t="s">
        <v>5</v>
      </c>
      <c r="DB328" s="405" t="s">
        <v>363</v>
      </c>
      <c r="DC328" s="406" t="s">
        <v>85</v>
      </c>
      <c r="DD328" s="405" t="s">
        <v>917</v>
      </c>
      <c r="DE328" s="405" t="s">
        <v>5</v>
      </c>
      <c r="DF328" s="406" t="s">
        <v>85</v>
      </c>
      <c r="DG328" s="407">
        <v>45845</v>
      </c>
      <c r="DH328" s="405" t="s">
        <v>8347</v>
      </c>
      <c r="DI328" s="406">
        <v>465455</v>
      </c>
      <c r="DJ328" s="408">
        <v>5</v>
      </c>
      <c r="DK328" s="405">
        <v>1</v>
      </c>
      <c r="DL328" s="82">
        <v>332.47</v>
      </c>
      <c r="DM328" s="409">
        <v>1.6623500000000002</v>
      </c>
      <c r="DN328" s="82" t="s">
        <v>85</v>
      </c>
      <c r="DO328" s="82" t="s">
        <v>85</v>
      </c>
      <c r="DP328" s="410" t="s">
        <v>85</v>
      </c>
    </row>
    <row r="329" spans="1:120" x14ac:dyDescent="0.25">
      <c r="A329" s="16" t="s">
        <v>8351</v>
      </c>
      <c r="B329" s="16" t="s">
        <v>8352</v>
      </c>
      <c r="C329" s="16" t="s">
        <v>8353</v>
      </c>
      <c r="D329" s="16" t="s">
        <v>7705</v>
      </c>
      <c r="E329" s="16" t="s">
        <v>8354</v>
      </c>
      <c r="F329" s="16" t="s">
        <v>8355</v>
      </c>
      <c r="G329" s="16" t="s">
        <v>8356</v>
      </c>
      <c r="H329" s="16" t="s">
        <v>8355</v>
      </c>
      <c r="I329" s="16" t="s">
        <v>2822</v>
      </c>
      <c r="J329" s="16" t="s">
        <v>943</v>
      </c>
      <c r="K329" s="16" t="s">
        <v>2823</v>
      </c>
      <c r="L329" s="16" t="s">
        <v>85</v>
      </c>
      <c r="M329" s="16" t="s">
        <v>984</v>
      </c>
      <c r="N329" s="16" t="s">
        <v>914</v>
      </c>
      <c r="O329" s="16" t="s">
        <v>985</v>
      </c>
      <c r="P329" s="16" t="s">
        <v>914</v>
      </c>
      <c r="Q329" s="16" t="s">
        <v>985</v>
      </c>
      <c r="R329" s="16" t="s">
        <v>915</v>
      </c>
      <c r="S329" s="16" t="s">
        <v>915</v>
      </c>
      <c r="T329" s="16" t="s">
        <v>986</v>
      </c>
      <c r="U329" s="16" t="s">
        <v>987</v>
      </c>
      <c r="V329" s="16" t="s">
        <v>916</v>
      </c>
      <c r="W329" s="16" t="s">
        <v>987</v>
      </c>
      <c r="X329" s="16" t="s">
        <v>934</v>
      </c>
      <c r="Y329" s="16" t="s">
        <v>934</v>
      </c>
      <c r="Z329" s="16" t="s">
        <v>935</v>
      </c>
      <c r="DA329" s="405" t="s">
        <v>5</v>
      </c>
      <c r="DB329" s="405" t="s">
        <v>363</v>
      </c>
      <c r="DC329" s="406" t="s">
        <v>85</v>
      </c>
      <c r="DD329" s="405" t="s">
        <v>917</v>
      </c>
      <c r="DE329" s="405" t="s">
        <v>5</v>
      </c>
      <c r="DF329" s="406" t="s">
        <v>85</v>
      </c>
      <c r="DG329" s="407">
        <v>45845</v>
      </c>
      <c r="DH329" s="405" t="s">
        <v>8354</v>
      </c>
      <c r="DI329" s="406">
        <v>465455</v>
      </c>
      <c r="DJ329" s="408">
        <v>5</v>
      </c>
      <c r="DK329" s="405">
        <v>1</v>
      </c>
      <c r="DL329" s="82">
        <v>340.55</v>
      </c>
      <c r="DM329" s="409">
        <v>1.70275</v>
      </c>
      <c r="DN329" s="82" t="s">
        <v>85</v>
      </c>
      <c r="DO329" s="82" t="s">
        <v>85</v>
      </c>
      <c r="DP329" s="410" t="s">
        <v>85</v>
      </c>
    </row>
    <row r="330" spans="1:120" x14ac:dyDescent="0.25">
      <c r="A330" s="16" t="s">
        <v>8351</v>
      </c>
      <c r="B330" s="16" t="s">
        <v>8352</v>
      </c>
      <c r="C330" s="16" t="s">
        <v>8353</v>
      </c>
      <c r="D330" s="16" t="s">
        <v>7705</v>
      </c>
      <c r="E330" s="16" t="s">
        <v>8354</v>
      </c>
      <c r="F330" s="16" t="s">
        <v>8355</v>
      </c>
      <c r="G330" s="16" t="s">
        <v>8356</v>
      </c>
      <c r="H330" s="16" t="s">
        <v>8355</v>
      </c>
      <c r="I330" s="16" t="s">
        <v>968</v>
      </c>
      <c r="J330" s="16" t="s">
        <v>943</v>
      </c>
      <c r="K330" s="16" t="s">
        <v>969</v>
      </c>
      <c r="L330" s="16" t="s">
        <v>85</v>
      </c>
      <c r="M330" s="16" t="s">
        <v>984</v>
      </c>
      <c r="N330" s="16" t="s">
        <v>914</v>
      </c>
      <c r="O330" s="16" t="s">
        <v>985</v>
      </c>
      <c r="P330" s="16" t="s">
        <v>914</v>
      </c>
      <c r="Q330" s="16" t="s">
        <v>985</v>
      </c>
      <c r="R330" s="16" t="s">
        <v>915</v>
      </c>
      <c r="S330" s="16" t="s">
        <v>915</v>
      </c>
      <c r="T330" s="16" t="s">
        <v>986</v>
      </c>
      <c r="U330" s="16" t="s">
        <v>987</v>
      </c>
      <c r="V330" s="16" t="s">
        <v>916</v>
      </c>
      <c r="W330" s="16" t="s">
        <v>987</v>
      </c>
      <c r="X330" s="16" t="s">
        <v>934</v>
      </c>
      <c r="Y330" s="16" t="s">
        <v>934</v>
      </c>
      <c r="Z330" s="16" t="s">
        <v>935</v>
      </c>
      <c r="DA330" s="405" t="s">
        <v>5</v>
      </c>
      <c r="DB330" s="405" t="s">
        <v>363</v>
      </c>
      <c r="DC330" s="406" t="s">
        <v>85</v>
      </c>
      <c r="DD330" s="405" t="s">
        <v>917</v>
      </c>
      <c r="DE330" s="405" t="s">
        <v>5</v>
      </c>
      <c r="DF330" s="406" t="s">
        <v>85</v>
      </c>
      <c r="DG330" s="407">
        <v>45845</v>
      </c>
      <c r="DH330" s="405" t="s">
        <v>8354</v>
      </c>
      <c r="DI330" s="406">
        <v>465455</v>
      </c>
      <c r="DJ330" s="408">
        <v>5</v>
      </c>
      <c r="DK330" s="405">
        <v>1</v>
      </c>
      <c r="DL330" s="82">
        <v>340.55</v>
      </c>
      <c r="DM330" s="409">
        <v>1.70275</v>
      </c>
      <c r="DN330" s="82" t="s">
        <v>85</v>
      </c>
      <c r="DO330" s="82" t="s">
        <v>85</v>
      </c>
      <c r="DP330" s="410" t="s">
        <v>85</v>
      </c>
    </row>
    <row r="331" spans="1:120" x14ac:dyDescent="0.25">
      <c r="A331" s="16" t="s">
        <v>8357</v>
      </c>
      <c r="B331" s="16" t="s">
        <v>8358</v>
      </c>
      <c r="C331" s="16" t="s">
        <v>8359</v>
      </c>
      <c r="D331" s="16" t="s">
        <v>7705</v>
      </c>
      <c r="E331" s="16" t="s">
        <v>8360</v>
      </c>
      <c r="F331" s="16" t="s">
        <v>8361</v>
      </c>
      <c r="G331" s="16" t="s">
        <v>8362</v>
      </c>
      <c r="H331" s="16" t="s">
        <v>8363</v>
      </c>
      <c r="I331" s="16" t="s">
        <v>1638</v>
      </c>
      <c r="J331" s="16" t="s">
        <v>943</v>
      </c>
      <c r="K331" s="16" t="s">
        <v>1639</v>
      </c>
      <c r="L331" s="16" t="s">
        <v>85</v>
      </c>
      <c r="M331" s="16" t="s">
        <v>984</v>
      </c>
      <c r="N331" s="16" t="s">
        <v>914</v>
      </c>
      <c r="O331" s="16" t="s">
        <v>985</v>
      </c>
      <c r="P331" s="16" t="s">
        <v>914</v>
      </c>
      <c r="Q331" s="16" t="s">
        <v>985</v>
      </c>
      <c r="R331" s="16" t="s">
        <v>915</v>
      </c>
      <c r="S331" s="16" t="s">
        <v>915</v>
      </c>
      <c r="T331" s="16" t="s">
        <v>986</v>
      </c>
      <c r="U331" s="16" t="s">
        <v>987</v>
      </c>
      <c r="V331" s="16" t="s">
        <v>916</v>
      </c>
      <c r="W331" s="16" t="s">
        <v>987</v>
      </c>
      <c r="X331" s="16" t="s">
        <v>934</v>
      </c>
      <c r="Y331" s="16" t="s">
        <v>934</v>
      </c>
      <c r="Z331" s="16" t="s">
        <v>935</v>
      </c>
      <c r="DA331" s="405" t="s">
        <v>5</v>
      </c>
      <c r="DB331" s="405" t="s">
        <v>363</v>
      </c>
      <c r="DC331" s="406" t="s">
        <v>85</v>
      </c>
      <c r="DD331" s="405" t="s">
        <v>917</v>
      </c>
      <c r="DE331" s="405" t="s">
        <v>5</v>
      </c>
      <c r="DF331" s="406" t="s">
        <v>85</v>
      </c>
      <c r="DG331" s="407">
        <v>45845</v>
      </c>
      <c r="DH331" s="405" t="s">
        <v>8360</v>
      </c>
      <c r="DI331" s="406">
        <v>465455</v>
      </c>
      <c r="DJ331" s="408">
        <v>5</v>
      </c>
      <c r="DK331" s="405">
        <v>1</v>
      </c>
      <c r="DL331" s="82">
        <v>340.55</v>
      </c>
      <c r="DM331" s="409">
        <v>1.70275</v>
      </c>
      <c r="DN331" s="82" t="s">
        <v>85</v>
      </c>
      <c r="DO331" s="82" t="s">
        <v>85</v>
      </c>
      <c r="DP331" s="410" t="s">
        <v>85</v>
      </c>
    </row>
    <row r="332" spans="1:120" x14ac:dyDescent="0.25">
      <c r="A332" s="16" t="s">
        <v>8364</v>
      </c>
      <c r="B332" s="16" t="s">
        <v>8365</v>
      </c>
      <c r="C332" s="16" t="s">
        <v>8366</v>
      </c>
      <c r="D332" s="16" t="s">
        <v>7705</v>
      </c>
      <c r="E332" s="16" t="s">
        <v>8367</v>
      </c>
      <c r="F332" s="16" t="s">
        <v>8368</v>
      </c>
      <c r="G332" s="16" t="s">
        <v>8369</v>
      </c>
      <c r="H332" s="16" t="s">
        <v>8370</v>
      </c>
      <c r="I332" s="16" t="s">
        <v>1122</v>
      </c>
      <c r="J332" s="16" t="s">
        <v>1123</v>
      </c>
      <c r="K332" s="16" t="s">
        <v>1124</v>
      </c>
      <c r="L332" s="16" t="s">
        <v>85</v>
      </c>
      <c r="M332" s="16" t="s">
        <v>1238</v>
      </c>
      <c r="N332" s="16" t="s">
        <v>914</v>
      </c>
      <c r="O332" s="16" t="s">
        <v>1239</v>
      </c>
      <c r="P332" s="16" t="s">
        <v>914</v>
      </c>
      <c r="Q332" s="16" t="s">
        <v>1239</v>
      </c>
      <c r="R332" s="16" t="s">
        <v>915</v>
      </c>
      <c r="S332" s="16" t="s">
        <v>915</v>
      </c>
      <c r="T332" s="16" t="s">
        <v>1238</v>
      </c>
      <c r="U332" s="16" t="s">
        <v>1240</v>
      </c>
      <c r="V332" s="16" t="s">
        <v>916</v>
      </c>
      <c r="W332" s="16" t="s">
        <v>1240</v>
      </c>
      <c r="X332" s="16" t="s">
        <v>934</v>
      </c>
      <c r="Y332" s="16" t="s">
        <v>934</v>
      </c>
      <c r="Z332" s="16" t="s">
        <v>935</v>
      </c>
      <c r="DA332" s="405" t="s">
        <v>5</v>
      </c>
      <c r="DB332" s="405" t="s">
        <v>363</v>
      </c>
      <c r="DC332" s="406" t="s">
        <v>85</v>
      </c>
      <c r="DD332" s="405" t="s">
        <v>917</v>
      </c>
      <c r="DE332" s="405" t="s">
        <v>5</v>
      </c>
      <c r="DF332" s="406" t="s">
        <v>85</v>
      </c>
      <c r="DG332" s="407">
        <v>45845</v>
      </c>
      <c r="DH332" s="405" t="s">
        <v>8367</v>
      </c>
      <c r="DI332" s="406">
        <v>465455</v>
      </c>
      <c r="DJ332" s="408">
        <v>5</v>
      </c>
      <c r="DK332" s="405">
        <v>1</v>
      </c>
      <c r="DL332" s="82">
        <v>383.16</v>
      </c>
      <c r="DM332" s="409">
        <v>1.9158000000000002</v>
      </c>
      <c r="DN332" s="82" t="s">
        <v>85</v>
      </c>
      <c r="DO332" s="82" t="s">
        <v>85</v>
      </c>
      <c r="DP332" s="410" t="s">
        <v>85</v>
      </c>
    </row>
    <row r="333" spans="1:120" x14ac:dyDescent="0.25">
      <c r="A333" s="16" t="s">
        <v>8371</v>
      </c>
      <c r="B333" s="16" t="s">
        <v>8372</v>
      </c>
      <c r="C333" s="16" t="s">
        <v>8373</v>
      </c>
      <c r="D333" s="16" t="s">
        <v>7705</v>
      </c>
      <c r="E333" s="16" t="s">
        <v>8374</v>
      </c>
      <c r="F333" s="16" t="s">
        <v>8375</v>
      </c>
      <c r="G333" s="16" t="s">
        <v>8376</v>
      </c>
      <c r="H333" s="16" t="s">
        <v>8377</v>
      </c>
      <c r="I333" s="16" t="s">
        <v>6974</v>
      </c>
      <c r="J333" s="16" t="s">
        <v>1847</v>
      </c>
      <c r="K333" s="16" t="s">
        <v>6975</v>
      </c>
      <c r="L333" s="16" t="s">
        <v>85</v>
      </c>
      <c r="M333" s="16" t="s">
        <v>1849</v>
      </c>
      <c r="N333" s="16" t="s">
        <v>914</v>
      </c>
      <c r="O333" s="16" t="s">
        <v>1850</v>
      </c>
      <c r="P333" s="16" t="s">
        <v>914</v>
      </c>
      <c r="Q333" s="16" t="s">
        <v>1850</v>
      </c>
      <c r="R333" s="16" t="s">
        <v>915</v>
      </c>
      <c r="S333" s="16" t="s">
        <v>915</v>
      </c>
      <c r="T333" s="16" t="s">
        <v>1851</v>
      </c>
      <c r="U333" s="16" t="s">
        <v>1852</v>
      </c>
      <c r="V333" s="16" t="s">
        <v>916</v>
      </c>
      <c r="W333" s="16" t="s">
        <v>1852</v>
      </c>
      <c r="X333" s="16" t="s">
        <v>934</v>
      </c>
      <c r="Y333" s="16" t="s">
        <v>934</v>
      </c>
      <c r="Z333" s="16" t="s">
        <v>935</v>
      </c>
      <c r="DA333" s="405" t="s">
        <v>5</v>
      </c>
      <c r="DB333" s="405" t="s">
        <v>363</v>
      </c>
      <c r="DC333" s="406" t="s">
        <v>85</v>
      </c>
      <c r="DD333" s="405" t="s">
        <v>917</v>
      </c>
      <c r="DE333" s="405" t="s">
        <v>5</v>
      </c>
      <c r="DF333" s="406" t="s">
        <v>85</v>
      </c>
      <c r="DG333" s="407">
        <v>45845</v>
      </c>
      <c r="DH333" s="405" t="s">
        <v>8374</v>
      </c>
      <c r="DI333" s="406">
        <v>465455</v>
      </c>
      <c r="DJ333" s="408">
        <v>5</v>
      </c>
      <c r="DK333" s="405">
        <v>1</v>
      </c>
      <c r="DL333" s="82">
        <v>447.02</v>
      </c>
      <c r="DM333" s="409">
        <v>2.2351000000000001</v>
      </c>
      <c r="DN333" s="82" t="s">
        <v>85</v>
      </c>
      <c r="DO333" s="82" t="s">
        <v>85</v>
      </c>
      <c r="DP333" s="410" t="s">
        <v>85</v>
      </c>
    </row>
    <row r="334" spans="1:120" x14ac:dyDescent="0.25">
      <c r="A334" s="16" t="s">
        <v>8378</v>
      </c>
      <c r="B334" s="16" t="s">
        <v>8379</v>
      </c>
      <c r="C334" s="16" t="s">
        <v>8380</v>
      </c>
      <c r="D334" s="16" t="s">
        <v>7705</v>
      </c>
      <c r="E334" s="16" t="s">
        <v>8381</v>
      </c>
      <c r="F334" s="16" t="s">
        <v>8382</v>
      </c>
      <c r="G334" s="16" t="s">
        <v>8383</v>
      </c>
      <c r="H334" s="16" t="s">
        <v>8375</v>
      </c>
      <c r="I334" s="16" t="s">
        <v>2997</v>
      </c>
      <c r="J334" s="16" t="s">
        <v>943</v>
      </c>
      <c r="K334" s="16" t="s">
        <v>2998</v>
      </c>
      <c r="L334" s="16" t="s">
        <v>85</v>
      </c>
      <c r="M334" s="16" t="s">
        <v>984</v>
      </c>
      <c r="N334" s="16" t="s">
        <v>914</v>
      </c>
      <c r="O334" s="16" t="s">
        <v>985</v>
      </c>
      <c r="P334" s="16" t="s">
        <v>914</v>
      </c>
      <c r="Q334" s="16" t="s">
        <v>985</v>
      </c>
      <c r="R334" s="16" t="s">
        <v>915</v>
      </c>
      <c r="S334" s="16" t="s">
        <v>915</v>
      </c>
      <c r="T334" s="16" t="s">
        <v>986</v>
      </c>
      <c r="U334" s="16" t="s">
        <v>987</v>
      </c>
      <c r="V334" s="16" t="s">
        <v>916</v>
      </c>
      <c r="W334" s="16" t="s">
        <v>987</v>
      </c>
      <c r="X334" s="16" t="s">
        <v>934</v>
      </c>
      <c r="Y334" s="16" t="s">
        <v>934</v>
      </c>
      <c r="Z334" s="16" t="s">
        <v>935</v>
      </c>
      <c r="DA334" s="405" t="s">
        <v>5</v>
      </c>
      <c r="DB334" s="405" t="s">
        <v>363</v>
      </c>
      <c r="DC334" s="406" t="s">
        <v>85</v>
      </c>
      <c r="DD334" s="405" t="s">
        <v>917</v>
      </c>
      <c r="DE334" s="405" t="s">
        <v>5</v>
      </c>
      <c r="DF334" s="406" t="s">
        <v>85</v>
      </c>
      <c r="DG334" s="407">
        <v>45845</v>
      </c>
      <c r="DH334" s="405" t="s">
        <v>8381</v>
      </c>
      <c r="DI334" s="406">
        <v>465455</v>
      </c>
      <c r="DJ334" s="408">
        <v>5</v>
      </c>
      <c r="DK334" s="405">
        <v>1</v>
      </c>
      <c r="DL334" s="82">
        <v>340.55</v>
      </c>
      <c r="DM334" s="409">
        <v>1.70275</v>
      </c>
      <c r="DN334" s="82" t="s">
        <v>85</v>
      </c>
      <c r="DO334" s="82" t="s">
        <v>85</v>
      </c>
      <c r="DP334" s="410" t="s">
        <v>85</v>
      </c>
    </row>
    <row r="335" spans="1:120" x14ac:dyDescent="0.25">
      <c r="A335" s="16" t="s">
        <v>8384</v>
      </c>
      <c r="B335" s="16" t="s">
        <v>8385</v>
      </c>
      <c r="C335" s="16" t="s">
        <v>8386</v>
      </c>
      <c r="D335" s="16" t="s">
        <v>7705</v>
      </c>
      <c r="E335" s="16" t="s">
        <v>8387</v>
      </c>
      <c r="F335" s="16" t="s">
        <v>8388</v>
      </c>
      <c r="G335" s="16" t="s">
        <v>8389</v>
      </c>
      <c r="H335" s="16" t="s">
        <v>8390</v>
      </c>
      <c r="I335" s="16" t="s">
        <v>1728</v>
      </c>
      <c r="J335" s="16" t="s">
        <v>943</v>
      </c>
      <c r="K335" s="16" t="s">
        <v>1729</v>
      </c>
      <c r="L335" s="16" t="s">
        <v>85</v>
      </c>
      <c r="M335" s="16" t="s">
        <v>984</v>
      </c>
      <c r="N335" s="16" t="s">
        <v>914</v>
      </c>
      <c r="O335" s="16" t="s">
        <v>985</v>
      </c>
      <c r="P335" s="16" t="s">
        <v>914</v>
      </c>
      <c r="Q335" s="16" t="s">
        <v>985</v>
      </c>
      <c r="R335" s="16" t="s">
        <v>915</v>
      </c>
      <c r="S335" s="16" t="s">
        <v>915</v>
      </c>
      <c r="T335" s="16" t="s">
        <v>986</v>
      </c>
      <c r="U335" s="16" t="s">
        <v>987</v>
      </c>
      <c r="V335" s="16" t="s">
        <v>916</v>
      </c>
      <c r="W335" s="16" t="s">
        <v>987</v>
      </c>
      <c r="X335" s="16" t="s">
        <v>934</v>
      </c>
      <c r="Y335" s="16" t="s">
        <v>934</v>
      </c>
      <c r="Z335" s="16" t="s">
        <v>935</v>
      </c>
      <c r="DA335" s="405" t="s">
        <v>5</v>
      </c>
      <c r="DB335" s="405" t="s">
        <v>363</v>
      </c>
      <c r="DC335" s="406" t="s">
        <v>85</v>
      </c>
      <c r="DD335" s="405" t="s">
        <v>917</v>
      </c>
      <c r="DE335" s="405" t="s">
        <v>5</v>
      </c>
      <c r="DF335" s="406" t="s">
        <v>85</v>
      </c>
      <c r="DG335" s="407">
        <v>45845</v>
      </c>
      <c r="DH335" s="405" t="s">
        <v>8387</v>
      </c>
      <c r="DI335" s="406">
        <v>465455</v>
      </c>
      <c r="DJ335" s="408">
        <v>5</v>
      </c>
      <c r="DK335" s="405">
        <v>1</v>
      </c>
      <c r="DL335" s="82">
        <v>340.55</v>
      </c>
      <c r="DM335" s="409">
        <v>1.70275</v>
      </c>
      <c r="DN335" s="82" t="s">
        <v>85</v>
      </c>
      <c r="DO335" s="82" t="s">
        <v>85</v>
      </c>
      <c r="DP335" s="410" t="s">
        <v>85</v>
      </c>
    </row>
    <row r="336" spans="1:120" x14ac:dyDescent="0.25">
      <c r="A336" s="16" t="s">
        <v>8384</v>
      </c>
      <c r="B336" s="16" t="s">
        <v>8385</v>
      </c>
      <c r="C336" s="16" t="s">
        <v>8386</v>
      </c>
      <c r="D336" s="16" t="s">
        <v>7705</v>
      </c>
      <c r="E336" s="16" t="s">
        <v>8387</v>
      </c>
      <c r="F336" s="16" t="s">
        <v>8388</v>
      </c>
      <c r="G336" s="16" t="s">
        <v>8389</v>
      </c>
      <c r="H336" s="16" t="s">
        <v>8390</v>
      </c>
      <c r="I336" s="16" t="s">
        <v>1638</v>
      </c>
      <c r="J336" s="16" t="s">
        <v>943</v>
      </c>
      <c r="K336" s="16" t="s">
        <v>1639</v>
      </c>
      <c r="L336" s="16" t="s">
        <v>85</v>
      </c>
      <c r="M336" s="16" t="s">
        <v>984</v>
      </c>
      <c r="N336" s="16" t="s">
        <v>914</v>
      </c>
      <c r="O336" s="16" t="s">
        <v>985</v>
      </c>
      <c r="P336" s="16" t="s">
        <v>914</v>
      </c>
      <c r="Q336" s="16" t="s">
        <v>985</v>
      </c>
      <c r="R336" s="16" t="s">
        <v>915</v>
      </c>
      <c r="S336" s="16" t="s">
        <v>915</v>
      </c>
      <c r="T336" s="16" t="s">
        <v>986</v>
      </c>
      <c r="U336" s="16" t="s">
        <v>987</v>
      </c>
      <c r="V336" s="16" t="s">
        <v>916</v>
      </c>
      <c r="W336" s="16" t="s">
        <v>987</v>
      </c>
      <c r="X336" s="16" t="s">
        <v>934</v>
      </c>
      <c r="Y336" s="16" t="s">
        <v>934</v>
      </c>
      <c r="Z336" s="16" t="s">
        <v>935</v>
      </c>
      <c r="DA336" s="405" t="s">
        <v>5</v>
      </c>
      <c r="DB336" s="405" t="s">
        <v>363</v>
      </c>
      <c r="DC336" s="406" t="s">
        <v>85</v>
      </c>
      <c r="DD336" s="405" t="s">
        <v>917</v>
      </c>
      <c r="DE336" s="405" t="s">
        <v>5</v>
      </c>
      <c r="DF336" s="406" t="s">
        <v>85</v>
      </c>
      <c r="DG336" s="407">
        <v>45845</v>
      </c>
      <c r="DH336" s="405" t="s">
        <v>8387</v>
      </c>
      <c r="DI336" s="406">
        <v>465455</v>
      </c>
      <c r="DJ336" s="408">
        <v>5</v>
      </c>
      <c r="DK336" s="405">
        <v>1</v>
      </c>
      <c r="DL336" s="82">
        <v>340.55</v>
      </c>
      <c r="DM336" s="409">
        <v>1.70275</v>
      </c>
      <c r="DN336" s="82" t="s">
        <v>85</v>
      </c>
      <c r="DO336" s="82" t="s">
        <v>85</v>
      </c>
      <c r="DP336" s="410" t="s">
        <v>85</v>
      </c>
    </row>
    <row r="337" spans="1:120" x14ac:dyDescent="0.25">
      <c r="A337" s="16" t="s">
        <v>8391</v>
      </c>
      <c r="B337" s="16" t="s">
        <v>8392</v>
      </c>
      <c r="C337" s="16" t="s">
        <v>8393</v>
      </c>
      <c r="D337" s="16" t="s">
        <v>7705</v>
      </c>
      <c r="E337" s="16" t="s">
        <v>8394</v>
      </c>
      <c r="F337" s="16" t="s">
        <v>8395</v>
      </c>
      <c r="G337" s="16" t="s">
        <v>8396</v>
      </c>
      <c r="H337" s="16" t="s">
        <v>8388</v>
      </c>
      <c r="I337" s="16" t="s">
        <v>2793</v>
      </c>
      <c r="J337" s="16" t="s">
        <v>943</v>
      </c>
      <c r="K337" s="16" t="s">
        <v>2794</v>
      </c>
      <c r="L337" s="16" t="s">
        <v>85</v>
      </c>
      <c r="M337" s="16" t="s">
        <v>984</v>
      </c>
      <c r="N337" s="16" t="s">
        <v>914</v>
      </c>
      <c r="O337" s="16" t="s">
        <v>985</v>
      </c>
      <c r="P337" s="16" t="s">
        <v>914</v>
      </c>
      <c r="Q337" s="16" t="s">
        <v>985</v>
      </c>
      <c r="R337" s="16" t="s">
        <v>915</v>
      </c>
      <c r="S337" s="16" t="s">
        <v>915</v>
      </c>
      <c r="T337" s="16" t="s">
        <v>986</v>
      </c>
      <c r="U337" s="16" t="s">
        <v>987</v>
      </c>
      <c r="V337" s="16" t="s">
        <v>916</v>
      </c>
      <c r="W337" s="16" t="s">
        <v>987</v>
      </c>
      <c r="X337" s="16" t="s">
        <v>934</v>
      </c>
      <c r="Y337" s="16" t="s">
        <v>934</v>
      </c>
      <c r="Z337" s="16" t="s">
        <v>935</v>
      </c>
      <c r="DA337" s="405" t="s">
        <v>5</v>
      </c>
      <c r="DB337" s="405" t="s">
        <v>363</v>
      </c>
      <c r="DC337" s="406" t="s">
        <v>85</v>
      </c>
      <c r="DD337" s="405" t="s">
        <v>917</v>
      </c>
      <c r="DE337" s="405" t="s">
        <v>5</v>
      </c>
      <c r="DF337" s="406" t="s">
        <v>85</v>
      </c>
      <c r="DG337" s="407">
        <v>45845</v>
      </c>
      <c r="DH337" s="405" t="s">
        <v>8394</v>
      </c>
      <c r="DI337" s="406">
        <v>465455</v>
      </c>
      <c r="DJ337" s="408">
        <v>5</v>
      </c>
      <c r="DK337" s="405">
        <v>1</v>
      </c>
      <c r="DL337" s="82">
        <v>340.55</v>
      </c>
      <c r="DM337" s="409">
        <v>1.70275</v>
      </c>
      <c r="DN337" s="82" t="s">
        <v>85</v>
      </c>
      <c r="DO337" s="82" t="s">
        <v>85</v>
      </c>
      <c r="DP337" s="410" t="s">
        <v>85</v>
      </c>
    </row>
    <row r="338" spans="1:120" x14ac:dyDescent="0.25">
      <c r="A338" s="16" t="s">
        <v>8391</v>
      </c>
      <c r="B338" s="16" t="s">
        <v>8392</v>
      </c>
      <c r="C338" s="16" t="s">
        <v>8393</v>
      </c>
      <c r="D338" s="16" t="s">
        <v>7705</v>
      </c>
      <c r="E338" s="16" t="s">
        <v>8394</v>
      </c>
      <c r="F338" s="16" t="s">
        <v>8395</v>
      </c>
      <c r="G338" s="16" t="s">
        <v>8396</v>
      </c>
      <c r="H338" s="16" t="s">
        <v>8388</v>
      </c>
      <c r="I338" s="16" t="s">
        <v>2960</v>
      </c>
      <c r="J338" s="16" t="s">
        <v>943</v>
      </c>
      <c r="K338" s="16" t="s">
        <v>2961</v>
      </c>
      <c r="L338" s="16" t="s">
        <v>85</v>
      </c>
      <c r="M338" s="16" t="s">
        <v>984</v>
      </c>
      <c r="N338" s="16" t="s">
        <v>914</v>
      </c>
      <c r="O338" s="16" t="s">
        <v>985</v>
      </c>
      <c r="P338" s="16" t="s">
        <v>914</v>
      </c>
      <c r="Q338" s="16" t="s">
        <v>985</v>
      </c>
      <c r="R338" s="16" t="s">
        <v>915</v>
      </c>
      <c r="S338" s="16" t="s">
        <v>915</v>
      </c>
      <c r="T338" s="16" t="s">
        <v>986</v>
      </c>
      <c r="U338" s="16" t="s">
        <v>987</v>
      </c>
      <c r="V338" s="16" t="s">
        <v>916</v>
      </c>
      <c r="W338" s="16" t="s">
        <v>987</v>
      </c>
      <c r="X338" s="16" t="s">
        <v>934</v>
      </c>
      <c r="Y338" s="16" t="s">
        <v>934</v>
      </c>
      <c r="Z338" s="16" t="s">
        <v>935</v>
      </c>
      <c r="DA338" s="405" t="s">
        <v>5</v>
      </c>
      <c r="DB338" s="405" t="s">
        <v>363</v>
      </c>
      <c r="DC338" s="406" t="s">
        <v>85</v>
      </c>
      <c r="DD338" s="405" t="s">
        <v>917</v>
      </c>
      <c r="DE338" s="405" t="s">
        <v>5</v>
      </c>
      <c r="DF338" s="406" t="s">
        <v>85</v>
      </c>
      <c r="DG338" s="407">
        <v>45845</v>
      </c>
      <c r="DH338" s="405" t="s">
        <v>8394</v>
      </c>
      <c r="DI338" s="406">
        <v>465455</v>
      </c>
      <c r="DJ338" s="408">
        <v>5</v>
      </c>
      <c r="DK338" s="405">
        <v>1</v>
      </c>
      <c r="DL338" s="82">
        <v>340.55</v>
      </c>
      <c r="DM338" s="409">
        <v>1.70275</v>
      </c>
      <c r="DN338" s="82" t="s">
        <v>85</v>
      </c>
      <c r="DO338" s="82" t="s">
        <v>85</v>
      </c>
      <c r="DP338" s="410" t="s">
        <v>85</v>
      </c>
    </row>
    <row r="339" spans="1:120" x14ac:dyDescent="0.25">
      <c r="A339" s="16" t="s">
        <v>8397</v>
      </c>
      <c r="B339" s="16" t="s">
        <v>8398</v>
      </c>
      <c r="C339" s="16" t="s">
        <v>8399</v>
      </c>
      <c r="D339" s="16" t="s">
        <v>7705</v>
      </c>
      <c r="E339" s="16" t="s">
        <v>8400</v>
      </c>
      <c r="F339" s="16" t="s">
        <v>8401</v>
      </c>
      <c r="G339" s="16" t="s">
        <v>8402</v>
      </c>
      <c r="H339" s="16" t="s">
        <v>8401</v>
      </c>
      <c r="I339" s="16" t="s">
        <v>1214</v>
      </c>
      <c r="J339" s="16" t="s">
        <v>1036</v>
      </c>
      <c r="K339" s="16" t="s">
        <v>1215</v>
      </c>
      <c r="L339" s="16" t="s">
        <v>85</v>
      </c>
      <c r="M339" s="16" t="s">
        <v>1216</v>
      </c>
      <c r="N339" s="16" t="s">
        <v>914</v>
      </c>
      <c r="O339" s="16" t="s">
        <v>946</v>
      </c>
      <c r="P339" s="16" t="s">
        <v>914</v>
      </c>
      <c r="Q339" s="16" t="s">
        <v>946</v>
      </c>
      <c r="R339" s="16" t="s">
        <v>915</v>
      </c>
      <c r="S339" s="16" t="s">
        <v>915</v>
      </c>
      <c r="T339" s="16" t="s">
        <v>1216</v>
      </c>
      <c r="U339" s="16" t="s">
        <v>1217</v>
      </c>
      <c r="V339" s="16" t="s">
        <v>916</v>
      </c>
      <c r="W339" s="16" t="s">
        <v>1217</v>
      </c>
      <c r="X339" s="16" t="s">
        <v>934</v>
      </c>
      <c r="Y339" s="16" t="s">
        <v>934</v>
      </c>
      <c r="Z339" s="16" t="s">
        <v>935</v>
      </c>
      <c r="DA339" s="405" t="s">
        <v>5</v>
      </c>
      <c r="DB339" s="405" t="s">
        <v>363</v>
      </c>
      <c r="DC339" s="406" t="s">
        <v>85</v>
      </c>
      <c r="DD339" s="405" t="s">
        <v>917</v>
      </c>
      <c r="DE339" s="405" t="s">
        <v>5</v>
      </c>
      <c r="DF339" s="406" t="s">
        <v>85</v>
      </c>
      <c r="DG339" s="407">
        <v>45845</v>
      </c>
      <c r="DH339" s="405" t="s">
        <v>8400</v>
      </c>
      <c r="DI339" s="406">
        <v>465455</v>
      </c>
      <c r="DJ339" s="408">
        <v>5</v>
      </c>
      <c r="DK339" s="405">
        <v>1</v>
      </c>
      <c r="DL339" s="82">
        <v>319.22000000000003</v>
      </c>
      <c r="DM339" s="409">
        <v>1.5961000000000001</v>
      </c>
      <c r="DN339" s="82" t="s">
        <v>85</v>
      </c>
      <c r="DO339" s="82" t="s">
        <v>85</v>
      </c>
      <c r="DP339" s="410" t="s">
        <v>85</v>
      </c>
    </row>
    <row r="340" spans="1:120" x14ac:dyDescent="0.25">
      <c r="A340" s="16" t="s">
        <v>8403</v>
      </c>
      <c r="B340" s="16" t="s">
        <v>8404</v>
      </c>
      <c r="C340" s="16" t="s">
        <v>8405</v>
      </c>
      <c r="D340" s="16" t="s">
        <v>7705</v>
      </c>
      <c r="E340" s="16" t="s">
        <v>8406</v>
      </c>
      <c r="F340" s="16" t="s">
        <v>8401</v>
      </c>
      <c r="G340" s="16" t="s">
        <v>8407</v>
      </c>
      <c r="H340" s="16" t="s">
        <v>8401</v>
      </c>
      <c r="I340" s="16" t="s">
        <v>3164</v>
      </c>
      <c r="J340" s="16" t="s">
        <v>995</v>
      </c>
      <c r="K340" s="16" t="s">
        <v>3165</v>
      </c>
      <c r="L340" s="16" t="s">
        <v>85</v>
      </c>
      <c r="M340" s="16" t="s">
        <v>1165</v>
      </c>
      <c r="N340" s="16" t="s">
        <v>914</v>
      </c>
      <c r="O340" s="16" t="s">
        <v>1166</v>
      </c>
      <c r="P340" s="16" t="s">
        <v>914</v>
      </c>
      <c r="Q340" s="16" t="s">
        <v>1166</v>
      </c>
      <c r="R340" s="16" t="s">
        <v>915</v>
      </c>
      <c r="S340" s="16" t="s">
        <v>915</v>
      </c>
      <c r="T340" s="16" t="s">
        <v>1167</v>
      </c>
      <c r="U340" s="16" t="s">
        <v>1168</v>
      </c>
      <c r="V340" s="16" t="s">
        <v>916</v>
      </c>
      <c r="W340" s="16" t="s">
        <v>1168</v>
      </c>
      <c r="X340" s="16" t="s">
        <v>934</v>
      </c>
      <c r="Y340" s="16" t="s">
        <v>934</v>
      </c>
      <c r="Z340" s="16" t="s">
        <v>935</v>
      </c>
      <c r="DA340" s="405" t="s">
        <v>5</v>
      </c>
      <c r="DB340" s="405" t="s">
        <v>363</v>
      </c>
      <c r="DC340" s="406" t="s">
        <v>85</v>
      </c>
      <c r="DD340" s="405" t="s">
        <v>917</v>
      </c>
      <c r="DE340" s="405" t="s">
        <v>5</v>
      </c>
      <c r="DF340" s="406" t="s">
        <v>85</v>
      </c>
      <c r="DG340" s="407">
        <v>45845</v>
      </c>
      <c r="DH340" s="405" t="s">
        <v>8406</v>
      </c>
      <c r="DI340" s="406">
        <v>465455</v>
      </c>
      <c r="DJ340" s="408">
        <v>5</v>
      </c>
      <c r="DK340" s="405">
        <v>1</v>
      </c>
      <c r="DL340" s="82">
        <v>468.28</v>
      </c>
      <c r="DM340" s="409">
        <v>2.3413999999999997</v>
      </c>
      <c r="DN340" s="82" t="s">
        <v>85</v>
      </c>
      <c r="DO340" s="82" t="s">
        <v>85</v>
      </c>
      <c r="DP340" s="410" t="s">
        <v>85</v>
      </c>
    </row>
    <row r="341" spans="1:120" x14ac:dyDescent="0.25">
      <c r="A341" s="16" t="s">
        <v>8408</v>
      </c>
      <c r="B341" s="16" t="s">
        <v>8409</v>
      </c>
      <c r="C341" s="16" t="s">
        <v>8410</v>
      </c>
      <c r="D341" s="16" t="s">
        <v>7705</v>
      </c>
      <c r="E341" s="16" t="s">
        <v>8411</v>
      </c>
      <c r="F341" s="16" t="s">
        <v>8412</v>
      </c>
      <c r="G341" s="16" t="s">
        <v>8413</v>
      </c>
      <c r="H341" s="16" t="s">
        <v>8414</v>
      </c>
      <c r="I341" s="16" t="s">
        <v>2271</v>
      </c>
      <c r="J341" s="16" t="s">
        <v>995</v>
      </c>
      <c r="K341" s="16" t="s">
        <v>2272</v>
      </c>
      <c r="L341" s="16" t="s">
        <v>85</v>
      </c>
      <c r="M341" s="16" t="s">
        <v>1165</v>
      </c>
      <c r="N341" s="16" t="s">
        <v>914</v>
      </c>
      <c r="O341" s="16" t="s">
        <v>1166</v>
      </c>
      <c r="P341" s="16" t="s">
        <v>914</v>
      </c>
      <c r="Q341" s="16" t="s">
        <v>1166</v>
      </c>
      <c r="R341" s="16" t="s">
        <v>915</v>
      </c>
      <c r="S341" s="16" t="s">
        <v>915</v>
      </c>
      <c r="T341" s="16" t="s">
        <v>1167</v>
      </c>
      <c r="U341" s="16" t="s">
        <v>1168</v>
      </c>
      <c r="V341" s="16" t="s">
        <v>916</v>
      </c>
      <c r="W341" s="16" t="s">
        <v>1168</v>
      </c>
      <c r="X341" s="16" t="s">
        <v>934</v>
      </c>
      <c r="Y341" s="16" t="s">
        <v>934</v>
      </c>
      <c r="Z341" s="16" t="s">
        <v>935</v>
      </c>
      <c r="DA341" s="405" t="s">
        <v>5</v>
      </c>
      <c r="DB341" s="405" t="s">
        <v>363</v>
      </c>
      <c r="DC341" s="406" t="s">
        <v>85</v>
      </c>
      <c r="DD341" s="405" t="s">
        <v>917</v>
      </c>
      <c r="DE341" s="405" t="s">
        <v>5</v>
      </c>
      <c r="DF341" s="406" t="s">
        <v>85</v>
      </c>
      <c r="DG341" s="407">
        <v>45845</v>
      </c>
      <c r="DH341" s="405" t="s">
        <v>8411</v>
      </c>
      <c r="DI341" s="406">
        <v>465455</v>
      </c>
      <c r="DJ341" s="408">
        <v>5</v>
      </c>
      <c r="DK341" s="405">
        <v>1</v>
      </c>
      <c r="DL341" s="82">
        <v>468.28</v>
      </c>
      <c r="DM341" s="409">
        <v>2.3413999999999997</v>
      </c>
      <c r="DN341" s="82" t="s">
        <v>85</v>
      </c>
      <c r="DO341" s="82" t="s">
        <v>85</v>
      </c>
      <c r="DP341" s="410" t="s">
        <v>85</v>
      </c>
    </row>
    <row r="342" spans="1:120" x14ac:dyDescent="0.25">
      <c r="A342" s="16" t="s">
        <v>8415</v>
      </c>
      <c r="B342" s="16" t="s">
        <v>8416</v>
      </c>
      <c r="C342" s="16" t="s">
        <v>8417</v>
      </c>
      <c r="D342" s="16" t="s">
        <v>7705</v>
      </c>
      <c r="E342" s="16" t="s">
        <v>8418</v>
      </c>
      <c r="F342" s="16" t="s">
        <v>8419</v>
      </c>
      <c r="G342" s="16" t="s">
        <v>8420</v>
      </c>
      <c r="H342" s="16" t="s">
        <v>8419</v>
      </c>
      <c r="I342" s="16" t="s">
        <v>1090</v>
      </c>
      <c r="J342" s="16" t="s">
        <v>943</v>
      </c>
      <c r="K342" s="16" t="s">
        <v>1091</v>
      </c>
      <c r="L342" s="16" t="s">
        <v>85</v>
      </c>
      <c r="M342" s="16" t="s">
        <v>984</v>
      </c>
      <c r="N342" s="16" t="s">
        <v>914</v>
      </c>
      <c r="O342" s="16" t="s">
        <v>985</v>
      </c>
      <c r="P342" s="16" t="s">
        <v>914</v>
      </c>
      <c r="Q342" s="16" t="s">
        <v>985</v>
      </c>
      <c r="R342" s="16" t="s">
        <v>915</v>
      </c>
      <c r="S342" s="16" t="s">
        <v>915</v>
      </c>
      <c r="T342" s="16" t="s">
        <v>986</v>
      </c>
      <c r="U342" s="16" t="s">
        <v>987</v>
      </c>
      <c r="V342" s="16" t="s">
        <v>916</v>
      </c>
      <c r="W342" s="16" t="s">
        <v>987</v>
      </c>
      <c r="X342" s="16" t="s">
        <v>934</v>
      </c>
      <c r="Y342" s="16" t="s">
        <v>934</v>
      </c>
      <c r="Z342" s="16" t="s">
        <v>935</v>
      </c>
      <c r="DA342" s="405" t="s">
        <v>5</v>
      </c>
      <c r="DB342" s="405" t="s">
        <v>363</v>
      </c>
      <c r="DC342" s="406" t="s">
        <v>85</v>
      </c>
      <c r="DD342" s="405" t="s">
        <v>917</v>
      </c>
      <c r="DE342" s="405" t="s">
        <v>5</v>
      </c>
      <c r="DF342" s="406" t="s">
        <v>85</v>
      </c>
      <c r="DG342" s="407">
        <v>45845</v>
      </c>
      <c r="DH342" s="405" t="s">
        <v>8418</v>
      </c>
      <c r="DI342" s="406">
        <v>465455</v>
      </c>
      <c r="DJ342" s="408">
        <v>5</v>
      </c>
      <c r="DK342" s="405">
        <v>1</v>
      </c>
      <c r="DL342" s="82">
        <v>340.55</v>
      </c>
      <c r="DM342" s="409">
        <v>1.70275</v>
      </c>
      <c r="DN342" s="82" t="s">
        <v>85</v>
      </c>
      <c r="DO342" s="82" t="s">
        <v>85</v>
      </c>
      <c r="DP342" s="410" t="s">
        <v>85</v>
      </c>
    </row>
    <row r="343" spans="1:120" x14ac:dyDescent="0.25">
      <c r="A343" s="16" t="s">
        <v>8421</v>
      </c>
      <c r="B343" s="16" t="s">
        <v>8422</v>
      </c>
      <c r="C343" s="16" t="s">
        <v>8423</v>
      </c>
      <c r="D343" s="16" t="s">
        <v>7705</v>
      </c>
      <c r="E343" s="16" t="s">
        <v>8424</v>
      </c>
      <c r="F343" s="16" t="s">
        <v>8425</v>
      </c>
      <c r="G343" s="16" t="s">
        <v>8426</v>
      </c>
      <c r="H343" s="16" t="s">
        <v>8425</v>
      </c>
      <c r="I343" s="16" t="s">
        <v>4273</v>
      </c>
      <c r="J343" s="16" t="s">
        <v>943</v>
      </c>
      <c r="K343" s="16" t="s">
        <v>4274</v>
      </c>
      <c r="L343" s="16" t="s">
        <v>85</v>
      </c>
      <c r="M343" s="16" t="s">
        <v>984</v>
      </c>
      <c r="N343" s="16" t="s">
        <v>914</v>
      </c>
      <c r="O343" s="16" t="s">
        <v>985</v>
      </c>
      <c r="P343" s="16" t="s">
        <v>914</v>
      </c>
      <c r="Q343" s="16" t="s">
        <v>985</v>
      </c>
      <c r="R343" s="16" t="s">
        <v>915</v>
      </c>
      <c r="S343" s="16" t="s">
        <v>915</v>
      </c>
      <c r="T343" s="16" t="s">
        <v>986</v>
      </c>
      <c r="U343" s="16" t="s">
        <v>987</v>
      </c>
      <c r="V343" s="16" t="s">
        <v>916</v>
      </c>
      <c r="W343" s="16" t="s">
        <v>987</v>
      </c>
      <c r="X343" s="16" t="s">
        <v>934</v>
      </c>
      <c r="Y343" s="16" t="s">
        <v>934</v>
      </c>
      <c r="Z343" s="16" t="s">
        <v>935</v>
      </c>
      <c r="DA343" s="405" t="s">
        <v>5</v>
      </c>
      <c r="DB343" s="405" t="s">
        <v>363</v>
      </c>
      <c r="DC343" s="406" t="s">
        <v>85</v>
      </c>
      <c r="DD343" s="405" t="s">
        <v>917</v>
      </c>
      <c r="DE343" s="405" t="s">
        <v>5</v>
      </c>
      <c r="DF343" s="406" t="s">
        <v>85</v>
      </c>
      <c r="DG343" s="407">
        <v>45845</v>
      </c>
      <c r="DH343" s="405" t="s">
        <v>8424</v>
      </c>
      <c r="DI343" s="406">
        <v>465455</v>
      </c>
      <c r="DJ343" s="408">
        <v>5</v>
      </c>
      <c r="DK343" s="405">
        <v>1</v>
      </c>
      <c r="DL343" s="82">
        <v>340.55</v>
      </c>
      <c r="DM343" s="409">
        <v>1.70275</v>
      </c>
      <c r="DN343" s="82" t="s">
        <v>85</v>
      </c>
      <c r="DO343" s="82" t="s">
        <v>85</v>
      </c>
      <c r="DP343" s="410" t="s">
        <v>85</v>
      </c>
    </row>
    <row r="344" spans="1:120" x14ac:dyDescent="0.25">
      <c r="A344" s="16" t="s">
        <v>8427</v>
      </c>
      <c r="B344" s="16" t="s">
        <v>8428</v>
      </c>
      <c r="C344" s="16" t="s">
        <v>8429</v>
      </c>
      <c r="D344" s="16" t="s">
        <v>7705</v>
      </c>
      <c r="E344" s="16" t="s">
        <v>8430</v>
      </c>
      <c r="F344" s="16" t="s">
        <v>8431</v>
      </c>
      <c r="G344" s="16" t="s">
        <v>8432</v>
      </c>
      <c r="H344" s="16" t="s">
        <v>8433</v>
      </c>
      <c r="I344" s="16" t="s">
        <v>5129</v>
      </c>
      <c r="J344" s="16" t="s">
        <v>1354</v>
      </c>
      <c r="K344" s="16" t="s">
        <v>5130</v>
      </c>
      <c r="L344" s="16" t="s">
        <v>85</v>
      </c>
      <c r="M344" s="16" t="s">
        <v>945</v>
      </c>
      <c r="N344" s="16" t="s">
        <v>914</v>
      </c>
      <c r="O344" s="16" t="s">
        <v>946</v>
      </c>
      <c r="P344" s="16" t="s">
        <v>914</v>
      </c>
      <c r="Q344" s="16" t="s">
        <v>946</v>
      </c>
      <c r="R344" s="16" t="s">
        <v>915</v>
      </c>
      <c r="S344" s="16" t="s">
        <v>915</v>
      </c>
      <c r="T344" s="16" t="s">
        <v>945</v>
      </c>
      <c r="U344" s="16" t="s">
        <v>947</v>
      </c>
      <c r="V344" s="16" t="s">
        <v>916</v>
      </c>
      <c r="W344" s="16" t="s">
        <v>947</v>
      </c>
      <c r="X344" s="16" t="s">
        <v>934</v>
      </c>
      <c r="Y344" s="16" t="s">
        <v>934</v>
      </c>
      <c r="Z344" s="16" t="s">
        <v>935</v>
      </c>
      <c r="DA344" s="405" t="s">
        <v>5</v>
      </c>
      <c r="DB344" s="405" t="s">
        <v>363</v>
      </c>
      <c r="DC344" s="406" t="s">
        <v>85</v>
      </c>
      <c r="DD344" s="405" t="s">
        <v>917</v>
      </c>
      <c r="DE344" s="405" t="s">
        <v>5</v>
      </c>
      <c r="DF344" s="406" t="s">
        <v>85</v>
      </c>
      <c r="DG344" s="407">
        <v>45845</v>
      </c>
      <c r="DH344" s="405" t="s">
        <v>8430</v>
      </c>
      <c r="DI344" s="406">
        <v>465455</v>
      </c>
      <c r="DJ344" s="408">
        <v>5</v>
      </c>
      <c r="DK344" s="405">
        <v>1</v>
      </c>
      <c r="DL344" s="82">
        <v>319.27</v>
      </c>
      <c r="DM344" s="409">
        <v>1.5963499999999999</v>
      </c>
      <c r="DN344" s="82" t="s">
        <v>85</v>
      </c>
      <c r="DO344" s="82" t="s">
        <v>85</v>
      </c>
      <c r="DP344" s="410" t="s">
        <v>85</v>
      </c>
    </row>
    <row r="345" spans="1:120" x14ac:dyDescent="0.25">
      <c r="A345" s="16" t="s">
        <v>8434</v>
      </c>
      <c r="B345" s="16" t="s">
        <v>8435</v>
      </c>
      <c r="C345" s="16" t="s">
        <v>8436</v>
      </c>
      <c r="D345" s="16" t="s">
        <v>7705</v>
      </c>
      <c r="E345" s="16" t="s">
        <v>8437</v>
      </c>
      <c r="F345" s="16" t="s">
        <v>8438</v>
      </c>
      <c r="G345" s="16" t="s">
        <v>8439</v>
      </c>
      <c r="H345" s="16" t="s">
        <v>8440</v>
      </c>
      <c r="I345" s="16" t="s">
        <v>8441</v>
      </c>
      <c r="J345" s="16" t="s">
        <v>1509</v>
      </c>
      <c r="K345" s="16" t="s">
        <v>8442</v>
      </c>
      <c r="L345" s="16" t="s">
        <v>85</v>
      </c>
      <c r="M345" s="16" t="s">
        <v>1511</v>
      </c>
      <c r="N345" s="16" t="s">
        <v>914</v>
      </c>
      <c r="O345" s="16" t="s">
        <v>1512</v>
      </c>
      <c r="P345" s="16" t="s">
        <v>914</v>
      </c>
      <c r="Q345" s="16" t="s">
        <v>1512</v>
      </c>
      <c r="R345" s="16" t="s">
        <v>915</v>
      </c>
      <c r="S345" s="16" t="s">
        <v>915</v>
      </c>
      <c r="T345" s="16" t="s">
        <v>1511</v>
      </c>
      <c r="U345" s="16" t="s">
        <v>1513</v>
      </c>
      <c r="V345" s="16" t="s">
        <v>916</v>
      </c>
      <c r="W345" s="16" t="s">
        <v>1513</v>
      </c>
      <c r="X345" s="16" t="s">
        <v>934</v>
      </c>
      <c r="Y345" s="16" t="s">
        <v>934</v>
      </c>
      <c r="Z345" s="16" t="s">
        <v>935</v>
      </c>
      <c r="DA345" s="405" t="s">
        <v>5</v>
      </c>
      <c r="DB345" s="405" t="s">
        <v>363</v>
      </c>
      <c r="DC345" s="406" t="s">
        <v>85</v>
      </c>
      <c r="DD345" s="405" t="s">
        <v>917</v>
      </c>
      <c r="DE345" s="405" t="s">
        <v>5</v>
      </c>
      <c r="DF345" s="406" t="s">
        <v>85</v>
      </c>
      <c r="DG345" s="407">
        <v>45845</v>
      </c>
      <c r="DH345" s="405" t="s">
        <v>8437</v>
      </c>
      <c r="DI345" s="406">
        <v>465455</v>
      </c>
      <c r="DJ345" s="408">
        <v>5</v>
      </c>
      <c r="DK345" s="405">
        <v>1</v>
      </c>
      <c r="DL345" s="82">
        <v>526.82000000000005</v>
      </c>
      <c r="DM345" s="409">
        <v>2.6341000000000001</v>
      </c>
      <c r="DN345" s="82" t="s">
        <v>85</v>
      </c>
      <c r="DO345" s="82" t="s">
        <v>85</v>
      </c>
      <c r="DP345" s="410" t="s">
        <v>85</v>
      </c>
    </row>
    <row r="346" spans="1:120" x14ac:dyDescent="0.25">
      <c r="A346" s="16" t="s">
        <v>8443</v>
      </c>
      <c r="B346" s="16" t="s">
        <v>8444</v>
      </c>
      <c r="C346" s="16" t="s">
        <v>8445</v>
      </c>
      <c r="D346" s="16" t="s">
        <v>7705</v>
      </c>
      <c r="E346" s="16" t="s">
        <v>8446</v>
      </c>
      <c r="F346" s="16" t="s">
        <v>8447</v>
      </c>
      <c r="G346" s="16" t="s">
        <v>8448</v>
      </c>
      <c r="H346" s="16" t="s">
        <v>8449</v>
      </c>
      <c r="I346" s="16" t="s">
        <v>1108</v>
      </c>
      <c r="J346" s="16" t="s">
        <v>1109</v>
      </c>
      <c r="K346" s="16" t="s">
        <v>1110</v>
      </c>
      <c r="L346" s="16" t="s">
        <v>85</v>
      </c>
      <c r="M346" s="16" t="s">
        <v>1311</v>
      </c>
      <c r="N346" s="16" t="s">
        <v>914</v>
      </c>
      <c r="O346" s="16" t="s">
        <v>1312</v>
      </c>
      <c r="P346" s="16" t="s">
        <v>914</v>
      </c>
      <c r="Q346" s="16" t="s">
        <v>1312</v>
      </c>
      <c r="R346" s="16" t="s">
        <v>915</v>
      </c>
      <c r="S346" s="16" t="s">
        <v>915</v>
      </c>
      <c r="T346" s="16" t="s">
        <v>1311</v>
      </c>
      <c r="U346" s="16" t="s">
        <v>1313</v>
      </c>
      <c r="V346" s="16" t="s">
        <v>916</v>
      </c>
      <c r="W346" s="16" t="s">
        <v>1313</v>
      </c>
      <c r="X346" s="16" t="s">
        <v>934</v>
      </c>
      <c r="Y346" s="16" t="s">
        <v>934</v>
      </c>
      <c r="Z346" s="16" t="s">
        <v>935</v>
      </c>
      <c r="DA346" s="405" t="s">
        <v>5</v>
      </c>
      <c r="DB346" s="405" t="s">
        <v>363</v>
      </c>
      <c r="DC346" s="406" t="s">
        <v>85</v>
      </c>
      <c r="DD346" s="405" t="s">
        <v>917</v>
      </c>
      <c r="DE346" s="405" t="s">
        <v>5</v>
      </c>
      <c r="DF346" s="406" t="s">
        <v>85</v>
      </c>
      <c r="DG346" s="407">
        <v>45845</v>
      </c>
      <c r="DH346" s="405" t="s">
        <v>8446</v>
      </c>
      <c r="DI346" s="406">
        <v>465455</v>
      </c>
      <c r="DJ346" s="408">
        <v>5</v>
      </c>
      <c r="DK346" s="405">
        <v>1</v>
      </c>
      <c r="DL346" s="82">
        <v>531.54</v>
      </c>
      <c r="DM346" s="409">
        <v>2.6576999999999997</v>
      </c>
      <c r="DN346" s="82" t="s">
        <v>85</v>
      </c>
      <c r="DO346" s="82" t="s">
        <v>85</v>
      </c>
      <c r="DP346" s="410" t="s">
        <v>85</v>
      </c>
    </row>
    <row r="347" spans="1:120" x14ac:dyDescent="0.25">
      <c r="A347" s="16" t="s">
        <v>8450</v>
      </c>
      <c r="B347" s="16" t="s">
        <v>8451</v>
      </c>
      <c r="C347" s="16" t="s">
        <v>8452</v>
      </c>
      <c r="D347" s="16" t="s">
        <v>7705</v>
      </c>
      <c r="E347" s="16" t="s">
        <v>8453</v>
      </c>
      <c r="F347" s="16" t="s">
        <v>8454</v>
      </c>
      <c r="G347" s="16" t="s">
        <v>8455</v>
      </c>
      <c r="H347" s="16" t="s">
        <v>8454</v>
      </c>
      <c r="I347" s="16" t="s">
        <v>7512</v>
      </c>
      <c r="J347" s="16" t="s">
        <v>1354</v>
      </c>
      <c r="K347" s="16" t="s">
        <v>7513</v>
      </c>
      <c r="L347" s="16" t="s">
        <v>85</v>
      </c>
      <c r="M347" s="16" t="s">
        <v>945</v>
      </c>
      <c r="N347" s="16" t="s">
        <v>914</v>
      </c>
      <c r="O347" s="16" t="s">
        <v>946</v>
      </c>
      <c r="P347" s="16" t="s">
        <v>914</v>
      </c>
      <c r="Q347" s="16" t="s">
        <v>946</v>
      </c>
      <c r="R347" s="16" t="s">
        <v>915</v>
      </c>
      <c r="S347" s="16" t="s">
        <v>915</v>
      </c>
      <c r="T347" s="16" t="s">
        <v>945</v>
      </c>
      <c r="U347" s="16" t="s">
        <v>947</v>
      </c>
      <c r="V347" s="16" t="s">
        <v>916</v>
      </c>
      <c r="W347" s="16" t="s">
        <v>947</v>
      </c>
      <c r="X347" s="16" t="s">
        <v>934</v>
      </c>
      <c r="Y347" s="16" t="s">
        <v>934</v>
      </c>
      <c r="Z347" s="16" t="s">
        <v>935</v>
      </c>
      <c r="DA347" s="405" t="s">
        <v>5</v>
      </c>
      <c r="DB347" s="405" t="s">
        <v>363</v>
      </c>
      <c r="DC347" s="406" t="s">
        <v>85</v>
      </c>
      <c r="DD347" s="405" t="s">
        <v>917</v>
      </c>
      <c r="DE347" s="405" t="s">
        <v>5</v>
      </c>
      <c r="DF347" s="406" t="s">
        <v>85</v>
      </c>
      <c r="DG347" s="407">
        <v>45845</v>
      </c>
      <c r="DH347" s="405" t="s">
        <v>8453</v>
      </c>
      <c r="DI347" s="406">
        <v>465455</v>
      </c>
      <c r="DJ347" s="408">
        <v>5</v>
      </c>
      <c r="DK347" s="405">
        <v>1</v>
      </c>
      <c r="DL347" s="82">
        <v>319.27</v>
      </c>
      <c r="DM347" s="409">
        <v>1.5963499999999999</v>
      </c>
      <c r="DN347" s="82" t="s">
        <v>85</v>
      </c>
      <c r="DO347" s="82" t="s">
        <v>85</v>
      </c>
      <c r="DP347" s="410" t="s">
        <v>85</v>
      </c>
    </row>
    <row r="348" spans="1:120" x14ac:dyDescent="0.25">
      <c r="A348" s="16" t="s">
        <v>8456</v>
      </c>
      <c r="B348" s="16" t="s">
        <v>8457</v>
      </c>
      <c r="C348" s="16" t="s">
        <v>8458</v>
      </c>
      <c r="D348" s="16" t="s">
        <v>7705</v>
      </c>
      <c r="E348" s="16" t="s">
        <v>8459</v>
      </c>
      <c r="F348" s="16" t="s">
        <v>8460</v>
      </c>
      <c r="G348" s="16" t="s">
        <v>8461</v>
      </c>
      <c r="H348" s="16" t="s">
        <v>8462</v>
      </c>
      <c r="I348" s="16" t="s">
        <v>1547</v>
      </c>
      <c r="J348" s="16" t="s">
        <v>943</v>
      </c>
      <c r="K348" s="16" t="s">
        <v>1548</v>
      </c>
      <c r="L348" s="16" t="s">
        <v>85</v>
      </c>
      <c r="M348" s="16" t="s">
        <v>984</v>
      </c>
      <c r="N348" s="16" t="s">
        <v>914</v>
      </c>
      <c r="O348" s="16" t="s">
        <v>985</v>
      </c>
      <c r="P348" s="16" t="s">
        <v>914</v>
      </c>
      <c r="Q348" s="16" t="s">
        <v>985</v>
      </c>
      <c r="R348" s="16" t="s">
        <v>915</v>
      </c>
      <c r="S348" s="16" t="s">
        <v>915</v>
      </c>
      <c r="T348" s="16" t="s">
        <v>986</v>
      </c>
      <c r="U348" s="16" t="s">
        <v>987</v>
      </c>
      <c r="V348" s="16" t="s">
        <v>916</v>
      </c>
      <c r="W348" s="16" t="s">
        <v>987</v>
      </c>
      <c r="X348" s="16" t="s">
        <v>934</v>
      </c>
      <c r="Y348" s="16" t="s">
        <v>934</v>
      </c>
      <c r="Z348" s="16" t="s">
        <v>935</v>
      </c>
      <c r="DA348" s="405" t="s">
        <v>5</v>
      </c>
      <c r="DB348" s="405" t="s">
        <v>363</v>
      </c>
      <c r="DC348" s="406" t="s">
        <v>85</v>
      </c>
      <c r="DD348" s="405" t="s">
        <v>917</v>
      </c>
      <c r="DE348" s="405" t="s">
        <v>5</v>
      </c>
      <c r="DF348" s="406" t="s">
        <v>85</v>
      </c>
      <c r="DG348" s="407">
        <v>45845</v>
      </c>
      <c r="DH348" s="405" t="s">
        <v>8459</v>
      </c>
      <c r="DI348" s="406">
        <v>465455</v>
      </c>
      <c r="DJ348" s="408">
        <v>5</v>
      </c>
      <c r="DK348" s="405">
        <v>1</v>
      </c>
      <c r="DL348" s="82">
        <v>340.55</v>
      </c>
      <c r="DM348" s="409">
        <v>1.70275</v>
      </c>
      <c r="DN348" s="82" t="s">
        <v>85</v>
      </c>
      <c r="DO348" s="82" t="s">
        <v>85</v>
      </c>
      <c r="DP348" s="410" t="s">
        <v>85</v>
      </c>
    </row>
    <row r="349" spans="1:120" x14ac:dyDescent="0.25">
      <c r="A349" s="16" t="s">
        <v>8463</v>
      </c>
      <c r="B349" s="16" t="s">
        <v>8464</v>
      </c>
      <c r="C349" s="16" t="s">
        <v>8465</v>
      </c>
      <c r="D349" s="16" t="s">
        <v>8466</v>
      </c>
      <c r="E349" s="16" t="s">
        <v>8467</v>
      </c>
      <c r="F349" s="16" t="s">
        <v>8468</v>
      </c>
      <c r="G349" s="16" t="s">
        <v>8469</v>
      </c>
      <c r="H349" s="16" t="s">
        <v>8470</v>
      </c>
      <c r="I349" s="16" t="s">
        <v>8471</v>
      </c>
      <c r="J349" s="16" t="s">
        <v>928</v>
      </c>
      <c r="K349" s="16" t="s">
        <v>8472</v>
      </c>
      <c r="L349" s="16" t="s">
        <v>85</v>
      </c>
      <c r="M349" s="16" t="s">
        <v>1322</v>
      </c>
      <c r="N349" s="16" t="s">
        <v>914</v>
      </c>
      <c r="O349" s="16" t="s">
        <v>1323</v>
      </c>
      <c r="P349" s="16" t="s">
        <v>914</v>
      </c>
      <c r="Q349" s="16" t="s">
        <v>1323</v>
      </c>
      <c r="R349" s="16" t="s">
        <v>915</v>
      </c>
      <c r="S349" s="16" t="s">
        <v>915</v>
      </c>
      <c r="T349" s="16" t="s">
        <v>1322</v>
      </c>
      <c r="U349" s="16" t="s">
        <v>1324</v>
      </c>
      <c r="V349" s="16" t="s">
        <v>916</v>
      </c>
      <c r="W349" s="16" t="s">
        <v>1324</v>
      </c>
      <c r="X349" s="16" t="s">
        <v>934</v>
      </c>
      <c r="Y349" s="16" t="s">
        <v>934</v>
      </c>
      <c r="Z349" s="16" t="s">
        <v>935</v>
      </c>
      <c r="DA349" s="405" t="s">
        <v>5</v>
      </c>
      <c r="DB349" s="405" t="s">
        <v>363</v>
      </c>
      <c r="DC349" s="406" t="s">
        <v>85</v>
      </c>
      <c r="DD349" s="405" t="s">
        <v>917</v>
      </c>
      <c r="DE349" s="405" t="s">
        <v>5</v>
      </c>
      <c r="DF349" s="406" t="s">
        <v>85</v>
      </c>
      <c r="DG349" s="407">
        <v>45845</v>
      </c>
      <c r="DH349" s="405" t="s">
        <v>8467</v>
      </c>
      <c r="DI349" s="406">
        <v>465455</v>
      </c>
      <c r="DJ349" s="408">
        <v>5</v>
      </c>
      <c r="DK349" s="405">
        <v>1</v>
      </c>
      <c r="DL349" s="82">
        <v>332.47</v>
      </c>
      <c r="DM349" s="409">
        <v>1.6623500000000002</v>
      </c>
      <c r="DN349" s="82" t="s">
        <v>85</v>
      </c>
      <c r="DO349" s="82" t="s">
        <v>85</v>
      </c>
      <c r="DP349" s="410" t="s">
        <v>85</v>
      </c>
    </row>
    <row r="350" spans="1:120" x14ac:dyDescent="0.25">
      <c r="A350" s="16" t="s">
        <v>8473</v>
      </c>
      <c r="B350" s="16" t="s">
        <v>8474</v>
      </c>
      <c r="C350" s="16" t="s">
        <v>8475</v>
      </c>
      <c r="D350" s="16" t="s">
        <v>8466</v>
      </c>
      <c r="E350" s="16" t="s">
        <v>8476</v>
      </c>
      <c r="F350" s="16" t="s">
        <v>8477</v>
      </c>
      <c r="G350" s="16" t="s">
        <v>8478</v>
      </c>
      <c r="H350" s="16" t="s">
        <v>8477</v>
      </c>
      <c r="I350" s="16" t="s">
        <v>1377</v>
      </c>
      <c r="J350" s="16" t="s">
        <v>943</v>
      </c>
      <c r="K350" s="16" t="s">
        <v>1378</v>
      </c>
      <c r="L350" s="16" t="s">
        <v>85</v>
      </c>
      <c r="M350" s="16" t="s">
        <v>984</v>
      </c>
      <c r="N350" s="16" t="s">
        <v>914</v>
      </c>
      <c r="O350" s="16" t="s">
        <v>985</v>
      </c>
      <c r="P350" s="16" t="s">
        <v>914</v>
      </c>
      <c r="Q350" s="16" t="s">
        <v>985</v>
      </c>
      <c r="R350" s="16" t="s">
        <v>915</v>
      </c>
      <c r="S350" s="16" t="s">
        <v>915</v>
      </c>
      <c r="T350" s="16" t="s">
        <v>986</v>
      </c>
      <c r="U350" s="16" t="s">
        <v>987</v>
      </c>
      <c r="V350" s="16" t="s">
        <v>916</v>
      </c>
      <c r="W350" s="16" t="s">
        <v>987</v>
      </c>
      <c r="X350" s="16" t="s">
        <v>934</v>
      </c>
      <c r="Y350" s="16" t="s">
        <v>934</v>
      </c>
      <c r="Z350" s="16" t="s">
        <v>935</v>
      </c>
      <c r="DA350" s="405" t="s">
        <v>5</v>
      </c>
      <c r="DB350" s="405" t="s">
        <v>363</v>
      </c>
      <c r="DC350" s="406" t="s">
        <v>85</v>
      </c>
      <c r="DD350" s="405" t="s">
        <v>917</v>
      </c>
      <c r="DE350" s="405" t="s">
        <v>5</v>
      </c>
      <c r="DF350" s="406" t="s">
        <v>85</v>
      </c>
      <c r="DG350" s="407">
        <v>45845</v>
      </c>
      <c r="DH350" s="405" t="s">
        <v>8476</v>
      </c>
      <c r="DI350" s="406">
        <v>465455</v>
      </c>
      <c r="DJ350" s="408">
        <v>5</v>
      </c>
      <c r="DK350" s="405">
        <v>1</v>
      </c>
      <c r="DL350" s="82">
        <v>340.55</v>
      </c>
      <c r="DM350" s="409">
        <v>1.70275</v>
      </c>
      <c r="DN350" s="82" t="s">
        <v>85</v>
      </c>
      <c r="DO350" s="82" t="s">
        <v>85</v>
      </c>
      <c r="DP350" s="410" t="s">
        <v>85</v>
      </c>
    </row>
    <row r="351" spans="1:120" x14ac:dyDescent="0.25">
      <c r="A351" s="16" t="s">
        <v>8479</v>
      </c>
      <c r="B351" s="16" t="s">
        <v>8480</v>
      </c>
      <c r="C351" s="16" t="s">
        <v>8481</v>
      </c>
      <c r="D351" s="16" t="s">
        <v>7705</v>
      </c>
      <c r="E351" s="16" t="s">
        <v>8482</v>
      </c>
      <c r="F351" s="16" t="s">
        <v>8483</v>
      </c>
      <c r="G351" s="16" t="s">
        <v>8484</v>
      </c>
      <c r="H351" s="16" t="s">
        <v>8485</v>
      </c>
      <c r="I351" s="16" t="s">
        <v>5822</v>
      </c>
      <c r="J351" s="16" t="s">
        <v>1354</v>
      </c>
      <c r="K351" s="16" t="s">
        <v>5823</v>
      </c>
      <c r="L351" s="16" t="s">
        <v>85</v>
      </c>
      <c r="M351" s="16" t="s">
        <v>945</v>
      </c>
      <c r="N351" s="16" t="s">
        <v>914</v>
      </c>
      <c r="O351" s="16" t="s">
        <v>946</v>
      </c>
      <c r="P351" s="16" t="s">
        <v>914</v>
      </c>
      <c r="Q351" s="16" t="s">
        <v>946</v>
      </c>
      <c r="R351" s="16" t="s">
        <v>915</v>
      </c>
      <c r="S351" s="16" t="s">
        <v>915</v>
      </c>
      <c r="T351" s="16" t="s">
        <v>945</v>
      </c>
      <c r="U351" s="16" t="s">
        <v>947</v>
      </c>
      <c r="V351" s="16" t="s">
        <v>916</v>
      </c>
      <c r="W351" s="16" t="s">
        <v>947</v>
      </c>
      <c r="X351" s="16" t="s">
        <v>934</v>
      </c>
      <c r="Y351" s="16" t="s">
        <v>934</v>
      </c>
      <c r="Z351" s="16" t="s">
        <v>935</v>
      </c>
      <c r="DA351" s="405" t="s">
        <v>5</v>
      </c>
      <c r="DB351" s="405" t="s">
        <v>363</v>
      </c>
      <c r="DC351" s="406" t="s">
        <v>85</v>
      </c>
      <c r="DD351" s="405" t="s">
        <v>917</v>
      </c>
      <c r="DE351" s="405" t="s">
        <v>5</v>
      </c>
      <c r="DF351" s="406" t="s">
        <v>85</v>
      </c>
      <c r="DG351" s="407">
        <v>45845</v>
      </c>
      <c r="DH351" s="405" t="s">
        <v>8482</v>
      </c>
      <c r="DI351" s="406">
        <v>465455</v>
      </c>
      <c r="DJ351" s="408">
        <v>5</v>
      </c>
      <c r="DK351" s="405">
        <v>1</v>
      </c>
      <c r="DL351" s="82">
        <v>319.27</v>
      </c>
      <c r="DM351" s="409">
        <v>1.5963499999999999</v>
      </c>
      <c r="DN351" s="82" t="s">
        <v>85</v>
      </c>
      <c r="DO351" s="82" t="s">
        <v>85</v>
      </c>
      <c r="DP351" s="410" t="s">
        <v>85</v>
      </c>
    </row>
    <row r="352" spans="1:120" x14ac:dyDescent="0.25">
      <c r="A352" s="16" t="s">
        <v>8486</v>
      </c>
      <c r="B352" s="16" t="s">
        <v>8487</v>
      </c>
      <c r="C352" s="16" t="s">
        <v>8488</v>
      </c>
      <c r="D352" s="16" t="s">
        <v>7705</v>
      </c>
      <c r="E352" s="16" t="s">
        <v>8489</v>
      </c>
      <c r="F352" s="16" t="s">
        <v>8490</v>
      </c>
      <c r="G352" s="16" t="s">
        <v>8491</v>
      </c>
      <c r="H352" s="16" t="s">
        <v>8490</v>
      </c>
      <c r="I352" s="16" t="s">
        <v>1278</v>
      </c>
      <c r="J352" s="16" t="s">
        <v>1109</v>
      </c>
      <c r="K352" s="16" t="s">
        <v>1279</v>
      </c>
      <c r="L352" s="16" t="s">
        <v>85</v>
      </c>
      <c r="M352" s="16" t="s">
        <v>1311</v>
      </c>
      <c r="N352" s="16" t="s">
        <v>914</v>
      </c>
      <c r="O352" s="16" t="s">
        <v>1312</v>
      </c>
      <c r="P352" s="16" t="s">
        <v>914</v>
      </c>
      <c r="Q352" s="16" t="s">
        <v>1312</v>
      </c>
      <c r="R352" s="16" t="s">
        <v>915</v>
      </c>
      <c r="S352" s="16" t="s">
        <v>915</v>
      </c>
      <c r="T352" s="16" t="s">
        <v>1311</v>
      </c>
      <c r="U352" s="16" t="s">
        <v>1313</v>
      </c>
      <c r="V352" s="16" t="s">
        <v>916</v>
      </c>
      <c r="W352" s="16" t="s">
        <v>1313</v>
      </c>
      <c r="X352" s="16" t="s">
        <v>934</v>
      </c>
      <c r="Y352" s="16" t="s">
        <v>934</v>
      </c>
      <c r="Z352" s="16" t="s">
        <v>935</v>
      </c>
      <c r="DA352" s="405" t="s">
        <v>5</v>
      </c>
      <c r="DB352" s="405" t="s">
        <v>363</v>
      </c>
      <c r="DC352" s="406" t="s">
        <v>85</v>
      </c>
      <c r="DD352" s="405" t="s">
        <v>917</v>
      </c>
      <c r="DE352" s="405" t="s">
        <v>5</v>
      </c>
      <c r="DF352" s="406" t="s">
        <v>85</v>
      </c>
      <c r="DG352" s="407">
        <v>45845</v>
      </c>
      <c r="DH352" s="405" t="s">
        <v>8489</v>
      </c>
      <c r="DI352" s="406">
        <v>465455</v>
      </c>
      <c r="DJ352" s="408">
        <v>5</v>
      </c>
      <c r="DK352" s="405">
        <v>1</v>
      </c>
      <c r="DL352" s="82">
        <v>531.54</v>
      </c>
      <c r="DM352" s="409">
        <v>2.6576999999999997</v>
      </c>
      <c r="DN352" s="82" t="s">
        <v>85</v>
      </c>
      <c r="DO352" s="82" t="s">
        <v>85</v>
      </c>
      <c r="DP352" s="410" t="s">
        <v>85</v>
      </c>
    </row>
    <row r="353" spans="1:120" x14ac:dyDescent="0.25">
      <c r="A353" s="16" t="s">
        <v>8492</v>
      </c>
      <c r="B353" s="16" t="s">
        <v>8493</v>
      </c>
      <c r="C353" s="16" t="s">
        <v>8494</v>
      </c>
      <c r="D353" s="16" t="s">
        <v>7705</v>
      </c>
      <c r="E353" s="16" t="s">
        <v>8495</v>
      </c>
      <c r="F353" s="16" t="s">
        <v>8496</v>
      </c>
      <c r="G353" s="16" t="s">
        <v>8497</v>
      </c>
      <c r="H353" s="16" t="s">
        <v>8496</v>
      </c>
      <c r="I353" s="16" t="s">
        <v>2997</v>
      </c>
      <c r="J353" s="16" t="s">
        <v>943</v>
      </c>
      <c r="K353" s="16" t="s">
        <v>2998</v>
      </c>
      <c r="L353" s="16" t="s">
        <v>85</v>
      </c>
      <c r="M353" s="16" t="s">
        <v>984</v>
      </c>
      <c r="N353" s="16" t="s">
        <v>914</v>
      </c>
      <c r="O353" s="16" t="s">
        <v>985</v>
      </c>
      <c r="P353" s="16" t="s">
        <v>914</v>
      </c>
      <c r="Q353" s="16" t="s">
        <v>985</v>
      </c>
      <c r="R353" s="16" t="s">
        <v>915</v>
      </c>
      <c r="S353" s="16" t="s">
        <v>915</v>
      </c>
      <c r="T353" s="16" t="s">
        <v>986</v>
      </c>
      <c r="U353" s="16" t="s">
        <v>987</v>
      </c>
      <c r="V353" s="16" t="s">
        <v>916</v>
      </c>
      <c r="W353" s="16" t="s">
        <v>987</v>
      </c>
      <c r="X353" s="16" t="s">
        <v>934</v>
      </c>
      <c r="Y353" s="16" t="s">
        <v>934</v>
      </c>
      <c r="Z353" s="16" t="s">
        <v>935</v>
      </c>
      <c r="DA353" s="405" t="s">
        <v>5</v>
      </c>
      <c r="DB353" s="405" t="s">
        <v>363</v>
      </c>
      <c r="DC353" s="406" t="s">
        <v>85</v>
      </c>
      <c r="DD353" s="405" t="s">
        <v>917</v>
      </c>
      <c r="DE353" s="405" t="s">
        <v>5</v>
      </c>
      <c r="DF353" s="406" t="s">
        <v>85</v>
      </c>
      <c r="DG353" s="407">
        <v>45845</v>
      </c>
      <c r="DH353" s="405" t="s">
        <v>8495</v>
      </c>
      <c r="DI353" s="406">
        <v>465455</v>
      </c>
      <c r="DJ353" s="408">
        <v>5</v>
      </c>
      <c r="DK353" s="405">
        <v>1</v>
      </c>
      <c r="DL353" s="82">
        <v>340.55</v>
      </c>
      <c r="DM353" s="409">
        <v>1.70275</v>
      </c>
      <c r="DN353" s="82" t="s">
        <v>85</v>
      </c>
      <c r="DO353" s="82" t="s">
        <v>85</v>
      </c>
      <c r="DP353" s="410" t="s">
        <v>85</v>
      </c>
    </row>
    <row r="354" spans="1:120" x14ac:dyDescent="0.25">
      <c r="A354" s="16" t="s">
        <v>8498</v>
      </c>
      <c r="B354" s="16" t="s">
        <v>8499</v>
      </c>
      <c r="C354" s="16" t="s">
        <v>8500</v>
      </c>
      <c r="D354" s="16" t="s">
        <v>7705</v>
      </c>
      <c r="E354" s="16" t="s">
        <v>8501</v>
      </c>
      <c r="F354" s="16" t="s">
        <v>8502</v>
      </c>
      <c r="G354" s="16" t="s">
        <v>8503</v>
      </c>
      <c r="H354" s="16" t="s">
        <v>8502</v>
      </c>
      <c r="I354" s="16" t="s">
        <v>8504</v>
      </c>
      <c r="J354" s="16" t="s">
        <v>8068</v>
      </c>
      <c r="K354" s="16" t="s">
        <v>8505</v>
      </c>
      <c r="L354" s="16" t="s">
        <v>85</v>
      </c>
      <c r="M354" s="16" t="s">
        <v>2046</v>
      </c>
      <c r="N354" s="16" t="s">
        <v>914</v>
      </c>
      <c r="O354" s="16" t="s">
        <v>1239</v>
      </c>
      <c r="P354" s="16" t="s">
        <v>914</v>
      </c>
      <c r="Q354" s="16" t="s">
        <v>1239</v>
      </c>
      <c r="R354" s="16" t="s">
        <v>915</v>
      </c>
      <c r="S354" s="16" t="s">
        <v>915</v>
      </c>
      <c r="T354" s="16" t="s">
        <v>2047</v>
      </c>
      <c r="U354" s="16" t="s">
        <v>2048</v>
      </c>
      <c r="V354" s="16" t="s">
        <v>916</v>
      </c>
      <c r="W354" s="16" t="s">
        <v>2048</v>
      </c>
      <c r="X354" s="16" t="s">
        <v>934</v>
      </c>
      <c r="Y354" s="16" t="s">
        <v>934</v>
      </c>
      <c r="Z354" s="16" t="s">
        <v>935</v>
      </c>
      <c r="DA354" s="405" t="s">
        <v>5</v>
      </c>
      <c r="DB354" s="405" t="s">
        <v>363</v>
      </c>
      <c r="DC354" s="406" t="s">
        <v>85</v>
      </c>
      <c r="DD354" s="405" t="s">
        <v>917</v>
      </c>
      <c r="DE354" s="405" t="s">
        <v>5</v>
      </c>
      <c r="DF354" s="406" t="s">
        <v>85</v>
      </c>
      <c r="DG354" s="407">
        <v>45845</v>
      </c>
      <c r="DH354" s="405" t="s">
        <v>8501</v>
      </c>
      <c r="DI354" s="406">
        <v>465455</v>
      </c>
      <c r="DJ354" s="408">
        <v>5</v>
      </c>
      <c r="DK354" s="405">
        <v>1</v>
      </c>
      <c r="DL354" s="82">
        <v>383.08</v>
      </c>
      <c r="DM354" s="409">
        <v>1.9154</v>
      </c>
      <c r="DN354" s="82" t="s">
        <v>85</v>
      </c>
      <c r="DO354" s="82" t="s">
        <v>85</v>
      </c>
      <c r="DP354" s="410" t="s">
        <v>85</v>
      </c>
    </row>
    <row r="355" spans="1:120" x14ac:dyDescent="0.25">
      <c r="A355" s="16" t="s">
        <v>8506</v>
      </c>
      <c r="B355" s="16" t="s">
        <v>8507</v>
      </c>
      <c r="C355" s="16" t="s">
        <v>8508</v>
      </c>
      <c r="D355" s="16" t="s">
        <v>7705</v>
      </c>
      <c r="E355" s="16" t="s">
        <v>8509</v>
      </c>
      <c r="F355" s="16" t="s">
        <v>8510</v>
      </c>
      <c r="G355" s="16" t="s">
        <v>8511</v>
      </c>
      <c r="H355" s="16" t="s">
        <v>8512</v>
      </c>
      <c r="I355" s="16" t="s">
        <v>1287</v>
      </c>
      <c r="J355" s="16" t="s">
        <v>943</v>
      </c>
      <c r="K355" s="16" t="s">
        <v>1288</v>
      </c>
      <c r="L355" s="16" t="s">
        <v>85</v>
      </c>
      <c r="M355" s="16" t="s">
        <v>984</v>
      </c>
      <c r="N355" s="16" t="s">
        <v>914</v>
      </c>
      <c r="O355" s="16" t="s">
        <v>985</v>
      </c>
      <c r="P355" s="16" t="s">
        <v>914</v>
      </c>
      <c r="Q355" s="16" t="s">
        <v>985</v>
      </c>
      <c r="R355" s="16" t="s">
        <v>915</v>
      </c>
      <c r="S355" s="16" t="s">
        <v>915</v>
      </c>
      <c r="T355" s="16" t="s">
        <v>986</v>
      </c>
      <c r="U355" s="16" t="s">
        <v>987</v>
      </c>
      <c r="V355" s="16" t="s">
        <v>916</v>
      </c>
      <c r="W355" s="16" t="s">
        <v>987</v>
      </c>
      <c r="X355" s="16" t="s">
        <v>934</v>
      </c>
      <c r="Y355" s="16" t="s">
        <v>934</v>
      </c>
      <c r="Z355" s="16" t="s">
        <v>935</v>
      </c>
      <c r="DA355" s="405" t="s">
        <v>5</v>
      </c>
      <c r="DB355" s="405" t="s">
        <v>363</v>
      </c>
      <c r="DC355" s="406" t="s">
        <v>85</v>
      </c>
      <c r="DD355" s="405" t="s">
        <v>917</v>
      </c>
      <c r="DE355" s="405" t="s">
        <v>5</v>
      </c>
      <c r="DF355" s="406" t="s">
        <v>85</v>
      </c>
      <c r="DG355" s="407">
        <v>45845</v>
      </c>
      <c r="DH355" s="405" t="s">
        <v>8509</v>
      </c>
      <c r="DI355" s="406">
        <v>465455</v>
      </c>
      <c r="DJ355" s="408">
        <v>5</v>
      </c>
      <c r="DK355" s="405">
        <v>1</v>
      </c>
      <c r="DL355" s="82">
        <v>340.55</v>
      </c>
      <c r="DM355" s="409">
        <v>1.70275</v>
      </c>
      <c r="DN355" s="82" t="s">
        <v>85</v>
      </c>
      <c r="DO355" s="82" t="s">
        <v>85</v>
      </c>
      <c r="DP355" s="410" t="s">
        <v>85</v>
      </c>
    </row>
    <row r="356" spans="1:120" x14ac:dyDescent="0.25">
      <c r="A356" s="16" t="s">
        <v>8513</v>
      </c>
      <c r="B356" s="16" t="s">
        <v>8514</v>
      </c>
      <c r="C356" s="16" t="s">
        <v>8515</v>
      </c>
      <c r="D356" s="16" t="s">
        <v>7705</v>
      </c>
      <c r="E356" s="16" t="s">
        <v>8516</v>
      </c>
      <c r="F356" s="16" t="s">
        <v>8517</v>
      </c>
      <c r="G356" s="16" t="s">
        <v>8518</v>
      </c>
      <c r="H356" s="16" t="s">
        <v>8517</v>
      </c>
      <c r="I356" s="16" t="s">
        <v>1248</v>
      </c>
      <c r="J356" s="16" t="s">
        <v>995</v>
      </c>
      <c r="K356" s="16" t="s">
        <v>1249</v>
      </c>
      <c r="L356" s="16" t="s">
        <v>85</v>
      </c>
      <c r="M356" s="16" t="s">
        <v>1165</v>
      </c>
      <c r="N356" s="16" t="s">
        <v>914</v>
      </c>
      <c r="O356" s="16" t="s">
        <v>1166</v>
      </c>
      <c r="P356" s="16" t="s">
        <v>914</v>
      </c>
      <c r="Q356" s="16" t="s">
        <v>1166</v>
      </c>
      <c r="R356" s="16" t="s">
        <v>915</v>
      </c>
      <c r="S356" s="16" t="s">
        <v>915</v>
      </c>
      <c r="T356" s="16" t="s">
        <v>1167</v>
      </c>
      <c r="U356" s="16" t="s">
        <v>1168</v>
      </c>
      <c r="V356" s="16" t="s">
        <v>916</v>
      </c>
      <c r="W356" s="16" t="s">
        <v>1168</v>
      </c>
      <c r="X356" s="16" t="s">
        <v>934</v>
      </c>
      <c r="Y356" s="16" t="s">
        <v>934</v>
      </c>
      <c r="Z356" s="16" t="s">
        <v>935</v>
      </c>
      <c r="DA356" s="405" t="s">
        <v>5</v>
      </c>
      <c r="DB356" s="405" t="s">
        <v>363</v>
      </c>
      <c r="DC356" s="406" t="s">
        <v>85</v>
      </c>
      <c r="DD356" s="405" t="s">
        <v>917</v>
      </c>
      <c r="DE356" s="405" t="s">
        <v>5</v>
      </c>
      <c r="DF356" s="406" t="s">
        <v>85</v>
      </c>
      <c r="DG356" s="407">
        <v>45845</v>
      </c>
      <c r="DH356" s="405" t="s">
        <v>8516</v>
      </c>
      <c r="DI356" s="406">
        <v>465455</v>
      </c>
      <c r="DJ356" s="408">
        <v>5</v>
      </c>
      <c r="DK356" s="405">
        <v>1</v>
      </c>
      <c r="DL356" s="82">
        <v>468.28</v>
      </c>
      <c r="DM356" s="409">
        <v>2.3413999999999997</v>
      </c>
      <c r="DN356" s="82" t="s">
        <v>85</v>
      </c>
      <c r="DO356" s="82" t="s">
        <v>85</v>
      </c>
      <c r="DP356" s="410" t="s">
        <v>85</v>
      </c>
    </row>
    <row r="357" spans="1:120" x14ac:dyDescent="0.25">
      <c r="A357" s="16" t="s">
        <v>8519</v>
      </c>
      <c r="B357" s="16" t="s">
        <v>8520</v>
      </c>
      <c r="C357" s="16" t="s">
        <v>8521</v>
      </c>
      <c r="D357" s="16" t="s">
        <v>7705</v>
      </c>
      <c r="E357" s="16" t="s">
        <v>8522</v>
      </c>
      <c r="F357" s="16" t="s">
        <v>8523</v>
      </c>
      <c r="G357" s="16" t="s">
        <v>8524</v>
      </c>
      <c r="H357" s="16" t="s">
        <v>8523</v>
      </c>
      <c r="I357" s="16" t="s">
        <v>1937</v>
      </c>
      <c r="J357" s="16" t="s">
        <v>1036</v>
      </c>
      <c r="K357" s="16" t="s">
        <v>1938</v>
      </c>
      <c r="L357" s="16" t="s">
        <v>85</v>
      </c>
      <c r="M357" s="16" t="s">
        <v>1216</v>
      </c>
      <c r="N357" s="16" t="s">
        <v>914</v>
      </c>
      <c r="O357" s="16" t="s">
        <v>946</v>
      </c>
      <c r="P357" s="16" t="s">
        <v>914</v>
      </c>
      <c r="Q357" s="16" t="s">
        <v>946</v>
      </c>
      <c r="R357" s="16" t="s">
        <v>915</v>
      </c>
      <c r="S357" s="16" t="s">
        <v>915</v>
      </c>
      <c r="T357" s="16" t="s">
        <v>1216</v>
      </c>
      <c r="U357" s="16" t="s">
        <v>1217</v>
      </c>
      <c r="V357" s="16" t="s">
        <v>916</v>
      </c>
      <c r="W357" s="16" t="s">
        <v>1217</v>
      </c>
      <c r="X357" s="16" t="s">
        <v>934</v>
      </c>
      <c r="Y357" s="16" t="s">
        <v>934</v>
      </c>
      <c r="Z357" s="16" t="s">
        <v>935</v>
      </c>
      <c r="DA357" s="405" t="s">
        <v>5</v>
      </c>
      <c r="DB357" s="405" t="s">
        <v>363</v>
      </c>
      <c r="DC357" s="406" t="s">
        <v>85</v>
      </c>
      <c r="DD357" s="405" t="s">
        <v>917</v>
      </c>
      <c r="DE357" s="405" t="s">
        <v>5</v>
      </c>
      <c r="DF357" s="406" t="s">
        <v>85</v>
      </c>
      <c r="DG357" s="407">
        <v>45845</v>
      </c>
      <c r="DH357" s="405" t="s">
        <v>8522</v>
      </c>
      <c r="DI357" s="406">
        <v>465455</v>
      </c>
      <c r="DJ357" s="408">
        <v>5</v>
      </c>
      <c r="DK357" s="405">
        <v>1</v>
      </c>
      <c r="DL357" s="82">
        <v>319.22000000000003</v>
      </c>
      <c r="DM357" s="409">
        <v>1.5961000000000001</v>
      </c>
      <c r="DN357" s="82" t="s">
        <v>85</v>
      </c>
      <c r="DO357" s="82" t="s">
        <v>85</v>
      </c>
      <c r="DP357" s="410" t="s">
        <v>85</v>
      </c>
    </row>
    <row r="358" spans="1:120" x14ac:dyDescent="0.25">
      <c r="A358" s="16" t="s">
        <v>8525</v>
      </c>
      <c r="B358" s="16" t="s">
        <v>8526</v>
      </c>
      <c r="C358" s="16" t="s">
        <v>8527</v>
      </c>
      <c r="D358" s="16" t="s">
        <v>7705</v>
      </c>
      <c r="E358" s="16" t="s">
        <v>8528</v>
      </c>
      <c r="F358" s="16" t="s">
        <v>8529</v>
      </c>
      <c r="G358" s="16" t="s">
        <v>8530</v>
      </c>
      <c r="H358" s="16" t="s">
        <v>8529</v>
      </c>
      <c r="I358" s="16" t="s">
        <v>1368</v>
      </c>
      <c r="J358" s="16" t="s">
        <v>1123</v>
      </c>
      <c r="K358" s="16" t="s">
        <v>1369</v>
      </c>
      <c r="L358" s="16" t="s">
        <v>85</v>
      </c>
      <c r="M358" s="16" t="s">
        <v>1238</v>
      </c>
      <c r="N358" s="16" t="s">
        <v>914</v>
      </c>
      <c r="O358" s="16" t="s">
        <v>1239</v>
      </c>
      <c r="P358" s="16" t="s">
        <v>914</v>
      </c>
      <c r="Q358" s="16" t="s">
        <v>1239</v>
      </c>
      <c r="R358" s="16" t="s">
        <v>915</v>
      </c>
      <c r="S358" s="16" t="s">
        <v>915</v>
      </c>
      <c r="T358" s="16" t="s">
        <v>1238</v>
      </c>
      <c r="U358" s="16" t="s">
        <v>1240</v>
      </c>
      <c r="V358" s="16" t="s">
        <v>916</v>
      </c>
      <c r="W358" s="16" t="s">
        <v>1240</v>
      </c>
      <c r="X358" s="16" t="s">
        <v>934</v>
      </c>
      <c r="Y358" s="16" t="s">
        <v>934</v>
      </c>
      <c r="Z358" s="16" t="s">
        <v>935</v>
      </c>
      <c r="DA358" s="405" t="s">
        <v>5</v>
      </c>
      <c r="DB358" s="405" t="s">
        <v>363</v>
      </c>
      <c r="DC358" s="406" t="s">
        <v>85</v>
      </c>
      <c r="DD358" s="405" t="s">
        <v>917</v>
      </c>
      <c r="DE358" s="405" t="s">
        <v>5</v>
      </c>
      <c r="DF358" s="406" t="s">
        <v>85</v>
      </c>
      <c r="DG358" s="407">
        <v>45845</v>
      </c>
      <c r="DH358" s="405" t="s">
        <v>8528</v>
      </c>
      <c r="DI358" s="406">
        <v>465455</v>
      </c>
      <c r="DJ358" s="408">
        <v>5</v>
      </c>
      <c r="DK358" s="405">
        <v>1</v>
      </c>
      <c r="DL358" s="82">
        <v>383.16</v>
      </c>
      <c r="DM358" s="409">
        <v>1.9158000000000002</v>
      </c>
      <c r="DN358" s="82" t="s">
        <v>85</v>
      </c>
      <c r="DO358" s="82" t="s">
        <v>85</v>
      </c>
      <c r="DP358" s="410" t="s">
        <v>85</v>
      </c>
    </row>
    <row r="359" spans="1:120" x14ac:dyDescent="0.25">
      <c r="A359" s="16" t="s">
        <v>7462</v>
      </c>
      <c r="B359" s="16" t="s">
        <v>7463</v>
      </c>
      <c r="C359" s="16" t="s">
        <v>7464</v>
      </c>
      <c r="D359" s="16" t="s">
        <v>7465</v>
      </c>
      <c r="E359" s="16" t="s">
        <v>7466</v>
      </c>
      <c r="F359" s="16" t="s">
        <v>7467</v>
      </c>
      <c r="G359" s="16" t="s">
        <v>7468</v>
      </c>
      <c r="H359" s="16" t="s">
        <v>7467</v>
      </c>
      <c r="I359" s="16" t="s">
        <v>1772</v>
      </c>
      <c r="J359" s="16" t="s">
        <v>1036</v>
      </c>
      <c r="K359" s="16" t="s">
        <v>1773</v>
      </c>
      <c r="L359" s="16" t="s">
        <v>85</v>
      </c>
      <c r="M359" s="16" t="s">
        <v>1216</v>
      </c>
      <c r="N359" s="16" t="s">
        <v>914</v>
      </c>
      <c r="O359" s="16" t="s">
        <v>946</v>
      </c>
      <c r="P359" s="16" t="s">
        <v>914</v>
      </c>
      <c r="Q359" s="16" t="s">
        <v>946</v>
      </c>
      <c r="R359" s="16" t="s">
        <v>915</v>
      </c>
      <c r="S359" s="16" t="s">
        <v>915</v>
      </c>
      <c r="T359" s="16" t="s">
        <v>1216</v>
      </c>
      <c r="U359" s="16" t="s">
        <v>1217</v>
      </c>
      <c r="V359" s="16" t="s">
        <v>916</v>
      </c>
      <c r="W359" s="16" t="s">
        <v>1217</v>
      </c>
      <c r="X359" s="16" t="s">
        <v>934</v>
      </c>
      <c r="Y359" s="16" t="s">
        <v>934</v>
      </c>
      <c r="Z359" s="16" t="s">
        <v>935</v>
      </c>
      <c r="DA359" s="405" t="s">
        <v>5</v>
      </c>
      <c r="DB359" s="405" t="s">
        <v>363</v>
      </c>
      <c r="DC359" s="406" t="s">
        <v>85</v>
      </c>
      <c r="DD359" s="405" t="s">
        <v>917</v>
      </c>
      <c r="DE359" s="405" t="s">
        <v>5</v>
      </c>
      <c r="DF359" s="406" t="s">
        <v>85</v>
      </c>
      <c r="DG359" s="407">
        <v>45846</v>
      </c>
      <c r="DH359" s="405" t="s">
        <v>7466</v>
      </c>
      <c r="DI359" s="406">
        <v>465455</v>
      </c>
      <c r="DJ359" s="408">
        <v>5</v>
      </c>
      <c r="DK359" s="405">
        <v>1</v>
      </c>
      <c r="DL359" s="82">
        <v>319.22000000000003</v>
      </c>
      <c r="DM359" s="409">
        <v>1.5961000000000001</v>
      </c>
      <c r="DN359" s="82" t="s">
        <v>85</v>
      </c>
      <c r="DO359" s="82" t="s">
        <v>85</v>
      </c>
      <c r="DP359" s="410" t="s">
        <v>85</v>
      </c>
    </row>
    <row r="360" spans="1:120" x14ac:dyDescent="0.25">
      <c r="A360" s="16" t="s">
        <v>7469</v>
      </c>
      <c r="B360" s="16" t="s">
        <v>7470</v>
      </c>
      <c r="C360" s="16" t="s">
        <v>7471</v>
      </c>
      <c r="D360" s="16" t="s">
        <v>7465</v>
      </c>
      <c r="E360" s="16" t="s">
        <v>7472</v>
      </c>
      <c r="F360" s="16" t="s">
        <v>7473</v>
      </c>
      <c r="G360" s="16" t="s">
        <v>7474</v>
      </c>
      <c r="H360" s="16" t="s">
        <v>7475</v>
      </c>
      <c r="I360" s="16" t="s">
        <v>1218</v>
      </c>
      <c r="J360" s="16" t="s">
        <v>1036</v>
      </c>
      <c r="K360" s="16" t="s">
        <v>1219</v>
      </c>
      <c r="L360" s="16" t="s">
        <v>85</v>
      </c>
      <c r="M360" s="16" t="s">
        <v>1216</v>
      </c>
      <c r="N360" s="16" t="s">
        <v>914</v>
      </c>
      <c r="O360" s="16" t="s">
        <v>946</v>
      </c>
      <c r="P360" s="16" t="s">
        <v>914</v>
      </c>
      <c r="Q360" s="16" t="s">
        <v>946</v>
      </c>
      <c r="R360" s="16" t="s">
        <v>915</v>
      </c>
      <c r="S360" s="16" t="s">
        <v>915</v>
      </c>
      <c r="T360" s="16" t="s">
        <v>1216</v>
      </c>
      <c r="U360" s="16" t="s">
        <v>1217</v>
      </c>
      <c r="V360" s="16" t="s">
        <v>916</v>
      </c>
      <c r="W360" s="16" t="s">
        <v>1217</v>
      </c>
      <c r="X360" s="16" t="s">
        <v>934</v>
      </c>
      <c r="Y360" s="16" t="s">
        <v>934</v>
      </c>
      <c r="Z360" s="16" t="s">
        <v>935</v>
      </c>
      <c r="DA360" s="405" t="s">
        <v>5</v>
      </c>
      <c r="DB360" s="405" t="s">
        <v>363</v>
      </c>
      <c r="DC360" s="406" t="s">
        <v>85</v>
      </c>
      <c r="DD360" s="405" t="s">
        <v>917</v>
      </c>
      <c r="DE360" s="405" t="s">
        <v>5</v>
      </c>
      <c r="DF360" s="406" t="s">
        <v>85</v>
      </c>
      <c r="DG360" s="407">
        <v>45846</v>
      </c>
      <c r="DH360" s="405" t="s">
        <v>7472</v>
      </c>
      <c r="DI360" s="406">
        <v>465455</v>
      </c>
      <c r="DJ360" s="408">
        <v>5</v>
      </c>
      <c r="DK360" s="405">
        <v>1</v>
      </c>
      <c r="DL360" s="82">
        <v>319.22000000000003</v>
      </c>
      <c r="DM360" s="409">
        <v>1.5961000000000001</v>
      </c>
      <c r="DN360" s="82" t="s">
        <v>85</v>
      </c>
      <c r="DO360" s="82" t="s">
        <v>85</v>
      </c>
      <c r="DP360" s="410" t="s">
        <v>85</v>
      </c>
    </row>
    <row r="361" spans="1:120" x14ac:dyDescent="0.25">
      <c r="A361" s="16" t="s">
        <v>7476</v>
      </c>
      <c r="B361" s="16" t="s">
        <v>7477</v>
      </c>
      <c r="C361" s="16" t="s">
        <v>7478</v>
      </c>
      <c r="D361" s="16" t="s">
        <v>7465</v>
      </c>
      <c r="E361" s="16" t="s">
        <v>7479</v>
      </c>
      <c r="F361" s="16" t="s">
        <v>7480</v>
      </c>
      <c r="G361" s="16" t="s">
        <v>7481</v>
      </c>
      <c r="H361" s="16" t="s">
        <v>7480</v>
      </c>
      <c r="I361" s="16" t="s">
        <v>1970</v>
      </c>
      <c r="J361" s="16" t="s">
        <v>995</v>
      </c>
      <c r="K361" s="16" t="s">
        <v>1971</v>
      </c>
      <c r="L361" s="16" t="s">
        <v>85</v>
      </c>
      <c r="M361" s="16" t="s">
        <v>1165</v>
      </c>
      <c r="N361" s="16" t="s">
        <v>914</v>
      </c>
      <c r="O361" s="16" t="s">
        <v>1166</v>
      </c>
      <c r="P361" s="16" t="s">
        <v>914</v>
      </c>
      <c r="Q361" s="16" t="s">
        <v>1166</v>
      </c>
      <c r="R361" s="16" t="s">
        <v>915</v>
      </c>
      <c r="S361" s="16" t="s">
        <v>915</v>
      </c>
      <c r="T361" s="16" t="s">
        <v>1167</v>
      </c>
      <c r="U361" s="16" t="s">
        <v>1168</v>
      </c>
      <c r="V361" s="16" t="s">
        <v>916</v>
      </c>
      <c r="W361" s="16" t="s">
        <v>1168</v>
      </c>
      <c r="X361" s="16" t="s">
        <v>934</v>
      </c>
      <c r="Y361" s="16" t="s">
        <v>934</v>
      </c>
      <c r="Z361" s="16" t="s">
        <v>935</v>
      </c>
      <c r="DA361" s="405" t="s">
        <v>5</v>
      </c>
      <c r="DB361" s="405" t="s">
        <v>363</v>
      </c>
      <c r="DC361" s="406" t="s">
        <v>85</v>
      </c>
      <c r="DD361" s="405" t="s">
        <v>917</v>
      </c>
      <c r="DE361" s="405" t="s">
        <v>5</v>
      </c>
      <c r="DF361" s="406" t="s">
        <v>85</v>
      </c>
      <c r="DG361" s="407">
        <v>45846</v>
      </c>
      <c r="DH361" s="405" t="s">
        <v>7479</v>
      </c>
      <c r="DI361" s="406">
        <v>465455</v>
      </c>
      <c r="DJ361" s="408">
        <v>5</v>
      </c>
      <c r="DK361" s="405">
        <v>1</v>
      </c>
      <c r="DL361" s="82">
        <v>468.28</v>
      </c>
      <c r="DM361" s="409">
        <v>2.3413999999999997</v>
      </c>
      <c r="DN361" s="82" t="s">
        <v>85</v>
      </c>
      <c r="DO361" s="82" t="s">
        <v>85</v>
      </c>
      <c r="DP361" s="410" t="s">
        <v>85</v>
      </c>
    </row>
    <row r="362" spans="1:120" x14ac:dyDescent="0.25">
      <c r="A362" s="16" t="s">
        <v>7482</v>
      </c>
      <c r="B362" s="16" t="s">
        <v>7483</v>
      </c>
      <c r="C362" s="16" t="s">
        <v>7484</v>
      </c>
      <c r="D362" s="16" t="s">
        <v>7465</v>
      </c>
      <c r="E362" s="16" t="s">
        <v>7485</v>
      </c>
      <c r="F362" s="16" t="s">
        <v>7486</v>
      </c>
      <c r="G362" s="16" t="s">
        <v>7487</v>
      </c>
      <c r="H362" s="16" t="s">
        <v>7486</v>
      </c>
      <c r="I362" s="16" t="s">
        <v>1248</v>
      </c>
      <c r="J362" s="16" t="s">
        <v>995</v>
      </c>
      <c r="K362" s="16" t="s">
        <v>1249</v>
      </c>
      <c r="L362" s="16" t="s">
        <v>85</v>
      </c>
      <c r="M362" s="16" t="s">
        <v>1165</v>
      </c>
      <c r="N362" s="16" t="s">
        <v>914</v>
      </c>
      <c r="O362" s="16" t="s">
        <v>1166</v>
      </c>
      <c r="P362" s="16" t="s">
        <v>914</v>
      </c>
      <c r="Q362" s="16" t="s">
        <v>1166</v>
      </c>
      <c r="R362" s="16" t="s">
        <v>915</v>
      </c>
      <c r="S362" s="16" t="s">
        <v>915</v>
      </c>
      <c r="T362" s="16" t="s">
        <v>1167</v>
      </c>
      <c r="U362" s="16" t="s">
        <v>1168</v>
      </c>
      <c r="V362" s="16" t="s">
        <v>916</v>
      </c>
      <c r="W362" s="16" t="s">
        <v>1168</v>
      </c>
      <c r="X362" s="16" t="s">
        <v>934</v>
      </c>
      <c r="Y362" s="16" t="s">
        <v>934</v>
      </c>
      <c r="Z362" s="16" t="s">
        <v>935</v>
      </c>
      <c r="DA362" s="405" t="s">
        <v>5</v>
      </c>
      <c r="DB362" s="405" t="s">
        <v>363</v>
      </c>
      <c r="DC362" s="406" t="s">
        <v>85</v>
      </c>
      <c r="DD362" s="405" t="s">
        <v>917</v>
      </c>
      <c r="DE362" s="405" t="s">
        <v>5</v>
      </c>
      <c r="DF362" s="406" t="s">
        <v>85</v>
      </c>
      <c r="DG362" s="407">
        <v>45846</v>
      </c>
      <c r="DH362" s="405" t="s">
        <v>7485</v>
      </c>
      <c r="DI362" s="406">
        <v>465455</v>
      </c>
      <c r="DJ362" s="408">
        <v>5</v>
      </c>
      <c r="DK362" s="405">
        <v>1</v>
      </c>
      <c r="DL362" s="82">
        <v>468.28</v>
      </c>
      <c r="DM362" s="409">
        <v>2.3413999999999997</v>
      </c>
      <c r="DN362" s="82" t="s">
        <v>85</v>
      </c>
      <c r="DO362" s="82" t="s">
        <v>85</v>
      </c>
      <c r="DP362" s="410" t="s">
        <v>85</v>
      </c>
    </row>
    <row r="363" spans="1:120" x14ac:dyDescent="0.25">
      <c r="A363" s="16" t="s">
        <v>7488</v>
      </c>
      <c r="B363" s="16" t="s">
        <v>7489</v>
      </c>
      <c r="C363" s="16" t="s">
        <v>7490</v>
      </c>
      <c r="D363" s="16" t="s">
        <v>7465</v>
      </c>
      <c r="E363" s="16" t="s">
        <v>7491</v>
      </c>
      <c r="F363" s="16" t="s">
        <v>7492</v>
      </c>
      <c r="G363" s="16" t="s">
        <v>7493</v>
      </c>
      <c r="H363" s="16" t="s">
        <v>7492</v>
      </c>
      <c r="I363" s="16" t="s">
        <v>1937</v>
      </c>
      <c r="J363" s="16" t="s">
        <v>1036</v>
      </c>
      <c r="K363" s="16" t="s">
        <v>1938</v>
      </c>
      <c r="L363" s="16" t="s">
        <v>85</v>
      </c>
      <c r="M363" s="16" t="s">
        <v>1216</v>
      </c>
      <c r="N363" s="16" t="s">
        <v>914</v>
      </c>
      <c r="O363" s="16" t="s">
        <v>946</v>
      </c>
      <c r="P363" s="16" t="s">
        <v>914</v>
      </c>
      <c r="Q363" s="16" t="s">
        <v>946</v>
      </c>
      <c r="R363" s="16" t="s">
        <v>915</v>
      </c>
      <c r="S363" s="16" t="s">
        <v>915</v>
      </c>
      <c r="T363" s="16" t="s">
        <v>1216</v>
      </c>
      <c r="U363" s="16" t="s">
        <v>1217</v>
      </c>
      <c r="V363" s="16" t="s">
        <v>916</v>
      </c>
      <c r="W363" s="16" t="s">
        <v>1217</v>
      </c>
      <c r="X363" s="16" t="s">
        <v>934</v>
      </c>
      <c r="Y363" s="16" t="s">
        <v>934</v>
      </c>
      <c r="Z363" s="16" t="s">
        <v>935</v>
      </c>
      <c r="DA363" s="405" t="s">
        <v>5</v>
      </c>
      <c r="DB363" s="405" t="s">
        <v>363</v>
      </c>
      <c r="DC363" s="406" t="s">
        <v>85</v>
      </c>
      <c r="DD363" s="405" t="s">
        <v>917</v>
      </c>
      <c r="DE363" s="405" t="s">
        <v>5</v>
      </c>
      <c r="DF363" s="406" t="s">
        <v>85</v>
      </c>
      <c r="DG363" s="407">
        <v>45846</v>
      </c>
      <c r="DH363" s="405" t="s">
        <v>7491</v>
      </c>
      <c r="DI363" s="406">
        <v>465455</v>
      </c>
      <c r="DJ363" s="408">
        <v>5</v>
      </c>
      <c r="DK363" s="405">
        <v>1</v>
      </c>
      <c r="DL363" s="82">
        <v>319.22000000000003</v>
      </c>
      <c r="DM363" s="409">
        <v>1.5961000000000001</v>
      </c>
      <c r="DN363" s="82" t="s">
        <v>85</v>
      </c>
      <c r="DO363" s="82" t="s">
        <v>85</v>
      </c>
      <c r="DP363" s="410" t="s">
        <v>85</v>
      </c>
    </row>
    <row r="364" spans="1:120" x14ac:dyDescent="0.25">
      <c r="A364" s="16" t="s">
        <v>7494</v>
      </c>
      <c r="B364" s="16" t="s">
        <v>7495</v>
      </c>
      <c r="C364" s="16" t="s">
        <v>7496</v>
      </c>
      <c r="D364" s="16" t="s">
        <v>7465</v>
      </c>
      <c r="E364" s="16" t="s">
        <v>7497</v>
      </c>
      <c r="F364" s="16" t="s">
        <v>7498</v>
      </c>
      <c r="G364" s="16" t="s">
        <v>7499</v>
      </c>
      <c r="H364" s="16" t="s">
        <v>7498</v>
      </c>
      <c r="I364" s="16" t="s">
        <v>1414</v>
      </c>
      <c r="J364" s="16" t="s">
        <v>1109</v>
      </c>
      <c r="K364" s="16" t="s">
        <v>1415</v>
      </c>
      <c r="L364" s="16" t="s">
        <v>85</v>
      </c>
      <c r="M364" s="16" t="s">
        <v>1311</v>
      </c>
      <c r="N364" s="16" t="s">
        <v>914</v>
      </c>
      <c r="O364" s="16" t="s">
        <v>1312</v>
      </c>
      <c r="P364" s="16" t="s">
        <v>914</v>
      </c>
      <c r="Q364" s="16" t="s">
        <v>1312</v>
      </c>
      <c r="R364" s="16" t="s">
        <v>915</v>
      </c>
      <c r="S364" s="16" t="s">
        <v>915</v>
      </c>
      <c r="T364" s="16" t="s">
        <v>1311</v>
      </c>
      <c r="U364" s="16" t="s">
        <v>1313</v>
      </c>
      <c r="V364" s="16" t="s">
        <v>916</v>
      </c>
      <c r="W364" s="16" t="s">
        <v>1313</v>
      </c>
      <c r="X364" s="16" t="s">
        <v>934</v>
      </c>
      <c r="Y364" s="16" t="s">
        <v>934</v>
      </c>
      <c r="Z364" s="16" t="s">
        <v>935</v>
      </c>
      <c r="DA364" s="405" t="s">
        <v>5</v>
      </c>
      <c r="DB364" s="405" t="s">
        <v>363</v>
      </c>
      <c r="DC364" s="406" t="s">
        <v>85</v>
      </c>
      <c r="DD364" s="405" t="s">
        <v>917</v>
      </c>
      <c r="DE364" s="405" t="s">
        <v>5</v>
      </c>
      <c r="DF364" s="406" t="s">
        <v>85</v>
      </c>
      <c r="DG364" s="407">
        <v>45846</v>
      </c>
      <c r="DH364" s="405" t="s">
        <v>7497</v>
      </c>
      <c r="DI364" s="406">
        <v>465455</v>
      </c>
      <c r="DJ364" s="408">
        <v>5</v>
      </c>
      <c r="DK364" s="405">
        <v>1</v>
      </c>
      <c r="DL364" s="82">
        <v>531.54</v>
      </c>
      <c r="DM364" s="409">
        <v>2.6576999999999997</v>
      </c>
      <c r="DN364" s="82" t="s">
        <v>85</v>
      </c>
      <c r="DO364" s="82" t="s">
        <v>85</v>
      </c>
      <c r="DP364" s="410" t="s">
        <v>85</v>
      </c>
    </row>
    <row r="365" spans="1:120" x14ac:dyDescent="0.25">
      <c r="A365" s="16" t="s">
        <v>7500</v>
      </c>
      <c r="B365" s="16" t="s">
        <v>7501</v>
      </c>
      <c r="C365" s="16" t="s">
        <v>7502</v>
      </c>
      <c r="D365" s="16" t="s">
        <v>7465</v>
      </c>
      <c r="E365" s="16" t="s">
        <v>7503</v>
      </c>
      <c r="F365" s="16" t="s">
        <v>7504</v>
      </c>
      <c r="G365" s="16" t="s">
        <v>7505</v>
      </c>
      <c r="H365" s="16" t="s">
        <v>7504</v>
      </c>
      <c r="I365" s="16" t="s">
        <v>1638</v>
      </c>
      <c r="J365" s="16" t="s">
        <v>943</v>
      </c>
      <c r="K365" s="16" t="s">
        <v>1639</v>
      </c>
      <c r="L365" s="16" t="s">
        <v>85</v>
      </c>
      <c r="M365" s="16" t="s">
        <v>984</v>
      </c>
      <c r="N365" s="16" t="s">
        <v>914</v>
      </c>
      <c r="O365" s="16" t="s">
        <v>985</v>
      </c>
      <c r="P365" s="16" t="s">
        <v>914</v>
      </c>
      <c r="Q365" s="16" t="s">
        <v>985</v>
      </c>
      <c r="R365" s="16" t="s">
        <v>915</v>
      </c>
      <c r="S365" s="16" t="s">
        <v>915</v>
      </c>
      <c r="T365" s="16" t="s">
        <v>986</v>
      </c>
      <c r="U365" s="16" t="s">
        <v>987</v>
      </c>
      <c r="V365" s="16" t="s">
        <v>916</v>
      </c>
      <c r="W365" s="16" t="s">
        <v>987</v>
      </c>
      <c r="X365" s="16" t="s">
        <v>934</v>
      </c>
      <c r="Y365" s="16" t="s">
        <v>934</v>
      </c>
      <c r="Z365" s="16" t="s">
        <v>935</v>
      </c>
      <c r="DA365" s="405" t="s">
        <v>5</v>
      </c>
      <c r="DB365" s="405" t="s">
        <v>363</v>
      </c>
      <c r="DC365" s="406" t="s">
        <v>85</v>
      </c>
      <c r="DD365" s="405" t="s">
        <v>917</v>
      </c>
      <c r="DE365" s="405" t="s">
        <v>5</v>
      </c>
      <c r="DF365" s="406" t="s">
        <v>85</v>
      </c>
      <c r="DG365" s="407">
        <v>45846</v>
      </c>
      <c r="DH365" s="405" t="s">
        <v>7503</v>
      </c>
      <c r="DI365" s="406">
        <v>465455</v>
      </c>
      <c r="DJ365" s="408">
        <v>5</v>
      </c>
      <c r="DK365" s="405">
        <v>1</v>
      </c>
      <c r="DL365" s="82">
        <v>340.55</v>
      </c>
      <c r="DM365" s="409">
        <v>1.70275</v>
      </c>
      <c r="DN365" s="82" t="s">
        <v>85</v>
      </c>
      <c r="DO365" s="82" t="s">
        <v>85</v>
      </c>
      <c r="DP365" s="410" t="s">
        <v>85</v>
      </c>
    </row>
    <row r="366" spans="1:120" x14ac:dyDescent="0.25">
      <c r="A366" s="16" t="s">
        <v>7506</v>
      </c>
      <c r="B366" s="16" t="s">
        <v>7507</v>
      </c>
      <c r="C366" s="16" t="s">
        <v>7508</v>
      </c>
      <c r="D366" s="16" t="s">
        <v>7465</v>
      </c>
      <c r="E366" s="16" t="s">
        <v>7509</v>
      </c>
      <c r="F366" s="16" t="s">
        <v>7510</v>
      </c>
      <c r="G366" s="16" t="s">
        <v>7511</v>
      </c>
      <c r="H366" s="16" t="s">
        <v>7510</v>
      </c>
      <c r="I366" s="16" t="s">
        <v>7512</v>
      </c>
      <c r="J366" s="16" t="s">
        <v>1354</v>
      </c>
      <c r="K366" s="16" t="s">
        <v>7513</v>
      </c>
      <c r="L366" s="16" t="s">
        <v>85</v>
      </c>
      <c r="M366" s="16" t="s">
        <v>945</v>
      </c>
      <c r="N366" s="16" t="s">
        <v>914</v>
      </c>
      <c r="O366" s="16" t="s">
        <v>946</v>
      </c>
      <c r="P366" s="16" t="s">
        <v>914</v>
      </c>
      <c r="Q366" s="16" t="s">
        <v>946</v>
      </c>
      <c r="R366" s="16" t="s">
        <v>915</v>
      </c>
      <c r="S366" s="16" t="s">
        <v>915</v>
      </c>
      <c r="T366" s="16" t="s">
        <v>945</v>
      </c>
      <c r="U366" s="16" t="s">
        <v>947</v>
      </c>
      <c r="V366" s="16" t="s">
        <v>916</v>
      </c>
      <c r="W366" s="16" t="s">
        <v>947</v>
      </c>
      <c r="X366" s="16" t="s">
        <v>934</v>
      </c>
      <c r="Y366" s="16" t="s">
        <v>934</v>
      </c>
      <c r="Z366" s="16" t="s">
        <v>935</v>
      </c>
      <c r="DA366" s="405" t="s">
        <v>5</v>
      </c>
      <c r="DB366" s="405" t="s">
        <v>363</v>
      </c>
      <c r="DC366" s="406" t="s">
        <v>85</v>
      </c>
      <c r="DD366" s="405" t="s">
        <v>917</v>
      </c>
      <c r="DE366" s="405" t="s">
        <v>5</v>
      </c>
      <c r="DF366" s="406" t="s">
        <v>85</v>
      </c>
      <c r="DG366" s="407">
        <v>45846</v>
      </c>
      <c r="DH366" s="405" t="s">
        <v>7509</v>
      </c>
      <c r="DI366" s="406">
        <v>465455</v>
      </c>
      <c r="DJ366" s="408">
        <v>5</v>
      </c>
      <c r="DK366" s="405">
        <v>1</v>
      </c>
      <c r="DL366" s="82">
        <v>319.27</v>
      </c>
      <c r="DM366" s="409">
        <v>1.5963499999999999</v>
      </c>
      <c r="DN366" s="82" t="s">
        <v>85</v>
      </c>
      <c r="DO366" s="82" t="s">
        <v>85</v>
      </c>
      <c r="DP366" s="410" t="s">
        <v>85</v>
      </c>
    </row>
    <row r="367" spans="1:120" x14ac:dyDescent="0.25">
      <c r="A367" s="16" t="s">
        <v>7514</v>
      </c>
      <c r="B367" s="16" t="s">
        <v>7515</v>
      </c>
      <c r="C367" s="16" t="s">
        <v>7516</v>
      </c>
      <c r="D367" s="16" t="s">
        <v>7465</v>
      </c>
      <c r="E367" s="16" t="s">
        <v>7517</v>
      </c>
      <c r="F367" s="16" t="s">
        <v>7518</v>
      </c>
      <c r="G367" s="16" t="s">
        <v>7519</v>
      </c>
      <c r="H367" s="16" t="s">
        <v>7518</v>
      </c>
      <c r="I367" s="16" t="s">
        <v>1066</v>
      </c>
      <c r="J367" s="16" t="s">
        <v>943</v>
      </c>
      <c r="K367" s="16" t="s">
        <v>1067</v>
      </c>
      <c r="L367" s="16" t="s">
        <v>85</v>
      </c>
      <c r="M367" s="16" t="s">
        <v>984</v>
      </c>
      <c r="N367" s="16" t="s">
        <v>914</v>
      </c>
      <c r="O367" s="16" t="s">
        <v>985</v>
      </c>
      <c r="P367" s="16" t="s">
        <v>914</v>
      </c>
      <c r="Q367" s="16" t="s">
        <v>985</v>
      </c>
      <c r="R367" s="16" t="s">
        <v>915</v>
      </c>
      <c r="S367" s="16" t="s">
        <v>915</v>
      </c>
      <c r="T367" s="16" t="s">
        <v>986</v>
      </c>
      <c r="U367" s="16" t="s">
        <v>987</v>
      </c>
      <c r="V367" s="16" t="s">
        <v>916</v>
      </c>
      <c r="W367" s="16" t="s">
        <v>987</v>
      </c>
      <c r="X367" s="16" t="s">
        <v>934</v>
      </c>
      <c r="Y367" s="16" t="s">
        <v>934</v>
      </c>
      <c r="Z367" s="16" t="s">
        <v>935</v>
      </c>
      <c r="DA367" s="405" t="s">
        <v>5</v>
      </c>
      <c r="DB367" s="405" t="s">
        <v>363</v>
      </c>
      <c r="DC367" s="406" t="s">
        <v>85</v>
      </c>
      <c r="DD367" s="405" t="s">
        <v>917</v>
      </c>
      <c r="DE367" s="405" t="s">
        <v>5</v>
      </c>
      <c r="DF367" s="406" t="s">
        <v>85</v>
      </c>
      <c r="DG367" s="407">
        <v>45846</v>
      </c>
      <c r="DH367" s="405" t="s">
        <v>7517</v>
      </c>
      <c r="DI367" s="406">
        <v>465455</v>
      </c>
      <c r="DJ367" s="408">
        <v>5</v>
      </c>
      <c r="DK367" s="405">
        <v>1</v>
      </c>
      <c r="DL367" s="82">
        <v>340.55</v>
      </c>
      <c r="DM367" s="409">
        <v>1.70275</v>
      </c>
      <c r="DN367" s="82" t="s">
        <v>85</v>
      </c>
      <c r="DO367" s="82" t="s">
        <v>85</v>
      </c>
      <c r="DP367" s="410" t="s">
        <v>85</v>
      </c>
    </row>
    <row r="368" spans="1:120" x14ac:dyDescent="0.25">
      <c r="A368" s="16" t="s">
        <v>7520</v>
      </c>
      <c r="B368" s="16" t="s">
        <v>7521</v>
      </c>
      <c r="C368" s="16" t="s">
        <v>7522</v>
      </c>
      <c r="D368" s="16" t="s">
        <v>7465</v>
      </c>
      <c r="E368" s="16" t="s">
        <v>7523</v>
      </c>
      <c r="F368" s="16" t="s">
        <v>7524</v>
      </c>
      <c r="G368" s="16" t="s">
        <v>7525</v>
      </c>
      <c r="H368" s="16" t="s">
        <v>7526</v>
      </c>
      <c r="I368" s="16" t="s">
        <v>1269</v>
      </c>
      <c r="J368" s="16" t="s">
        <v>943</v>
      </c>
      <c r="K368" s="16" t="s">
        <v>1270</v>
      </c>
      <c r="L368" s="16" t="s">
        <v>85</v>
      </c>
      <c r="M368" s="16" t="s">
        <v>984</v>
      </c>
      <c r="N368" s="16" t="s">
        <v>914</v>
      </c>
      <c r="O368" s="16" t="s">
        <v>985</v>
      </c>
      <c r="P368" s="16" t="s">
        <v>914</v>
      </c>
      <c r="Q368" s="16" t="s">
        <v>985</v>
      </c>
      <c r="R368" s="16" t="s">
        <v>915</v>
      </c>
      <c r="S368" s="16" t="s">
        <v>915</v>
      </c>
      <c r="T368" s="16" t="s">
        <v>986</v>
      </c>
      <c r="U368" s="16" t="s">
        <v>987</v>
      </c>
      <c r="V368" s="16" t="s">
        <v>916</v>
      </c>
      <c r="W368" s="16" t="s">
        <v>987</v>
      </c>
      <c r="X368" s="16" t="s">
        <v>934</v>
      </c>
      <c r="Y368" s="16" t="s">
        <v>934</v>
      </c>
      <c r="Z368" s="16" t="s">
        <v>935</v>
      </c>
      <c r="DA368" s="405" t="s">
        <v>5</v>
      </c>
      <c r="DB368" s="405" t="s">
        <v>363</v>
      </c>
      <c r="DC368" s="406" t="s">
        <v>85</v>
      </c>
      <c r="DD368" s="405" t="s">
        <v>917</v>
      </c>
      <c r="DE368" s="405" t="s">
        <v>5</v>
      </c>
      <c r="DF368" s="406" t="s">
        <v>85</v>
      </c>
      <c r="DG368" s="407">
        <v>45846</v>
      </c>
      <c r="DH368" s="405" t="s">
        <v>7523</v>
      </c>
      <c r="DI368" s="406">
        <v>465455</v>
      </c>
      <c r="DJ368" s="408">
        <v>5</v>
      </c>
      <c r="DK368" s="405">
        <v>1</v>
      </c>
      <c r="DL368" s="82">
        <v>340.55</v>
      </c>
      <c r="DM368" s="409">
        <v>1.70275</v>
      </c>
      <c r="DN368" s="82" t="s">
        <v>85</v>
      </c>
      <c r="DO368" s="82" t="s">
        <v>85</v>
      </c>
      <c r="DP368" s="410" t="s">
        <v>85</v>
      </c>
    </row>
    <row r="369" spans="1:120" x14ac:dyDescent="0.25">
      <c r="A369" s="16" t="s">
        <v>7527</v>
      </c>
      <c r="B369" s="16" t="s">
        <v>7528</v>
      </c>
      <c r="C369" s="16" t="s">
        <v>7529</v>
      </c>
      <c r="D369" s="16" t="s">
        <v>7465</v>
      </c>
      <c r="E369" s="16" t="s">
        <v>7530</v>
      </c>
      <c r="F369" s="16" t="s">
        <v>7531</v>
      </c>
      <c r="G369" s="16" t="s">
        <v>7532</v>
      </c>
      <c r="H369" s="16" t="s">
        <v>7531</v>
      </c>
      <c r="I369" s="16" t="s">
        <v>994</v>
      </c>
      <c r="J369" s="16" t="s">
        <v>995</v>
      </c>
      <c r="K369" s="16" t="s">
        <v>996</v>
      </c>
      <c r="L369" s="16" t="s">
        <v>85</v>
      </c>
      <c r="M369" s="16" t="s">
        <v>1165</v>
      </c>
      <c r="N369" s="16" t="s">
        <v>914</v>
      </c>
      <c r="O369" s="16" t="s">
        <v>1166</v>
      </c>
      <c r="P369" s="16" t="s">
        <v>914</v>
      </c>
      <c r="Q369" s="16" t="s">
        <v>1166</v>
      </c>
      <c r="R369" s="16" t="s">
        <v>915</v>
      </c>
      <c r="S369" s="16" t="s">
        <v>915</v>
      </c>
      <c r="T369" s="16" t="s">
        <v>1167</v>
      </c>
      <c r="U369" s="16" t="s">
        <v>1168</v>
      </c>
      <c r="V369" s="16" t="s">
        <v>916</v>
      </c>
      <c r="W369" s="16" t="s">
        <v>1168</v>
      </c>
      <c r="X369" s="16" t="s">
        <v>934</v>
      </c>
      <c r="Y369" s="16" t="s">
        <v>934</v>
      </c>
      <c r="Z369" s="16" t="s">
        <v>935</v>
      </c>
      <c r="DA369" s="405" t="s">
        <v>5</v>
      </c>
      <c r="DB369" s="405" t="s">
        <v>363</v>
      </c>
      <c r="DC369" s="406" t="s">
        <v>85</v>
      </c>
      <c r="DD369" s="405" t="s">
        <v>917</v>
      </c>
      <c r="DE369" s="405" t="s">
        <v>5</v>
      </c>
      <c r="DF369" s="406" t="s">
        <v>85</v>
      </c>
      <c r="DG369" s="407">
        <v>45846</v>
      </c>
      <c r="DH369" s="405" t="s">
        <v>7530</v>
      </c>
      <c r="DI369" s="406">
        <v>465455</v>
      </c>
      <c r="DJ369" s="408">
        <v>5</v>
      </c>
      <c r="DK369" s="405">
        <v>1</v>
      </c>
      <c r="DL369" s="82">
        <v>468.28</v>
      </c>
      <c r="DM369" s="409">
        <v>2.3413999999999997</v>
      </c>
      <c r="DN369" s="82" t="s">
        <v>85</v>
      </c>
      <c r="DO369" s="82" t="s">
        <v>85</v>
      </c>
      <c r="DP369" s="410" t="s">
        <v>85</v>
      </c>
    </row>
    <row r="370" spans="1:120" x14ac:dyDescent="0.25">
      <c r="A370" s="16" t="s">
        <v>7533</v>
      </c>
      <c r="B370" s="16" t="s">
        <v>7534</v>
      </c>
      <c r="C370" s="16" t="s">
        <v>7535</v>
      </c>
      <c r="D370" s="16" t="s">
        <v>7465</v>
      </c>
      <c r="E370" s="16" t="s">
        <v>7536</v>
      </c>
      <c r="F370" s="16" t="s">
        <v>7537</v>
      </c>
      <c r="G370" s="16" t="s">
        <v>7538</v>
      </c>
      <c r="H370" s="16" t="s">
        <v>7537</v>
      </c>
      <c r="I370" s="16" t="s">
        <v>1719</v>
      </c>
      <c r="J370" s="16" t="s">
        <v>943</v>
      </c>
      <c r="K370" s="16" t="s">
        <v>1720</v>
      </c>
      <c r="L370" s="16" t="s">
        <v>85</v>
      </c>
      <c r="M370" s="16" t="s">
        <v>984</v>
      </c>
      <c r="N370" s="16" t="s">
        <v>914</v>
      </c>
      <c r="O370" s="16" t="s">
        <v>985</v>
      </c>
      <c r="P370" s="16" t="s">
        <v>914</v>
      </c>
      <c r="Q370" s="16" t="s">
        <v>985</v>
      </c>
      <c r="R370" s="16" t="s">
        <v>915</v>
      </c>
      <c r="S370" s="16" t="s">
        <v>915</v>
      </c>
      <c r="T370" s="16" t="s">
        <v>986</v>
      </c>
      <c r="U370" s="16" t="s">
        <v>987</v>
      </c>
      <c r="V370" s="16" t="s">
        <v>916</v>
      </c>
      <c r="W370" s="16" t="s">
        <v>987</v>
      </c>
      <c r="X370" s="16" t="s">
        <v>934</v>
      </c>
      <c r="Y370" s="16" t="s">
        <v>934</v>
      </c>
      <c r="Z370" s="16" t="s">
        <v>935</v>
      </c>
      <c r="DA370" s="405" t="s">
        <v>5</v>
      </c>
      <c r="DB370" s="405" t="s">
        <v>363</v>
      </c>
      <c r="DC370" s="406" t="s">
        <v>85</v>
      </c>
      <c r="DD370" s="405" t="s">
        <v>917</v>
      </c>
      <c r="DE370" s="405" t="s">
        <v>5</v>
      </c>
      <c r="DF370" s="406" t="s">
        <v>85</v>
      </c>
      <c r="DG370" s="407">
        <v>45846</v>
      </c>
      <c r="DH370" s="405" t="s">
        <v>7536</v>
      </c>
      <c r="DI370" s="406">
        <v>465455</v>
      </c>
      <c r="DJ370" s="408">
        <v>5</v>
      </c>
      <c r="DK370" s="405">
        <v>1</v>
      </c>
      <c r="DL370" s="82">
        <v>340.55</v>
      </c>
      <c r="DM370" s="409">
        <v>1.70275</v>
      </c>
      <c r="DN370" s="82" t="s">
        <v>85</v>
      </c>
      <c r="DO370" s="82" t="s">
        <v>85</v>
      </c>
      <c r="DP370" s="410" t="s">
        <v>85</v>
      </c>
    </row>
    <row r="371" spans="1:120" x14ac:dyDescent="0.25">
      <c r="A371" s="16" t="s">
        <v>7539</v>
      </c>
      <c r="B371" s="16" t="s">
        <v>7540</v>
      </c>
      <c r="C371" s="16" t="s">
        <v>7541</v>
      </c>
      <c r="D371" s="16" t="s">
        <v>7465</v>
      </c>
      <c r="E371" s="16" t="s">
        <v>7542</v>
      </c>
      <c r="F371" s="16" t="s">
        <v>7543</v>
      </c>
      <c r="G371" s="16" t="s">
        <v>7544</v>
      </c>
      <c r="H371" s="16" t="s">
        <v>7545</v>
      </c>
      <c r="I371" s="16" t="s">
        <v>6098</v>
      </c>
      <c r="J371" s="16" t="s">
        <v>928</v>
      </c>
      <c r="K371" s="16" t="s">
        <v>6099</v>
      </c>
      <c r="L371" s="16" t="s">
        <v>85</v>
      </c>
      <c r="M371" s="16" t="s">
        <v>1322</v>
      </c>
      <c r="N371" s="16" t="s">
        <v>914</v>
      </c>
      <c r="O371" s="16" t="s">
        <v>1323</v>
      </c>
      <c r="P371" s="16" t="s">
        <v>914</v>
      </c>
      <c r="Q371" s="16" t="s">
        <v>1323</v>
      </c>
      <c r="R371" s="16" t="s">
        <v>915</v>
      </c>
      <c r="S371" s="16" t="s">
        <v>915</v>
      </c>
      <c r="T371" s="16" t="s">
        <v>1322</v>
      </c>
      <c r="U371" s="16" t="s">
        <v>1324</v>
      </c>
      <c r="V371" s="16" t="s">
        <v>916</v>
      </c>
      <c r="W371" s="16" t="s">
        <v>1324</v>
      </c>
      <c r="X371" s="16" t="s">
        <v>934</v>
      </c>
      <c r="Y371" s="16" t="s">
        <v>934</v>
      </c>
      <c r="Z371" s="16" t="s">
        <v>935</v>
      </c>
      <c r="DA371" s="405" t="s">
        <v>5</v>
      </c>
      <c r="DB371" s="405" t="s">
        <v>363</v>
      </c>
      <c r="DC371" s="406" t="s">
        <v>85</v>
      </c>
      <c r="DD371" s="405" t="s">
        <v>917</v>
      </c>
      <c r="DE371" s="405" t="s">
        <v>5</v>
      </c>
      <c r="DF371" s="406" t="s">
        <v>85</v>
      </c>
      <c r="DG371" s="407">
        <v>45846</v>
      </c>
      <c r="DH371" s="405" t="s">
        <v>7542</v>
      </c>
      <c r="DI371" s="406">
        <v>465455</v>
      </c>
      <c r="DJ371" s="408">
        <v>5</v>
      </c>
      <c r="DK371" s="405">
        <v>1</v>
      </c>
      <c r="DL371" s="82">
        <v>332.47</v>
      </c>
      <c r="DM371" s="409">
        <v>1.6623500000000002</v>
      </c>
      <c r="DN371" s="82" t="s">
        <v>85</v>
      </c>
      <c r="DO371" s="82" t="s">
        <v>85</v>
      </c>
      <c r="DP371" s="410" t="s">
        <v>85</v>
      </c>
    </row>
    <row r="372" spans="1:120" x14ac:dyDescent="0.25">
      <c r="A372" s="16" t="s">
        <v>7546</v>
      </c>
      <c r="B372" s="16" t="s">
        <v>7547</v>
      </c>
      <c r="C372" s="16" t="s">
        <v>7548</v>
      </c>
      <c r="D372" s="16" t="s">
        <v>7465</v>
      </c>
      <c r="E372" s="16" t="s">
        <v>7549</v>
      </c>
      <c r="F372" s="16" t="s">
        <v>7550</v>
      </c>
      <c r="G372" s="16" t="s">
        <v>7551</v>
      </c>
      <c r="H372" s="16" t="s">
        <v>7552</v>
      </c>
      <c r="I372" s="16" t="s">
        <v>6990</v>
      </c>
      <c r="J372" s="16" t="s">
        <v>2600</v>
      </c>
      <c r="K372" s="16" t="s">
        <v>6991</v>
      </c>
      <c r="L372" s="16" t="s">
        <v>85</v>
      </c>
      <c r="M372" s="16" t="s">
        <v>1955</v>
      </c>
      <c r="N372" s="16" t="s">
        <v>914</v>
      </c>
      <c r="O372" s="16" t="s">
        <v>1039</v>
      </c>
      <c r="P372" s="16" t="s">
        <v>914</v>
      </c>
      <c r="Q372" s="16" t="s">
        <v>1039</v>
      </c>
      <c r="R372" s="16" t="s">
        <v>915</v>
      </c>
      <c r="S372" s="16" t="s">
        <v>915</v>
      </c>
      <c r="T372" s="16" t="s">
        <v>1955</v>
      </c>
      <c r="U372" s="16" t="s">
        <v>1956</v>
      </c>
      <c r="V372" s="16" t="s">
        <v>916</v>
      </c>
      <c r="W372" s="16" t="s">
        <v>1956</v>
      </c>
      <c r="X372" s="16" t="s">
        <v>934</v>
      </c>
      <c r="Y372" s="16" t="s">
        <v>934</v>
      </c>
      <c r="Z372" s="16" t="s">
        <v>935</v>
      </c>
      <c r="DA372" s="405" t="s">
        <v>5</v>
      </c>
      <c r="DB372" s="405" t="s">
        <v>363</v>
      </c>
      <c r="DC372" s="406" t="s">
        <v>85</v>
      </c>
      <c r="DD372" s="405" t="s">
        <v>917</v>
      </c>
      <c r="DE372" s="405" t="s">
        <v>5</v>
      </c>
      <c r="DF372" s="406" t="s">
        <v>85</v>
      </c>
      <c r="DG372" s="407">
        <v>45846</v>
      </c>
      <c r="DH372" s="405" t="s">
        <v>7549</v>
      </c>
      <c r="DI372" s="406">
        <v>465455</v>
      </c>
      <c r="DJ372" s="408">
        <v>5</v>
      </c>
      <c r="DK372" s="405">
        <v>1</v>
      </c>
      <c r="DL372" s="82">
        <v>311.2</v>
      </c>
      <c r="DM372" s="409">
        <v>1.556</v>
      </c>
      <c r="DN372" s="82" t="s">
        <v>85</v>
      </c>
      <c r="DO372" s="82" t="s">
        <v>85</v>
      </c>
      <c r="DP372" s="410" t="s">
        <v>85</v>
      </c>
    </row>
    <row r="373" spans="1:120" x14ac:dyDescent="0.25">
      <c r="A373" s="16" t="s">
        <v>7553</v>
      </c>
      <c r="B373" s="16" t="s">
        <v>7554</v>
      </c>
      <c r="C373" s="16" t="s">
        <v>7555</v>
      </c>
      <c r="D373" s="16" t="s">
        <v>7465</v>
      </c>
      <c r="E373" s="16" t="s">
        <v>7556</v>
      </c>
      <c r="F373" s="16" t="s">
        <v>7557</v>
      </c>
      <c r="G373" s="16" t="s">
        <v>7558</v>
      </c>
      <c r="H373" s="16" t="s">
        <v>7557</v>
      </c>
      <c r="I373" s="16" t="s">
        <v>1026</v>
      </c>
      <c r="J373" s="16" t="s">
        <v>943</v>
      </c>
      <c r="K373" s="16" t="s">
        <v>1027</v>
      </c>
      <c r="L373" s="16" t="s">
        <v>85</v>
      </c>
      <c r="M373" s="16" t="s">
        <v>984</v>
      </c>
      <c r="N373" s="16" t="s">
        <v>914</v>
      </c>
      <c r="O373" s="16" t="s">
        <v>985</v>
      </c>
      <c r="P373" s="16" t="s">
        <v>914</v>
      </c>
      <c r="Q373" s="16" t="s">
        <v>985</v>
      </c>
      <c r="R373" s="16" t="s">
        <v>915</v>
      </c>
      <c r="S373" s="16" t="s">
        <v>915</v>
      </c>
      <c r="T373" s="16" t="s">
        <v>986</v>
      </c>
      <c r="U373" s="16" t="s">
        <v>987</v>
      </c>
      <c r="V373" s="16" t="s">
        <v>916</v>
      </c>
      <c r="W373" s="16" t="s">
        <v>987</v>
      </c>
      <c r="X373" s="16" t="s">
        <v>934</v>
      </c>
      <c r="Y373" s="16" t="s">
        <v>934</v>
      </c>
      <c r="Z373" s="16" t="s">
        <v>935</v>
      </c>
      <c r="DA373" s="405" t="s">
        <v>5</v>
      </c>
      <c r="DB373" s="405" t="s">
        <v>363</v>
      </c>
      <c r="DC373" s="406" t="s">
        <v>85</v>
      </c>
      <c r="DD373" s="405" t="s">
        <v>917</v>
      </c>
      <c r="DE373" s="405" t="s">
        <v>5</v>
      </c>
      <c r="DF373" s="406" t="s">
        <v>85</v>
      </c>
      <c r="DG373" s="407">
        <v>45846</v>
      </c>
      <c r="DH373" s="405" t="s">
        <v>7556</v>
      </c>
      <c r="DI373" s="406">
        <v>465455</v>
      </c>
      <c r="DJ373" s="408">
        <v>5</v>
      </c>
      <c r="DK373" s="405">
        <v>1</v>
      </c>
      <c r="DL373" s="82">
        <v>340.55</v>
      </c>
      <c r="DM373" s="409">
        <v>1.70275</v>
      </c>
      <c r="DN373" s="82" t="s">
        <v>85</v>
      </c>
      <c r="DO373" s="82" t="s">
        <v>85</v>
      </c>
      <c r="DP373" s="410" t="s">
        <v>85</v>
      </c>
    </row>
    <row r="374" spans="1:120" x14ac:dyDescent="0.25">
      <c r="A374" s="16" t="s">
        <v>7559</v>
      </c>
      <c r="B374" s="16" t="s">
        <v>7560</v>
      </c>
      <c r="C374" s="16" t="s">
        <v>7561</v>
      </c>
      <c r="D374" s="16" t="s">
        <v>7465</v>
      </c>
      <c r="E374" s="16" t="s">
        <v>7562</v>
      </c>
      <c r="F374" s="16" t="s">
        <v>7563</v>
      </c>
      <c r="G374" s="16" t="s">
        <v>7564</v>
      </c>
      <c r="H374" s="16" t="s">
        <v>7565</v>
      </c>
      <c r="I374" s="16" t="s">
        <v>4159</v>
      </c>
      <c r="J374" s="16" t="s">
        <v>1354</v>
      </c>
      <c r="K374" s="16" t="s">
        <v>4160</v>
      </c>
      <c r="L374" s="16" t="s">
        <v>85</v>
      </c>
      <c r="M374" s="16" t="s">
        <v>945</v>
      </c>
      <c r="N374" s="16" t="s">
        <v>914</v>
      </c>
      <c r="O374" s="16" t="s">
        <v>946</v>
      </c>
      <c r="P374" s="16" t="s">
        <v>914</v>
      </c>
      <c r="Q374" s="16" t="s">
        <v>946</v>
      </c>
      <c r="R374" s="16" t="s">
        <v>915</v>
      </c>
      <c r="S374" s="16" t="s">
        <v>915</v>
      </c>
      <c r="T374" s="16" t="s">
        <v>945</v>
      </c>
      <c r="U374" s="16" t="s">
        <v>947</v>
      </c>
      <c r="V374" s="16" t="s">
        <v>916</v>
      </c>
      <c r="W374" s="16" t="s">
        <v>947</v>
      </c>
      <c r="X374" s="16" t="s">
        <v>934</v>
      </c>
      <c r="Y374" s="16" t="s">
        <v>934</v>
      </c>
      <c r="Z374" s="16" t="s">
        <v>935</v>
      </c>
      <c r="DA374" s="405" t="s">
        <v>5</v>
      </c>
      <c r="DB374" s="405" t="s">
        <v>363</v>
      </c>
      <c r="DC374" s="406" t="s">
        <v>85</v>
      </c>
      <c r="DD374" s="405" t="s">
        <v>917</v>
      </c>
      <c r="DE374" s="405" t="s">
        <v>5</v>
      </c>
      <c r="DF374" s="406" t="s">
        <v>85</v>
      </c>
      <c r="DG374" s="407">
        <v>45846</v>
      </c>
      <c r="DH374" s="405" t="s">
        <v>7562</v>
      </c>
      <c r="DI374" s="406">
        <v>465455</v>
      </c>
      <c r="DJ374" s="408">
        <v>5</v>
      </c>
      <c r="DK374" s="405">
        <v>1</v>
      </c>
      <c r="DL374" s="82">
        <v>319.27</v>
      </c>
      <c r="DM374" s="409">
        <v>1.5963499999999999</v>
      </c>
      <c r="DN374" s="82" t="s">
        <v>85</v>
      </c>
      <c r="DO374" s="82" t="s">
        <v>85</v>
      </c>
      <c r="DP374" s="410" t="s">
        <v>85</v>
      </c>
    </row>
    <row r="375" spans="1:120" x14ac:dyDescent="0.25">
      <c r="A375" s="16" t="s">
        <v>7566</v>
      </c>
      <c r="B375" s="16" t="s">
        <v>7567</v>
      </c>
      <c r="C375" s="16" t="s">
        <v>7568</v>
      </c>
      <c r="D375" s="16" t="s">
        <v>7465</v>
      </c>
      <c r="E375" s="16" t="s">
        <v>7569</v>
      </c>
      <c r="F375" s="16" t="s">
        <v>7570</v>
      </c>
      <c r="G375" s="16" t="s">
        <v>7571</v>
      </c>
      <c r="H375" s="16" t="s">
        <v>7572</v>
      </c>
      <c r="I375" s="16" t="s">
        <v>1584</v>
      </c>
      <c r="J375" s="16" t="s">
        <v>928</v>
      </c>
      <c r="K375" s="16" t="s">
        <v>1585</v>
      </c>
      <c r="L375" s="16" t="s">
        <v>85</v>
      </c>
      <c r="M375" s="16" t="s">
        <v>1322</v>
      </c>
      <c r="N375" s="16" t="s">
        <v>914</v>
      </c>
      <c r="O375" s="16" t="s">
        <v>1323</v>
      </c>
      <c r="P375" s="16" t="s">
        <v>914</v>
      </c>
      <c r="Q375" s="16" t="s">
        <v>1323</v>
      </c>
      <c r="R375" s="16" t="s">
        <v>915</v>
      </c>
      <c r="S375" s="16" t="s">
        <v>915</v>
      </c>
      <c r="T375" s="16" t="s">
        <v>1322</v>
      </c>
      <c r="U375" s="16" t="s">
        <v>1324</v>
      </c>
      <c r="V375" s="16" t="s">
        <v>916</v>
      </c>
      <c r="W375" s="16" t="s">
        <v>1324</v>
      </c>
      <c r="X375" s="16" t="s">
        <v>934</v>
      </c>
      <c r="Y375" s="16" t="s">
        <v>934</v>
      </c>
      <c r="Z375" s="16" t="s">
        <v>935</v>
      </c>
      <c r="DA375" s="405" t="s">
        <v>5</v>
      </c>
      <c r="DB375" s="405" t="s">
        <v>363</v>
      </c>
      <c r="DC375" s="406" t="s">
        <v>85</v>
      </c>
      <c r="DD375" s="405" t="s">
        <v>917</v>
      </c>
      <c r="DE375" s="405" t="s">
        <v>5</v>
      </c>
      <c r="DF375" s="406" t="s">
        <v>85</v>
      </c>
      <c r="DG375" s="407">
        <v>45846</v>
      </c>
      <c r="DH375" s="405" t="s">
        <v>7569</v>
      </c>
      <c r="DI375" s="406">
        <v>465455</v>
      </c>
      <c r="DJ375" s="408">
        <v>5</v>
      </c>
      <c r="DK375" s="405">
        <v>1</v>
      </c>
      <c r="DL375" s="82">
        <v>332.47</v>
      </c>
      <c r="DM375" s="409">
        <v>1.6623500000000002</v>
      </c>
      <c r="DN375" s="82" t="s">
        <v>85</v>
      </c>
      <c r="DO375" s="82" t="s">
        <v>85</v>
      </c>
      <c r="DP375" s="410" t="s">
        <v>85</v>
      </c>
    </row>
    <row r="376" spans="1:120" x14ac:dyDescent="0.25">
      <c r="A376" s="16" t="s">
        <v>7573</v>
      </c>
      <c r="B376" s="16" t="s">
        <v>7574</v>
      </c>
      <c r="C376" s="16" t="s">
        <v>7575</v>
      </c>
      <c r="D376" s="16" t="s">
        <v>7465</v>
      </c>
      <c r="E376" s="16" t="s">
        <v>7576</v>
      </c>
      <c r="F376" s="16" t="s">
        <v>7577</v>
      </c>
      <c r="G376" s="16" t="s">
        <v>7578</v>
      </c>
      <c r="H376" s="16" t="s">
        <v>7579</v>
      </c>
      <c r="I376" s="16" t="s">
        <v>4789</v>
      </c>
      <c r="J376" s="16" t="s">
        <v>928</v>
      </c>
      <c r="K376" s="16" t="s">
        <v>4790</v>
      </c>
      <c r="L376" s="16" t="s">
        <v>85</v>
      </c>
      <c r="M376" s="16" t="s">
        <v>1322</v>
      </c>
      <c r="N376" s="16" t="s">
        <v>914</v>
      </c>
      <c r="O376" s="16" t="s">
        <v>1323</v>
      </c>
      <c r="P376" s="16" t="s">
        <v>914</v>
      </c>
      <c r="Q376" s="16" t="s">
        <v>1323</v>
      </c>
      <c r="R376" s="16" t="s">
        <v>915</v>
      </c>
      <c r="S376" s="16" t="s">
        <v>915</v>
      </c>
      <c r="T376" s="16" t="s">
        <v>1322</v>
      </c>
      <c r="U376" s="16" t="s">
        <v>1324</v>
      </c>
      <c r="V376" s="16" t="s">
        <v>916</v>
      </c>
      <c r="W376" s="16" t="s">
        <v>1324</v>
      </c>
      <c r="X376" s="16" t="s">
        <v>934</v>
      </c>
      <c r="Y376" s="16" t="s">
        <v>934</v>
      </c>
      <c r="Z376" s="16" t="s">
        <v>935</v>
      </c>
      <c r="DA376" s="405" t="s">
        <v>5</v>
      </c>
      <c r="DB376" s="405" t="s">
        <v>363</v>
      </c>
      <c r="DC376" s="406" t="s">
        <v>85</v>
      </c>
      <c r="DD376" s="405" t="s">
        <v>917</v>
      </c>
      <c r="DE376" s="405" t="s">
        <v>5</v>
      </c>
      <c r="DF376" s="406" t="s">
        <v>85</v>
      </c>
      <c r="DG376" s="407">
        <v>45846</v>
      </c>
      <c r="DH376" s="405" t="s">
        <v>7576</v>
      </c>
      <c r="DI376" s="406">
        <v>465455</v>
      </c>
      <c r="DJ376" s="408">
        <v>5</v>
      </c>
      <c r="DK376" s="405">
        <v>1</v>
      </c>
      <c r="DL376" s="82">
        <v>332.47</v>
      </c>
      <c r="DM376" s="409">
        <v>1.6623500000000002</v>
      </c>
      <c r="DN376" s="82" t="s">
        <v>85</v>
      </c>
      <c r="DO376" s="82" t="s">
        <v>85</v>
      </c>
      <c r="DP376" s="410" t="s">
        <v>85</v>
      </c>
    </row>
    <row r="377" spans="1:120" x14ac:dyDescent="0.25">
      <c r="A377" s="16" t="s">
        <v>7573</v>
      </c>
      <c r="B377" s="16" t="s">
        <v>7574</v>
      </c>
      <c r="C377" s="16" t="s">
        <v>7575</v>
      </c>
      <c r="D377" s="16" t="s">
        <v>7465</v>
      </c>
      <c r="E377" s="16" t="s">
        <v>7576</v>
      </c>
      <c r="F377" s="16" t="s">
        <v>7577</v>
      </c>
      <c r="G377" s="16" t="s">
        <v>7578</v>
      </c>
      <c r="H377" s="16" t="s">
        <v>7579</v>
      </c>
      <c r="I377" s="16" t="s">
        <v>1880</v>
      </c>
      <c r="J377" s="16" t="s">
        <v>928</v>
      </c>
      <c r="K377" s="16" t="s">
        <v>1881</v>
      </c>
      <c r="L377" s="16" t="s">
        <v>85</v>
      </c>
      <c r="M377" s="16" t="s">
        <v>1322</v>
      </c>
      <c r="N377" s="16" t="s">
        <v>914</v>
      </c>
      <c r="O377" s="16" t="s">
        <v>1323</v>
      </c>
      <c r="P377" s="16" t="s">
        <v>914</v>
      </c>
      <c r="Q377" s="16" t="s">
        <v>1323</v>
      </c>
      <c r="R377" s="16" t="s">
        <v>915</v>
      </c>
      <c r="S377" s="16" t="s">
        <v>915</v>
      </c>
      <c r="T377" s="16" t="s">
        <v>1322</v>
      </c>
      <c r="U377" s="16" t="s">
        <v>1324</v>
      </c>
      <c r="V377" s="16" t="s">
        <v>916</v>
      </c>
      <c r="W377" s="16" t="s">
        <v>1324</v>
      </c>
      <c r="X377" s="16" t="s">
        <v>934</v>
      </c>
      <c r="Y377" s="16" t="s">
        <v>934</v>
      </c>
      <c r="Z377" s="16" t="s">
        <v>935</v>
      </c>
      <c r="DA377" s="405" t="s">
        <v>5</v>
      </c>
      <c r="DB377" s="405" t="s">
        <v>363</v>
      </c>
      <c r="DC377" s="406" t="s">
        <v>85</v>
      </c>
      <c r="DD377" s="405" t="s">
        <v>917</v>
      </c>
      <c r="DE377" s="405" t="s">
        <v>5</v>
      </c>
      <c r="DF377" s="406" t="s">
        <v>85</v>
      </c>
      <c r="DG377" s="407">
        <v>45846</v>
      </c>
      <c r="DH377" s="405" t="s">
        <v>7576</v>
      </c>
      <c r="DI377" s="406">
        <v>465455</v>
      </c>
      <c r="DJ377" s="408">
        <v>5</v>
      </c>
      <c r="DK377" s="405">
        <v>1</v>
      </c>
      <c r="DL377" s="82">
        <v>332.47</v>
      </c>
      <c r="DM377" s="409">
        <v>1.6623500000000002</v>
      </c>
      <c r="DN377" s="82" t="s">
        <v>85</v>
      </c>
      <c r="DO377" s="82" t="s">
        <v>85</v>
      </c>
      <c r="DP377" s="410" t="s">
        <v>85</v>
      </c>
    </row>
    <row r="378" spans="1:120" x14ac:dyDescent="0.25">
      <c r="A378" s="16" t="s">
        <v>7580</v>
      </c>
      <c r="B378" s="16" t="s">
        <v>7581</v>
      </c>
      <c r="C378" s="16" t="s">
        <v>7582</v>
      </c>
      <c r="D378" s="16" t="s">
        <v>7465</v>
      </c>
      <c r="E378" s="16" t="s">
        <v>7583</v>
      </c>
      <c r="F378" s="16" t="s">
        <v>7584</v>
      </c>
      <c r="G378" s="16" t="s">
        <v>7585</v>
      </c>
      <c r="H378" s="16" t="s">
        <v>7584</v>
      </c>
      <c r="I378" s="16" t="s">
        <v>1547</v>
      </c>
      <c r="J378" s="16" t="s">
        <v>943</v>
      </c>
      <c r="K378" s="16" t="s">
        <v>1548</v>
      </c>
      <c r="L378" s="16" t="s">
        <v>85</v>
      </c>
      <c r="M378" s="16" t="s">
        <v>984</v>
      </c>
      <c r="N378" s="16" t="s">
        <v>914</v>
      </c>
      <c r="O378" s="16" t="s">
        <v>985</v>
      </c>
      <c r="P378" s="16" t="s">
        <v>914</v>
      </c>
      <c r="Q378" s="16" t="s">
        <v>985</v>
      </c>
      <c r="R378" s="16" t="s">
        <v>915</v>
      </c>
      <c r="S378" s="16" t="s">
        <v>915</v>
      </c>
      <c r="T378" s="16" t="s">
        <v>986</v>
      </c>
      <c r="U378" s="16" t="s">
        <v>987</v>
      </c>
      <c r="V378" s="16" t="s">
        <v>916</v>
      </c>
      <c r="W378" s="16" t="s">
        <v>987</v>
      </c>
      <c r="X378" s="16" t="s">
        <v>934</v>
      </c>
      <c r="Y378" s="16" t="s">
        <v>934</v>
      </c>
      <c r="Z378" s="16" t="s">
        <v>935</v>
      </c>
      <c r="DA378" s="405" t="s">
        <v>5</v>
      </c>
      <c r="DB378" s="405" t="s">
        <v>363</v>
      </c>
      <c r="DC378" s="406" t="s">
        <v>85</v>
      </c>
      <c r="DD378" s="405" t="s">
        <v>917</v>
      </c>
      <c r="DE378" s="405" t="s">
        <v>5</v>
      </c>
      <c r="DF378" s="406" t="s">
        <v>85</v>
      </c>
      <c r="DG378" s="407">
        <v>45846</v>
      </c>
      <c r="DH378" s="405" t="s">
        <v>7583</v>
      </c>
      <c r="DI378" s="406">
        <v>465455</v>
      </c>
      <c r="DJ378" s="408">
        <v>5</v>
      </c>
      <c r="DK378" s="405">
        <v>1</v>
      </c>
      <c r="DL378" s="82">
        <v>340.55</v>
      </c>
      <c r="DM378" s="409">
        <v>1.70275</v>
      </c>
      <c r="DN378" s="82" t="s">
        <v>85</v>
      </c>
      <c r="DO378" s="82" t="s">
        <v>85</v>
      </c>
      <c r="DP378" s="410" t="s">
        <v>85</v>
      </c>
    </row>
    <row r="379" spans="1:120" x14ac:dyDescent="0.25">
      <c r="A379" s="16" t="s">
        <v>7586</v>
      </c>
      <c r="B379" s="16" t="s">
        <v>7587</v>
      </c>
      <c r="C379" s="16" t="s">
        <v>7588</v>
      </c>
      <c r="D379" s="16" t="s">
        <v>7465</v>
      </c>
      <c r="E379" s="16" t="s">
        <v>7589</v>
      </c>
      <c r="F379" s="16" t="s">
        <v>7590</v>
      </c>
      <c r="G379" s="16" t="s">
        <v>7591</v>
      </c>
      <c r="H379" s="16" t="s">
        <v>7592</v>
      </c>
      <c r="I379" s="16" t="s">
        <v>2033</v>
      </c>
      <c r="J379" s="16" t="s">
        <v>928</v>
      </c>
      <c r="K379" s="16" t="s">
        <v>2034</v>
      </c>
      <c r="L379" s="16" t="s">
        <v>85</v>
      </c>
      <c r="M379" s="16" t="s">
        <v>1322</v>
      </c>
      <c r="N379" s="16" t="s">
        <v>914</v>
      </c>
      <c r="O379" s="16" t="s">
        <v>1323</v>
      </c>
      <c r="P379" s="16" t="s">
        <v>914</v>
      </c>
      <c r="Q379" s="16" t="s">
        <v>1323</v>
      </c>
      <c r="R379" s="16" t="s">
        <v>915</v>
      </c>
      <c r="S379" s="16" t="s">
        <v>915</v>
      </c>
      <c r="T379" s="16" t="s">
        <v>1322</v>
      </c>
      <c r="U379" s="16" t="s">
        <v>1324</v>
      </c>
      <c r="V379" s="16" t="s">
        <v>916</v>
      </c>
      <c r="W379" s="16" t="s">
        <v>1324</v>
      </c>
      <c r="X379" s="16" t="s">
        <v>934</v>
      </c>
      <c r="Y379" s="16" t="s">
        <v>934</v>
      </c>
      <c r="Z379" s="16" t="s">
        <v>935</v>
      </c>
      <c r="DA379" s="405" t="s">
        <v>5</v>
      </c>
      <c r="DB379" s="405" t="s">
        <v>363</v>
      </c>
      <c r="DC379" s="406" t="s">
        <v>85</v>
      </c>
      <c r="DD379" s="405" t="s">
        <v>917</v>
      </c>
      <c r="DE379" s="405" t="s">
        <v>5</v>
      </c>
      <c r="DF379" s="406" t="s">
        <v>85</v>
      </c>
      <c r="DG379" s="407">
        <v>45846</v>
      </c>
      <c r="DH379" s="405" t="s">
        <v>7589</v>
      </c>
      <c r="DI379" s="406">
        <v>465455</v>
      </c>
      <c r="DJ379" s="408">
        <v>5</v>
      </c>
      <c r="DK379" s="405">
        <v>1</v>
      </c>
      <c r="DL379" s="82">
        <v>332.47</v>
      </c>
      <c r="DM379" s="409">
        <v>1.6623500000000002</v>
      </c>
      <c r="DN379" s="82" t="s">
        <v>85</v>
      </c>
      <c r="DO379" s="82" t="s">
        <v>85</v>
      </c>
      <c r="DP379" s="410" t="s">
        <v>85</v>
      </c>
    </row>
    <row r="380" spans="1:120" x14ac:dyDescent="0.25">
      <c r="A380" s="16" t="s">
        <v>7586</v>
      </c>
      <c r="B380" s="16" t="s">
        <v>7587</v>
      </c>
      <c r="C380" s="16" t="s">
        <v>7588</v>
      </c>
      <c r="D380" s="16" t="s">
        <v>7465</v>
      </c>
      <c r="E380" s="16" t="s">
        <v>7589</v>
      </c>
      <c r="F380" s="16" t="s">
        <v>7590</v>
      </c>
      <c r="G380" s="16" t="s">
        <v>7591</v>
      </c>
      <c r="H380" s="16" t="s">
        <v>7592</v>
      </c>
      <c r="I380" s="16" t="s">
        <v>1880</v>
      </c>
      <c r="J380" s="16" t="s">
        <v>928</v>
      </c>
      <c r="K380" s="16" t="s">
        <v>1881</v>
      </c>
      <c r="L380" s="16" t="s">
        <v>85</v>
      </c>
      <c r="M380" s="16" t="s">
        <v>1322</v>
      </c>
      <c r="N380" s="16" t="s">
        <v>914</v>
      </c>
      <c r="O380" s="16" t="s">
        <v>1323</v>
      </c>
      <c r="P380" s="16" t="s">
        <v>914</v>
      </c>
      <c r="Q380" s="16" t="s">
        <v>1323</v>
      </c>
      <c r="R380" s="16" t="s">
        <v>915</v>
      </c>
      <c r="S380" s="16" t="s">
        <v>915</v>
      </c>
      <c r="T380" s="16" t="s">
        <v>1322</v>
      </c>
      <c r="U380" s="16" t="s">
        <v>1324</v>
      </c>
      <c r="V380" s="16" t="s">
        <v>916</v>
      </c>
      <c r="W380" s="16" t="s">
        <v>1324</v>
      </c>
      <c r="X380" s="16" t="s">
        <v>934</v>
      </c>
      <c r="Y380" s="16" t="s">
        <v>934</v>
      </c>
      <c r="Z380" s="16" t="s">
        <v>935</v>
      </c>
      <c r="DA380" s="405" t="s">
        <v>5</v>
      </c>
      <c r="DB380" s="405" t="s">
        <v>363</v>
      </c>
      <c r="DC380" s="406" t="s">
        <v>85</v>
      </c>
      <c r="DD380" s="405" t="s">
        <v>917</v>
      </c>
      <c r="DE380" s="405" t="s">
        <v>5</v>
      </c>
      <c r="DF380" s="406" t="s">
        <v>85</v>
      </c>
      <c r="DG380" s="407">
        <v>45846</v>
      </c>
      <c r="DH380" s="405" t="s">
        <v>7589</v>
      </c>
      <c r="DI380" s="406">
        <v>465455</v>
      </c>
      <c r="DJ380" s="408">
        <v>5</v>
      </c>
      <c r="DK380" s="405">
        <v>1</v>
      </c>
      <c r="DL380" s="82">
        <v>332.47</v>
      </c>
      <c r="DM380" s="409">
        <v>1.6623500000000002</v>
      </c>
      <c r="DN380" s="82" t="s">
        <v>85</v>
      </c>
      <c r="DO380" s="82" t="s">
        <v>85</v>
      </c>
      <c r="DP380" s="410" t="s">
        <v>85</v>
      </c>
    </row>
    <row r="381" spans="1:120" x14ac:dyDescent="0.25">
      <c r="A381" s="16" t="s">
        <v>7593</v>
      </c>
      <c r="B381" s="16" t="s">
        <v>7594</v>
      </c>
      <c r="C381" s="16" t="s">
        <v>7595</v>
      </c>
      <c r="D381" s="16" t="s">
        <v>7465</v>
      </c>
      <c r="E381" s="16" t="s">
        <v>7596</v>
      </c>
      <c r="F381" s="16" t="s">
        <v>7597</v>
      </c>
      <c r="G381" s="16" t="s">
        <v>7598</v>
      </c>
      <c r="H381" s="16" t="s">
        <v>7599</v>
      </c>
      <c r="I381" s="16" t="s">
        <v>1150</v>
      </c>
      <c r="J381" s="16" t="s">
        <v>943</v>
      </c>
      <c r="K381" s="16" t="s">
        <v>1151</v>
      </c>
      <c r="L381" s="16" t="s">
        <v>85</v>
      </c>
      <c r="M381" s="16" t="s">
        <v>984</v>
      </c>
      <c r="N381" s="16" t="s">
        <v>914</v>
      </c>
      <c r="O381" s="16" t="s">
        <v>985</v>
      </c>
      <c r="P381" s="16" t="s">
        <v>914</v>
      </c>
      <c r="Q381" s="16" t="s">
        <v>985</v>
      </c>
      <c r="R381" s="16" t="s">
        <v>915</v>
      </c>
      <c r="S381" s="16" t="s">
        <v>915</v>
      </c>
      <c r="T381" s="16" t="s">
        <v>986</v>
      </c>
      <c r="U381" s="16" t="s">
        <v>987</v>
      </c>
      <c r="V381" s="16" t="s">
        <v>916</v>
      </c>
      <c r="W381" s="16" t="s">
        <v>987</v>
      </c>
      <c r="X381" s="16" t="s">
        <v>934</v>
      </c>
      <c r="Y381" s="16" t="s">
        <v>934</v>
      </c>
      <c r="Z381" s="16" t="s">
        <v>935</v>
      </c>
      <c r="DA381" s="405" t="s">
        <v>5</v>
      </c>
      <c r="DB381" s="405" t="s">
        <v>363</v>
      </c>
      <c r="DC381" s="406" t="s">
        <v>85</v>
      </c>
      <c r="DD381" s="405" t="s">
        <v>917</v>
      </c>
      <c r="DE381" s="405" t="s">
        <v>5</v>
      </c>
      <c r="DF381" s="406" t="s">
        <v>85</v>
      </c>
      <c r="DG381" s="407">
        <v>45846</v>
      </c>
      <c r="DH381" s="405" t="s">
        <v>7596</v>
      </c>
      <c r="DI381" s="406">
        <v>465455</v>
      </c>
      <c r="DJ381" s="408">
        <v>5</v>
      </c>
      <c r="DK381" s="405">
        <v>1</v>
      </c>
      <c r="DL381" s="82">
        <v>340.55</v>
      </c>
      <c r="DM381" s="409">
        <v>1.70275</v>
      </c>
      <c r="DN381" s="82" t="s">
        <v>85</v>
      </c>
      <c r="DO381" s="82" t="s">
        <v>85</v>
      </c>
      <c r="DP381" s="410" t="s">
        <v>85</v>
      </c>
    </row>
    <row r="382" spans="1:120" x14ac:dyDescent="0.25">
      <c r="A382" s="16" t="s">
        <v>7600</v>
      </c>
      <c r="B382" s="16" t="s">
        <v>7601</v>
      </c>
      <c r="C382" s="16" t="s">
        <v>7602</v>
      </c>
      <c r="D382" s="16" t="s">
        <v>7465</v>
      </c>
      <c r="E382" s="16" t="s">
        <v>7603</v>
      </c>
      <c r="F382" s="16" t="s">
        <v>7597</v>
      </c>
      <c r="G382" s="16" t="s">
        <v>7604</v>
      </c>
      <c r="H382" s="16" t="s">
        <v>7597</v>
      </c>
      <c r="I382" s="16" t="s">
        <v>6990</v>
      </c>
      <c r="J382" s="16" t="s">
        <v>2600</v>
      </c>
      <c r="K382" s="16" t="s">
        <v>6991</v>
      </c>
      <c r="L382" s="16" t="s">
        <v>85</v>
      </c>
      <c r="M382" s="16" t="s">
        <v>1955</v>
      </c>
      <c r="N382" s="16" t="s">
        <v>914</v>
      </c>
      <c r="O382" s="16" t="s">
        <v>1039</v>
      </c>
      <c r="P382" s="16" t="s">
        <v>914</v>
      </c>
      <c r="Q382" s="16" t="s">
        <v>1039</v>
      </c>
      <c r="R382" s="16" t="s">
        <v>915</v>
      </c>
      <c r="S382" s="16" t="s">
        <v>915</v>
      </c>
      <c r="T382" s="16" t="s">
        <v>1955</v>
      </c>
      <c r="U382" s="16" t="s">
        <v>1956</v>
      </c>
      <c r="V382" s="16" t="s">
        <v>916</v>
      </c>
      <c r="W382" s="16" t="s">
        <v>1956</v>
      </c>
      <c r="X382" s="16" t="s">
        <v>934</v>
      </c>
      <c r="Y382" s="16" t="s">
        <v>934</v>
      </c>
      <c r="Z382" s="16" t="s">
        <v>935</v>
      </c>
      <c r="DA382" s="405" t="s">
        <v>5</v>
      </c>
      <c r="DB382" s="405" t="s">
        <v>363</v>
      </c>
      <c r="DC382" s="406" t="s">
        <v>85</v>
      </c>
      <c r="DD382" s="405" t="s">
        <v>917</v>
      </c>
      <c r="DE382" s="405" t="s">
        <v>5</v>
      </c>
      <c r="DF382" s="406" t="s">
        <v>85</v>
      </c>
      <c r="DG382" s="407">
        <v>45846</v>
      </c>
      <c r="DH382" s="405" t="s">
        <v>7603</v>
      </c>
      <c r="DI382" s="406">
        <v>465455</v>
      </c>
      <c r="DJ382" s="408">
        <v>5</v>
      </c>
      <c r="DK382" s="405">
        <v>1</v>
      </c>
      <c r="DL382" s="82">
        <v>311.2</v>
      </c>
      <c r="DM382" s="409">
        <v>1.556</v>
      </c>
      <c r="DN382" s="82" t="s">
        <v>85</v>
      </c>
      <c r="DO382" s="82" t="s">
        <v>85</v>
      </c>
      <c r="DP382" s="410" t="s">
        <v>85</v>
      </c>
    </row>
    <row r="383" spans="1:120" x14ac:dyDescent="0.25">
      <c r="A383" s="16" t="s">
        <v>7605</v>
      </c>
      <c r="B383" s="16" t="s">
        <v>7606</v>
      </c>
      <c r="C383" s="16" t="s">
        <v>7607</v>
      </c>
      <c r="D383" s="16" t="s">
        <v>7465</v>
      </c>
      <c r="E383" s="16" t="s">
        <v>7608</v>
      </c>
      <c r="F383" s="16" t="s">
        <v>7609</v>
      </c>
      <c r="G383" s="16" t="s">
        <v>7610</v>
      </c>
      <c r="H383" s="16" t="s">
        <v>7609</v>
      </c>
      <c r="I383" s="16" t="s">
        <v>955</v>
      </c>
      <c r="J383" s="16" t="s">
        <v>956</v>
      </c>
      <c r="K383" s="16" t="s">
        <v>957</v>
      </c>
      <c r="L383" s="16" t="s">
        <v>85</v>
      </c>
      <c r="M383" s="16" t="s">
        <v>1396</v>
      </c>
      <c r="N383" s="16" t="s">
        <v>914</v>
      </c>
      <c r="O383" s="16" t="s">
        <v>1397</v>
      </c>
      <c r="P383" s="16" t="s">
        <v>914</v>
      </c>
      <c r="Q383" s="16" t="s">
        <v>1397</v>
      </c>
      <c r="R383" s="16" t="s">
        <v>915</v>
      </c>
      <c r="S383" s="16" t="s">
        <v>915</v>
      </c>
      <c r="T383" s="16" t="s">
        <v>1396</v>
      </c>
      <c r="U383" s="16" t="s">
        <v>1398</v>
      </c>
      <c r="V383" s="16" t="s">
        <v>916</v>
      </c>
      <c r="W383" s="16" t="s">
        <v>1398</v>
      </c>
      <c r="X383" s="16" t="s">
        <v>934</v>
      </c>
      <c r="Y383" s="16" t="s">
        <v>934</v>
      </c>
      <c r="Z383" s="16" t="s">
        <v>935</v>
      </c>
      <c r="DA383" s="405" t="s">
        <v>5</v>
      </c>
      <c r="DB383" s="405" t="s">
        <v>363</v>
      </c>
      <c r="DC383" s="406" t="s">
        <v>85</v>
      </c>
      <c r="DD383" s="405" t="s">
        <v>917</v>
      </c>
      <c r="DE383" s="405" t="s">
        <v>5</v>
      </c>
      <c r="DF383" s="406" t="s">
        <v>85</v>
      </c>
      <c r="DG383" s="407">
        <v>45846</v>
      </c>
      <c r="DH383" s="405" t="s">
        <v>7608</v>
      </c>
      <c r="DI383" s="406">
        <v>465455</v>
      </c>
      <c r="DJ383" s="408">
        <v>5</v>
      </c>
      <c r="DK383" s="405">
        <v>1</v>
      </c>
      <c r="DL383" s="82">
        <v>265.92</v>
      </c>
      <c r="DM383" s="409">
        <v>1.3296000000000001</v>
      </c>
      <c r="DN383" s="82" t="s">
        <v>85</v>
      </c>
      <c r="DO383" s="82" t="s">
        <v>85</v>
      </c>
      <c r="DP383" s="410" t="s">
        <v>85</v>
      </c>
    </row>
    <row r="384" spans="1:120" x14ac:dyDescent="0.25">
      <c r="A384" s="16" t="s">
        <v>7611</v>
      </c>
      <c r="B384" s="16" t="s">
        <v>7612</v>
      </c>
      <c r="C384" s="16" t="s">
        <v>7613</v>
      </c>
      <c r="D384" s="16" t="s">
        <v>7465</v>
      </c>
      <c r="E384" s="16" t="s">
        <v>7614</v>
      </c>
      <c r="F384" s="16" t="s">
        <v>7615</v>
      </c>
      <c r="G384" s="16" t="s">
        <v>7616</v>
      </c>
      <c r="H384" s="16" t="s">
        <v>7617</v>
      </c>
      <c r="I384" s="16" t="s">
        <v>1163</v>
      </c>
      <c r="J384" s="16" t="s">
        <v>995</v>
      </c>
      <c r="K384" s="16" t="s">
        <v>1164</v>
      </c>
      <c r="L384" s="16" t="s">
        <v>85</v>
      </c>
      <c r="M384" s="16" t="s">
        <v>1165</v>
      </c>
      <c r="N384" s="16" t="s">
        <v>914</v>
      </c>
      <c r="O384" s="16" t="s">
        <v>1166</v>
      </c>
      <c r="P384" s="16" t="s">
        <v>914</v>
      </c>
      <c r="Q384" s="16" t="s">
        <v>1166</v>
      </c>
      <c r="R384" s="16" t="s">
        <v>915</v>
      </c>
      <c r="S384" s="16" t="s">
        <v>915</v>
      </c>
      <c r="T384" s="16" t="s">
        <v>1167</v>
      </c>
      <c r="U384" s="16" t="s">
        <v>1168</v>
      </c>
      <c r="V384" s="16" t="s">
        <v>916</v>
      </c>
      <c r="W384" s="16" t="s">
        <v>1168</v>
      </c>
      <c r="X384" s="16" t="s">
        <v>934</v>
      </c>
      <c r="Y384" s="16" t="s">
        <v>934</v>
      </c>
      <c r="Z384" s="16" t="s">
        <v>935</v>
      </c>
      <c r="DA384" s="405" t="s">
        <v>5</v>
      </c>
      <c r="DB384" s="405" t="s">
        <v>363</v>
      </c>
      <c r="DC384" s="406" t="s">
        <v>85</v>
      </c>
      <c r="DD384" s="405" t="s">
        <v>917</v>
      </c>
      <c r="DE384" s="405" t="s">
        <v>5</v>
      </c>
      <c r="DF384" s="406" t="s">
        <v>85</v>
      </c>
      <c r="DG384" s="407">
        <v>45846</v>
      </c>
      <c r="DH384" s="405" t="s">
        <v>7614</v>
      </c>
      <c r="DI384" s="406">
        <v>465455</v>
      </c>
      <c r="DJ384" s="408">
        <v>5</v>
      </c>
      <c r="DK384" s="405">
        <v>1</v>
      </c>
      <c r="DL384" s="82">
        <v>468.28</v>
      </c>
      <c r="DM384" s="409">
        <v>2.3413999999999997</v>
      </c>
      <c r="DN384" s="82" t="s">
        <v>85</v>
      </c>
      <c r="DO384" s="82" t="s">
        <v>85</v>
      </c>
      <c r="DP384" s="410" t="s">
        <v>85</v>
      </c>
    </row>
    <row r="385" spans="1:120" x14ac:dyDescent="0.25">
      <c r="A385" s="16" t="s">
        <v>7618</v>
      </c>
      <c r="B385" s="16" t="s">
        <v>7619</v>
      </c>
      <c r="C385" s="16" t="s">
        <v>7620</v>
      </c>
      <c r="D385" s="16" t="s">
        <v>7465</v>
      </c>
      <c r="E385" s="16" t="s">
        <v>7621</v>
      </c>
      <c r="F385" s="16" t="s">
        <v>7622</v>
      </c>
      <c r="G385" s="16" t="s">
        <v>7623</v>
      </c>
      <c r="H385" s="16" t="s">
        <v>7622</v>
      </c>
      <c r="I385" s="16" t="s">
        <v>4789</v>
      </c>
      <c r="J385" s="16" t="s">
        <v>928</v>
      </c>
      <c r="K385" s="16" t="s">
        <v>4790</v>
      </c>
      <c r="L385" s="16" t="s">
        <v>85</v>
      </c>
      <c r="M385" s="16" t="s">
        <v>1322</v>
      </c>
      <c r="N385" s="16" t="s">
        <v>914</v>
      </c>
      <c r="O385" s="16" t="s">
        <v>1323</v>
      </c>
      <c r="P385" s="16" t="s">
        <v>914</v>
      </c>
      <c r="Q385" s="16" t="s">
        <v>1323</v>
      </c>
      <c r="R385" s="16" t="s">
        <v>915</v>
      </c>
      <c r="S385" s="16" t="s">
        <v>915</v>
      </c>
      <c r="T385" s="16" t="s">
        <v>1322</v>
      </c>
      <c r="U385" s="16" t="s">
        <v>1324</v>
      </c>
      <c r="V385" s="16" t="s">
        <v>916</v>
      </c>
      <c r="W385" s="16" t="s">
        <v>1324</v>
      </c>
      <c r="X385" s="16" t="s">
        <v>934</v>
      </c>
      <c r="Y385" s="16" t="s">
        <v>934</v>
      </c>
      <c r="Z385" s="16" t="s">
        <v>935</v>
      </c>
      <c r="DA385" s="405" t="s">
        <v>5</v>
      </c>
      <c r="DB385" s="405" t="s">
        <v>363</v>
      </c>
      <c r="DC385" s="406" t="s">
        <v>85</v>
      </c>
      <c r="DD385" s="405" t="s">
        <v>917</v>
      </c>
      <c r="DE385" s="405" t="s">
        <v>5</v>
      </c>
      <c r="DF385" s="406" t="s">
        <v>85</v>
      </c>
      <c r="DG385" s="407">
        <v>45846</v>
      </c>
      <c r="DH385" s="405" t="s">
        <v>7621</v>
      </c>
      <c r="DI385" s="406">
        <v>465455</v>
      </c>
      <c r="DJ385" s="408">
        <v>5</v>
      </c>
      <c r="DK385" s="405">
        <v>1</v>
      </c>
      <c r="DL385" s="82">
        <v>332.47</v>
      </c>
      <c r="DM385" s="409">
        <v>1.6623500000000002</v>
      </c>
      <c r="DN385" s="82" t="s">
        <v>85</v>
      </c>
      <c r="DO385" s="82" t="s">
        <v>85</v>
      </c>
      <c r="DP385" s="410" t="s">
        <v>85</v>
      </c>
    </row>
    <row r="386" spans="1:120" x14ac:dyDescent="0.25">
      <c r="A386" s="16" t="s">
        <v>7624</v>
      </c>
      <c r="B386" s="16" t="s">
        <v>7625</v>
      </c>
      <c r="C386" s="16" t="s">
        <v>7626</v>
      </c>
      <c r="D386" s="16" t="s">
        <v>7465</v>
      </c>
      <c r="E386" s="16" t="s">
        <v>7627</v>
      </c>
      <c r="F386" s="16" t="s">
        <v>7628</v>
      </c>
      <c r="G386" s="16" t="s">
        <v>7629</v>
      </c>
      <c r="H386" s="16" t="s">
        <v>7628</v>
      </c>
      <c r="I386" s="16" t="s">
        <v>2012</v>
      </c>
      <c r="J386" s="16" t="s">
        <v>1036</v>
      </c>
      <c r="K386" s="16" t="s">
        <v>2013</v>
      </c>
      <c r="L386" s="16" t="s">
        <v>85</v>
      </c>
      <c r="M386" s="16" t="s">
        <v>1216</v>
      </c>
      <c r="N386" s="16" t="s">
        <v>914</v>
      </c>
      <c r="O386" s="16" t="s">
        <v>946</v>
      </c>
      <c r="P386" s="16" t="s">
        <v>914</v>
      </c>
      <c r="Q386" s="16" t="s">
        <v>946</v>
      </c>
      <c r="R386" s="16" t="s">
        <v>915</v>
      </c>
      <c r="S386" s="16" t="s">
        <v>915</v>
      </c>
      <c r="T386" s="16" t="s">
        <v>1216</v>
      </c>
      <c r="U386" s="16" t="s">
        <v>1217</v>
      </c>
      <c r="V386" s="16" t="s">
        <v>916</v>
      </c>
      <c r="W386" s="16" t="s">
        <v>1217</v>
      </c>
      <c r="X386" s="16" t="s">
        <v>934</v>
      </c>
      <c r="Y386" s="16" t="s">
        <v>934</v>
      </c>
      <c r="Z386" s="16" t="s">
        <v>935</v>
      </c>
      <c r="DA386" s="405" t="s">
        <v>5</v>
      </c>
      <c r="DB386" s="405" t="s">
        <v>363</v>
      </c>
      <c r="DC386" s="406" t="s">
        <v>85</v>
      </c>
      <c r="DD386" s="405" t="s">
        <v>917</v>
      </c>
      <c r="DE386" s="405" t="s">
        <v>5</v>
      </c>
      <c r="DF386" s="406" t="s">
        <v>85</v>
      </c>
      <c r="DG386" s="407">
        <v>45846</v>
      </c>
      <c r="DH386" s="405" t="s">
        <v>7627</v>
      </c>
      <c r="DI386" s="406">
        <v>465455</v>
      </c>
      <c r="DJ386" s="408">
        <v>5</v>
      </c>
      <c r="DK386" s="405">
        <v>1</v>
      </c>
      <c r="DL386" s="82">
        <v>319.22000000000003</v>
      </c>
      <c r="DM386" s="409">
        <v>1.5961000000000001</v>
      </c>
      <c r="DN386" s="82" t="s">
        <v>85</v>
      </c>
      <c r="DO386" s="82" t="s">
        <v>85</v>
      </c>
      <c r="DP386" s="410" t="s">
        <v>85</v>
      </c>
    </row>
    <row r="387" spans="1:120" x14ac:dyDescent="0.25">
      <c r="A387" s="16" t="s">
        <v>7624</v>
      </c>
      <c r="B387" s="16" t="s">
        <v>7625</v>
      </c>
      <c r="C387" s="16" t="s">
        <v>7626</v>
      </c>
      <c r="D387" s="16" t="s">
        <v>7465</v>
      </c>
      <c r="E387" s="16" t="s">
        <v>7627</v>
      </c>
      <c r="F387" s="16" t="s">
        <v>7628</v>
      </c>
      <c r="G387" s="16" t="s">
        <v>7629</v>
      </c>
      <c r="H387" s="16" t="s">
        <v>7628</v>
      </c>
      <c r="I387" s="16" t="s">
        <v>1214</v>
      </c>
      <c r="J387" s="16" t="s">
        <v>1036</v>
      </c>
      <c r="K387" s="16" t="s">
        <v>1215</v>
      </c>
      <c r="L387" s="16" t="s">
        <v>85</v>
      </c>
      <c r="M387" s="16" t="s">
        <v>1216</v>
      </c>
      <c r="N387" s="16" t="s">
        <v>914</v>
      </c>
      <c r="O387" s="16" t="s">
        <v>946</v>
      </c>
      <c r="P387" s="16" t="s">
        <v>914</v>
      </c>
      <c r="Q387" s="16" t="s">
        <v>946</v>
      </c>
      <c r="R387" s="16" t="s">
        <v>915</v>
      </c>
      <c r="S387" s="16" t="s">
        <v>915</v>
      </c>
      <c r="T387" s="16" t="s">
        <v>1216</v>
      </c>
      <c r="U387" s="16" t="s">
        <v>1217</v>
      </c>
      <c r="V387" s="16" t="s">
        <v>916</v>
      </c>
      <c r="W387" s="16" t="s">
        <v>1217</v>
      </c>
      <c r="X387" s="16" t="s">
        <v>934</v>
      </c>
      <c r="Y387" s="16" t="s">
        <v>934</v>
      </c>
      <c r="Z387" s="16" t="s">
        <v>935</v>
      </c>
      <c r="DA387" s="405" t="s">
        <v>5</v>
      </c>
      <c r="DB387" s="405" t="s">
        <v>363</v>
      </c>
      <c r="DC387" s="406" t="s">
        <v>85</v>
      </c>
      <c r="DD387" s="405" t="s">
        <v>917</v>
      </c>
      <c r="DE387" s="405" t="s">
        <v>5</v>
      </c>
      <c r="DF387" s="406" t="s">
        <v>85</v>
      </c>
      <c r="DG387" s="407">
        <v>45846</v>
      </c>
      <c r="DH387" s="405" t="s">
        <v>7627</v>
      </c>
      <c r="DI387" s="406">
        <v>465455</v>
      </c>
      <c r="DJ387" s="408">
        <v>5</v>
      </c>
      <c r="DK387" s="405">
        <v>1</v>
      </c>
      <c r="DL387" s="82">
        <v>319.22000000000003</v>
      </c>
      <c r="DM387" s="409">
        <v>1.5961000000000001</v>
      </c>
      <c r="DN387" s="82" t="s">
        <v>85</v>
      </c>
      <c r="DO387" s="82" t="s">
        <v>85</v>
      </c>
      <c r="DP387" s="410" t="s">
        <v>85</v>
      </c>
    </row>
    <row r="388" spans="1:120" x14ac:dyDescent="0.25">
      <c r="A388" s="16" t="s">
        <v>7630</v>
      </c>
      <c r="B388" s="16" t="s">
        <v>7631</v>
      </c>
      <c r="C388" s="16" t="s">
        <v>7632</v>
      </c>
      <c r="D388" s="16" t="s">
        <v>7465</v>
      </c>
      <c r="E388" s="16" t="s">
        <v>7633</v>
      </c>
      <c r="F388" s="16" t="s">
        <v>7634</v>
      </c>
      <c r="G388" s="16" t="s">
        <v>7635</v>
      </c>
      <c r="H388" s="16" t="s">
        <v>7634</v>
      </c>
      <c r="I388" s="16" t="s">
        <v>1929</v>
      </c>
      <c r="J388" s="16" t="s">
        <v>995</v>
      </c>
      <c r="K388" s="16" t="s">
        <v>1930</v>
      </c>
      <c r="L388" s="16" t="s">
        <v>85</v>
      </c>
      <c r="M388" s="16" t="s">
        <v>1165</v>
      </c>
      <c r="N388" s="16" t="s">
        <v>914</v>
      </c>
      <c r="O388" s="16" t="s">
        <v>1166</v>
      </c>
      <c r="P388" s="16" t="s">
        <v>914</v>
      </c>
      <c r="Q388" s="16" t="s">
        <v>1166</v>
      </c>
      <c r="R388" s="16" t="s">
        <v>915</v>
      </c>
      <c r="S388" s="16" t="s">
        <v>915</v>
      </c>
      <c r="T388" s="16" t="s">
        <v>1167</v>
      </c>
      <c r="U388" s="16" t="s">
        <v>1168</v>
      </c>
      <c r="V388" s="16" t="s">
        <v>916</v>
      </c>
      <c r="W388" s="16" t="s">
        <v>1168</v>
      </c>
      <c r="X388" s="16" t="s">
        <v>934</v>
      </c>
      <c r="Y388" s="16" t="s">
        <v>934</v>
      </c>
      <c r="Z388" s="16" t="s">
        <v>935</v>
      </c>
      <c r="DA388" s="405" t="s">
        <v>5</v>
      </c>
      <c r="DB388" s="405" t="s">
        <v>363</v>
      </c>
      <c r="DC388" s="406" t="s">
        <v>85</v>
      </c>
      <c r="DD388" s="405" t="s">
        <v>917</v>
      </c>
      <c r="DE388" s="405" t="s">
        <v>5</v>
      </c>
      <c r="DF388" s="406" t="s">
        <v>85</v>
      </c>
      <c r="DG388" s="407">
        <v>45846</v>
      </c>
      <c r="DH388" s="405" t="s">
        <v>7633</v>
      </c>
      <c r="DI388" s="406">
        <v>465455</v>
      </c>
      <c r="DJ388" s="408">
        <v>5</v>
      </c>
      <c r="DK388" s="405">
        <v>1</v>
      </c>
      <c r="DL388" s="82">
        <v>468.28</v>
      </c>
      <c r="DM388" s="409">
        <v>2.3413999999999997</v>
      </c>
      <c r="DN388" s="82" t="s">
        <v>85</v>
      </c>
      <c r="DO388" s="82" t="s">
        <v>85</v>
      </c>
      <c r="DP388" s="410" t="s">
        <v>85</v>
      </c>
    </row>
    <row r="389" spans="1:120" x14ac:dyDescent="0.25">
      <c r="A389" s="16" t="s">
        <v>7636</v>
      </c>
      <c r="B389" s="16" t="s">
        <v>7637</v>
      </c>
      <c r="C389" s="16" t="s">
        <v>7638</v>
      </c>
      <c r="D389" s="16" t="s">
        <v>7465</v>
      </c>
      <c r="E389" s="16" t="s">
        <v>7639</v>
      </c>
      <c r="F389" s="16" t="s">
        <v>7640</v>
      </c>
      <c r="G389" s="16" t="s">
        <v>7641</v>
      </c>
      <c r="H389" s="16" t="s">
        <v>7642</v>
      </c>
      <c r="I389" s="16" t="s">
        <v>968</v>
      </c>
      <c r="J389" s="16" t="s">
        <v>943</v>
      </c>
      <c r="K389" s="16" t="s">
        <v>969</v>
      </c>
      <c r="L389" s="16" t="s">
        <v>85</v>
      </c>
      <c r="M389" s="16" t="s">
        <v>984</v>
      </c>
      <c r="N389" s="16" t="s">
        <v>914</v>
      </c>
      <c r="O389" s="16" t="s">
        <v>985</v>
      </c>
      <c r="P389" s="16" t="s">
        <v>914</v>
      </c>
      <c r="Q389" s="16" t="s">
        <v>985</v>
      </c>
      <c r="R389" s="16" t="s">
        <v>915</v>
      </c>
      <c r="S389" s="16" t="s">
        <v>915</v>
      </c>
      <c r="T389" s="16" t="s">
        <v>986</v>
      </c>
      <c r="U389" s="16" t="s">
        <v>987</v>
      </c>
      <c r="V389" s="16" t="s">
        <v>916</v>
      </c>
      <c r="W389" s="16" t="s">
        <v>987</v>
      </c>
      <c r="X389" s="16" t="s">
        <v>934</v>
      </c>
      <c r="Y389" s="16" t="s">
        <v>934</v>
      </c>
      <c r="Z389" s="16" t="s">
        <v>935</v>
      </c>
      <c r="DA389" s="405" t="s">
        <v>5</v>
      </c>
      <c r="DB389" s="405" t="s">
        <v>363</v>
      </c>
      <c r="DC389" s="406" t="s">
        <v>85</v>
      </c>
      <c r="DD389" s="405" t="s">
        <v>917</v>
      </c>
      <c r="DE389" s="405" t="s">
        <v>5</v>
      </c>
      <c r="DF389" s="406" t="s">
        <v>85</v>
      </c>
      <c r="DG389" s="407">
        <v>45846</v>
      </c>
      <c r="DH389" s="405" t="s">
        <v>7639</v>
      </c>
      <c r="DI389" s="406">
        <v>465455</v>
      </c>
      <c r="DJ389" s="408">
        <v>5</v>
      </c>
      <c r="DK389" s="405">
        <v>1</v>
      </c>
      <c r="DL389" s="82">
        <v>340.55</v>
      </c>
      <c r="DM389" s="409">
        <v>1.70275</v>
      </c>
      <c r="DN389" s="82" t="s">
        <v>85</v>
      </c>
      <c r="DO389" s="82" t="s">
        <v>85</v>
      </c>
      <c r="DP389" s="410" t="s">
        <v>85</v>
      </c>
    </row>
    <row r="390" spans="1:120" x14ac:dyDescent="0.25">
      <c r="A390" s="16" t="s">
        <v>7643</v>
      </c>
      <c r="B390" s="16" t="s">
        <v>7644</v>
      </c>
      <c r="C390" s="16" t="s">
        <v>7645</v>
      </c>
      <c r="D390" s="16" t="s">
        <v>7465</v>
      </c>
      <c r="E390" s="16" t="s">
        <v>7646</v>
      </c>
      <c r="F390" s="16" t="s">
        <v>7647</v>
      </c>
      <c r="G390" s="16" t="s">
        <v>7648</v>
      </c>
      <c r="H390" s="16" t="s">
        <v>7640</v>
      </c>
      <c r="I390" s="16" t="s">
        <v>2661</v>
      </c>
      <c r="J390" s="16" t="s">
        <v>943</v>
      </c>
      <c r="K390" s="16" t="s">
        <v>2662</v>
      </c>
      <c r="L390" s="16" t="s">
        <v>85</v>
      </c>
      <c r="M390" s="16" t="s">
        <v>984</v>
      </c>
      <c r="N390" s="16" t="s">
        <v>914</v>
      </c>
      <c r="O390" s="16" t="s">
        <v>985</v>
      </c>
      <c r="P390" s="16" t="s">
        <v>914</v>
      </c>
      <c r="Q390" s="16" t="s">
        <v>985</v>
      </c>
      <c r="R390" s="16" t="s">
        <v>915</v>
      </c>
      <c r="S390" s="16" t="s">
        <v>915</v>
      </c>
      <c r="T390" s="16" t="s">
        <v>986</v>
      </c>
      <c r="U390" s="16" t="s">
        <v>987</v>
      </c>
      <c r="V390" s="16" t="s">
        <v>916</v>
      </c>
      <c r="W390" s="16" t="s">
        <v>987</v>
      </c>
      <c r="X390" s="16" t="s">
        <v>934</v>
      </c>
      <c r="Y390" s="16" t="s">
        <v>934</v>
      </c>
      <c r="Z390" s="16" t="s">
        <v>935</v>
      </c>
      <c r="DA390" s="405" t="s">
        <v>5</v>
      </c>
      <c r="DB390" s="405" t="s">
        <v>363</v>
      </c>
      <c r="DC390" s="406" t="s">
        <v>85</v>
      </c>
      <c r="DD390" s="405" t="s">
        <v>917</v>
      </c>
      <c r="DE390" s="405" t="s">
        <v>5</v>
      </c>
      <c r="DF390" s="406" t="s">
        <v>85</v>
      </c>
      <c r="DG390" s="407">
        <v>45846</v>
      </c>
      <c r="DH390" s="405" t="s">
        <v>7646</v>
      </c>
      <c r="DI390" s="406">
        <v>465455</v>
      </c>
      <c r="DJ390" s="408">
        <v>5</v>
      </c>
      <c r="DK390" s="405">
        <v>1</v>
      </c>
      <c r="DL390" s="82">
        <v>340.55</v>
      </c>
      <c r="DM390" s="409">
        <v>1.70275</v>
      </c>
      <c r="DN390" s="82" t="s">
        <v>85</v>
      </c>
      <c r="DO390" s="82" t="s">
        <v>85</v>
      </c>
      <c r="DP390" s="410" t="s">
        <v>85</v>
      </c>
    </row>
    <row r="391" spans="1:120" x14ac:dyDescent="0.25">
      <c r="A391" s="16" t="s">
        <v>7649</v>
      </c>
      <c r="B391" s="16" t="s">
        <v>7650</v>
      </c>
      <c r="C391" s="16" t="s">
        <v>7651</v>
      </c>
      <c r="D391" s="16" t="s">
        <v>7465</v>
      </c>
      <c r="E391" s="16" t="s">
        <v>7652</v>
      </c>
      <c r="F391" s="16" t="s">
        <v>7653</v>
      </c>
      <c r="G391" s="16" t="s">
        <v>7654</v>
      </c>
      <c r="H391" s="16" t="s">
        <v>7655</v>
      </c>
      <c r="I391" s="16" t="s">
        <v>1910</v>
      </c>
      <c r="J391" s="16" t="s">
        <v>928</v>
      </c>
      <c r="K391" s="16" t="s">
        <v>1911</v>
      </c>
      <c r="L391" s="16" t="s">
        <v>85</v>
      </c>
      <c r="M391" s="16" t="s">
        <v>1322</v>
      </c>
      <c r="N391" s="16" t="s">
        <v>914</v>
      </c>
      <c r="O391" s="16" t="s">
        <v>1323</v>
      </c>
      <c r="P391" s="16" t="s">
        <v>914</v>
      </c>
      <c r="Q391" s="16" t="s">
        <v>1323</v>
      </c>
      <c r="R391" s="16" t="s">
        <v>915</v>
      </c>
      <c r="S391" s="16" t="s">
        <v>915</v>
      </c>
      <c r="T391" s="16" t="s">
        <v>1322</v>
      </c>
      <c r="U391" s="16" t="s">
        <v>1324</v>
      </c>
      <c r="V391" s="16" t="s">
        <v>916</v>
      </c>
      <c r="W391" s="16" t="s">
        <v>1324</v>
      </c>
      <c r="X391" s="16" t="s">
        <v>934</v>
      </c>
      <c r="Y391" s="16" t="s">
        <v>934</v>
      </c>
      <c r="Z391" s="16" t="s">
        <v>935</v>
      </c>
      <c r="DA391" s="405" t="s">
        <v>5</v>
      </c>
      <c r="DB391" s="405" t="s">
        <v>363</v>
      </c>
      <c r="DC391" s="406" t="s">
        <v>85</v>
      </c>
      <c r="DD391" s="405" t="s">
        <v>917</v>
      </c>
      <c r="DE391" s="405" t="s">
        <v>5</v>
      </c>
      <c r="DF391" s="406" t="s">
        <v>85</v>
      </c>
      <c r="DG391" s="407">
        <v>45846</v>
      </c>
      <c r="DH391" s="405" t="s">
        <v>7652</v>
      </c>
      <c r="DI391" s="406">
        <v>465455</v>
      </c>
      <c r="DJ391" s="408">
        <v>5</v>
      </c>
      <c r="DK391" s="405">
        <v>1</v>
      </c>
      <c r="DL391" s="82">
        <v>332.47</v>
      </c>
      <c r="DM391" s="409">
        <v>1.6623500000000002</v>
      </c>
      <c r="DN391" s="82" t="s">
        <v>85</v>
      </c>
      <c r="DO391" s="82" t="s">
        <v>85</v>
      </c>
      <c r="DP391" s="410" t="s">
        <v>85</v>
      </c>
    </row>
    <row r="392" spans="1:120" x14ac:dyDescent="0.25">
      <c r="A392" s="16" t="s">
        <v>7656</v>
      </c>
      <c r="B392" s="16" t="s">
        <v>7657</v>
      </c>
      <c r="C392" s="16" t="s">
        <v>7658</v>
      </c>
      <c r="D392" s="16" t="s">
        <v>7465</v>
      </c>
      <c r="E392" s="16" t="s">
        <v>7659</v>
      </c>
      <c r="F392" s="16" t="s">
        <v>7660</v>
      </c>
      <c r="G392" s="16" t="s">
        <v>7661</v>
      </c>
      <c r="H392" s="16" t="s">
        <v>7662</v>
      </c>
      <c r="I392" s="16" t="s">
        <v>1090</v>
      </c>
      <c r="J392" s="16" t="s">
        <v>943</v>
      </c>
      <c r="K392" s="16" t="s">
        <v>1091</v>
      </c>
      <c r="L392" s="16" t="s">
        <v>85</v>
      </c>
      <c r="M392" s="16" t="s">
        <v>984</v>
      </c>
      <c r="N392" s="16" t="s">
        <v>914</v>
      </c>
      <c r="O392" s="16" t="s">
        <v>985</v>
      </c>
      <c r="P392" s="16" t="s">
        <v>914</v>
      </c>
      <c r="Q392" s="16" t="s">
        <v>985</v>
      </c>
      <c r="R392" s="16" t="s">
        <v>915</v>
      </c>
      <c r="S392" s="16" t="s">
        <v>915</v>
      </c>
      <c r="T392" s="16" t="s">
        <v>986</v>
      </c>
      <c r="U392" s="16" t="s">
        <v>987</v>
      </c>
      <c r="V392" s="16" t="s">
        <v>916</v>
      </c>
      <c r="W392" s="16" t="s">
        <v>987</v>
      </c>
      <c r="X392" s="16" t="s">
        <v>934</v>
      </c>
      <c r="Y392" s="16" t="s">
        <v>934</v>
      </c>
      <c r="Z392" s="16" t="s">
        <v>935</v>
      </c>
      <c r="DA392" s="405" t="s">
        <v>5</v>
      </c>
      <c r="DB392" s="405" t="s">
        <v>363</v>
      </c>
      <c r="DC392" s="406" t="s">
        <v>85</v>
      </c>
      <c r="DD392" s="405" t="s">
        <v>917</v>
      </c>
      <c r="DE392" s="405" t="s">
        <v>5</v>
      </c>
      <c r="DF392" s="406" t="s">
        <v>85</v>
      </c>
      <c r="DG392" s="407">
        <v>45846</v>
      </c>
      <c r="DH392" s="405" t="s">
        <v>7659</v>
      </c>
      <c r="DI392" s="406">
        <v>465455</v>
      </c>
      <c r="DJ392" s="408">
        <v>5</v>
      </c>
      <c r="DK392" s="405">
        <v>1</v>
      </c>
      <c r="DL392" s="82">
        <v>340.55</v>
      </c>
      <c r="DM392" s="409">
        <v>1.70275</v>
      </c>
      <c r="DN392" s="82" t="s">
        <v>85</v>
      </c>
      <c r="DO392" s="82" t="s">
        <v>85</v>
      </c>
      <c r="DP392" s="410" t="s">
        <v>85</v>
      </c>
    </row>
    <row r="393" spans="1:120" x14ac:dyDescent="0.25">
      <c r="A393" s="16" t="s">
        <v>7663</v>
      </c>
      <c r="B393" s="16" t="s">
        <v>7664</v>
      </c>
      <c r="C393" s="16" t="s">
        <v>7665</v>
      </c>
      <c r="D393" s="16" t="s">
        <v>7465</v>
      </c>
      <c r="E393" s="16" t="s">
        <v>7666</v>
      </c>
      <c r="F393" s="16" t="s">
        <v>7667</v>
      </c>
      <c r="G393" s="16" t="s">
        <v>7668</v>
      </c>
      <c r="H393" s="16" t="s">
        <v>7669</v>
      </c>
      <c r="I393" s="16" t="s">
        <v>6098</v>
      </c>
      <c r="J393" s="16" t="s">
        <v>928</v>
      </c>
      <c r="K393" s="16" t="s">
        <v>6099</v>
      </c>
      <c r="L393" s="16" t="s">
        <v>85</v>
      </c>
      <c r="M393" s="16" t="s">
        <v>1322</v>
      </c>
      <c r="N393" s="16" t="s">
        <v>914</v>
      </c>
      <c r="O393" s="16" t="s">
        <v>1323</v>
      </c>
      <c r="P393" s="16" t="s">
        <v>914</v>
      </c>
      <c r="Q393" s="16" t="s">
        <v>1323</v>
      </c>
      <c r="R393" s="16" t="s">
        <v>915</v>
      </c>
      <c r="S393" s="16" t="s">
        <v>915</v>
      </c>
      <c r="T393" s="16" t="s">
        <v>1322</v>
      </c>
      <c r="U393" s="16" t="s">
        <v>1324</v>
      </c>
      <c r="V393" s="16" t="s">
        <v>916</v>
      </c>
      <c r="W393" s="16" t="s">
        <v>1324</v>
      </c>
      <c r="X393" s="16" t="s">
        <v>934</v>
      </c>
      <c r="Y393" s="16" t="s">
        <v>934</v>
      </c>
      <c r="Z393" s="16" t="s">
        <v>935</v>
      </c>
      <c r="DA393" s="405" t="s">
        <v>5</v>
      </c>
      <c r="DB393" s="405" t="s">
        <v>363</v>
      </c>
      <c r="DC393" s="406" t="s">
        <v>85</v>
      </c>
      <c r="DD393" s="405" t="s">
        <v>917</v>
      </c>
      <c r="DE393" s="405" t="s">
        <v>5</v>
      </c>
      <c r="DF393" s="406" t="s">
        <v>85</v>
      </c>
      <c r="DG393" s="407">
        <v>45846</v>
      </c>
      <c r="DH393" s="405" t="s">
        <v>7666</v>
      </c>
      <c r="DI393" s="406">
        <v>465455</v>
      </c>
      <c r="DJ393" s="408">
        <v>5</v>
      </c>
      <c r="DK393" s="405">
        <v>1</v>
      </c>
      <c r="DL393" s="82">
        <v>332.47</v>
      </c>
      <c r="DM393" s="409">
        <v>1.6623500000000002</v>
      </c>
      <c r="DN393" s="82" t="s">
        <v>85</v>
      </c>
      <c r="DO393" s="82" t="s">
        <v>85</v>
      </c>
      <c r="DP393" s="410" t="s">
        <v>85</v>
      </c>
    </row>
    <row r="394" spans="1:120" x14ac:dyDescent="0.25">
      <c r="A394" s="16" t="s">
        <v>7670</v>
      </c>
      <c r="B394" s="16" t="s">
        <v>7671</v>
      </c>
      <c r="C394" s="16" t="s">
        <v>7672</v>
      </c>
      <c r="D394" s="16" t="s">
        <v>7465</v>
      </c>
      <c r="E394" s="16" t="s">
        <v>7673</v>
      </c>
      <c r="F394" s="16" t="s">
        <v>7674</v>
      </c>
      <c r="G394" s="16" t="s">
        <v>7675</v>
      </c>
      <c r="H394" s="16" t="s">
        <v>7674</v>
      </c>
      <c r="I394" s="16" t="s">
        <v>3179</v>
      </c>
      <c r="J394" s="16" t="s">
        <v>1123</v>
      </c>
      <c r="K394" s="16" t="s">
        <v>3180</v>
      </c>
      <c r="L394" s="16" t="s">
        <v>85</v>
      </c>
      <c r="M394" s="16" t="s">
        <v>1238</v>
      </c>
      <c r="N394" s="16" t="s">
        <v>914</v>
      </c>
      <c r="O394" s="16" t="s">
        <v>1239</v>
      </c>
      <c r="P394" s="16" t="s">
        <v>914</v>
      </c>
      <c r="Q394" s="16" t="s">
        <v>1239</v>
      </c>
      <c r="R394" s="16" t="s">
        <v>915</v>
      </c>
      <c r="S394" s="16" t="s">
        <v>915</v>
      </c>
      <c r="T394" s="16" t="s">
        <v>1238</v>
      </c>
      <c r="U394" s="16" t="s">
        <v>1240</v>
      </c>
      <c r="V394" s="16" t="s">
        <v>916</v>
      </c>
      <c r="W394" s="16" t="s">
        <v>1240</v>
      </c>
      <c r="X394" s="16" t="s">
        <v>934</v>
      </c>
      <c r="Y394" s="16" t="s">
        <v>934</v>
      </c>
      <c r="Z394" s="16" t="s">
        <v>935</v>
      </c>
      <c r="DA394" s="405" t="s">
        <v>5</v>
      </c>
      <c r="DB394" s="405" t="s">
        <v>363</v>
      </c>
      <c r="DC394" s="406" t="s">
        <v>85</v>
      </c>
      <c r="DD394" s="405" t="s">
        <v>917</v>
      </c>
      <c r="DE394" s="405" t="s">
        <v>5</v>
      </c>
      <c r="DF394" s="406" t="s">
        <v>85</v>
      </c>
      <c r="DG394" s="407">
        <v>45846</v>
      </c>
      <c r="DH394" s="405" t="s">
        <v>7673</v>
      </c>
      <c r="DI394" s="406">
        <v>465455</v>
      </c>
      <c r="DJ394" s="408">
        <v>5</v>
      </c>
      <c r="DK394" s="405">
        <v>1</v>
      </c>
      <c r="DL394" s="82">
        <v>383.16</v>
      </c>
      <c r="DM394" s="409">
        <v>1.9158000000000002</v>
      </c>
      <c r="DN394" s="82" t="s">
        <v>85</v>
      </c>
      <c r="DO394" s="82" t="s">
        <v>85</v>
      </c>
      <c r="DP394" s="410" t="s">
        <v>85</v>
      </c>
    </row>
    <row r="395" spans="1:120" x14ac:dyDescent="0.25">
      <c r="A395" s="16" t="s">
        <v>7676</v>
      </c>
      <c r="B395" s="16" t="s">
        <v>7677</v>
      </c>
      <c r="C395" s="16" t="s">
        <v>7678</v>
      </c>
      <c r="D395" s="16" t="s">
        <v>7465</v>
      </c>
      <c r="E395" s="16" t="s">
        <v>7679</v>
      </c>
      <c r="F395" s="16" t="s">
        <v>7680</v>
      </c>
      <c r="G395" s="16" t="s">
        <v>7681</v>
      </c>
      <c r="H395" s="16" t="s">
        <v>7680</v>
      </c>
      <c r="I395" s="16" t="s">
        <v>1638</v>
      </c>
      <c r="J395" s="16" t="s">
        <v>943</v>
      </c>
      <c r="K395" s="16" t="s">
        <v>1639</v>
      </c>
      <c r="L395" s="16" t="s">
        <v>85</v>
      </c>
      <c r="M395" s="16" t="s">
        <v>984</v>
      </c>
      <c r="N395" s="16" t="s">
        <v>914</v>
      </c>
      <c r="O395" s="16" t="s">
        <v>985</v>
      </c>
      <c r="P395" s="16" t="s">
        <v>914</v>
      </c>
      <c r="Q395" s="16" t="s">
        <v>985</v>
      </c>
      <c r="R395" s="16" t="s">
        <v>915</v>
      </c>
      <c r="S395" s="16" t="s">
        <v>915</v>
      </c>
      <c r="T395" s="16" t="s">
        <v>986</v>
      </c>
      <c r="U395" s="16" t="s">
        <v>987</v>
      </c>
      <c r="V395" s="16" t="s">
        <v>916</v>
      </c>
      <c r="W395" s="16" t="s">
        <v>987</v>
      </c>
      <c r="X395" s="16" t="s">
        <v>934</v>
      </c>
      <c r="Y395" s="16" t="s">
        <v>934</v>
      </c>
      <c r="Z395" s="16" t="s">
        <v>935</v>
      </c>
      <c r="DA395" s="405" t="s">
        <v>5</v>
      </c>
      <c r="DB395" s="405" t="s">
        <v>363</v>
      </c>
      <c r="DC395" s="406" t="s">
        <v>85</v>
      </c>
      <c r="DD395" s="405" t="s">
        <v>917</v>
      </c>
      <c r="DE395" s="405" t="s">
        <v>5</v>
      </c>
      <c r="DF395" s="406" t="s">
        <v>85</v>
      </c>
      <c r="DG395" s="407">
        <v>45846</v>
      </c>
      <c r="DH395" s="405" t="s">
        <v>7679</v>
      </c>
      <c r="DI395" s="406">
        <v>465455</v>
      </c>
      <c r="DJ395" s="408">
        <v>5</v>
      </c>
      <c r="DK395" s="405">
        <v>1</v>
      </c>
      <c r="DL395" s="82">
        <v>340.55</v>
      </c>
      <c r="DM395" s="409">
        <v>1.70275</v>
      </c>
      <c r="DN395" s="82" t="s">
        <v>85</v>
      </c>
      <c r="DO395" s="82" t="s">
        <v>85</v>
      </c>
      <c r="DP395" s="410" t="s">
        <v>85</v>
      </c>
    </row>
    <row r="396" spans="1:120" x14ac:dyDescent="0.25">
      <c r="A396" s="16" t="s">
        <v>7682</v>
      </c>
      <c r="B396" s="16" t="s">
        <v>7683</v>
      </c>
      <c r="C396" s="16" t="s">
        <v>7684</v>
      </c>
      <c r="D396" s="16" t="s">
        <v>7465</v>
      </c>
      <c r="E396" s="16" t="s">
        <v>7685</v>
      </c>
      <c r="F396" s="16" t="s">
        <v>7686</v>
      </c>
      <c r="G396" s="16" t="s">
        <v>7687</v>
      </c>
      <c r="H396" s="16" t="s">
        <v>7686</v>
      </c>
      <c r="I396" s="16" t="s">
        <v>1910</v>
      </c>
      <c r="J396" s="16" t="s">
        <v>928</v>
      </c>
      <c r="K396" s="16" t="s">
        <v>1911</v>
      </c>
      <c r="L396" s="16" t="s">
        <v>85</v>
      </c>
      <c r="M396" s="16" t="s">
        <v>1322</v>
      </c>
      <c r="N396" s="16" t="s">
        <v>914</v>
      </c>
      <c r="O396" s="16" t="s">
        <v>1323</v>
      </c>
      <c r="P396" s="16" t="s">
        <v>914</v>
      </c>
      <c r="Q396" s="16" t="s">
        <v>1323</v>
      </c>
      <c r="R396" s="16" t="s">
        <v>915</v>
      </c>
      <c r="S396" s="16" t="s">
        <v>915</v>
      </c>
      <c r="T396" s="16" t="s">
        <v>1322</v>
      </c>
      <c r="U396" s="16" t="s">
        <v>1324</v>
      </c>
      <c r="V396" s="16" t="s">
        <v>916</v>
      </c>
      <c r="W396" s="16" t="s">
        <v>1324</v>
      </c>
      <c r="X396" s="16" t="s">
        <v>934</v>
      </c>
      <c r="Y396" s="16" t="s">
        <v>934</v>
      </c>
      <c r="Z396" s="16" t="s">
        <v>935</v>
      </c>
      <c r="DA396" s="405" t="s">
        <v>5</v>
      </c>
      <c r="DB396" s="405" t="s">
        <v>363</v>
      </c>
      <c r="DC396" s="406" t="s">
        <v>85</v>
      </c>
      <c r="DD396" s="405" t="s">
        <v>917</v>
      </c>
      <c r="DE396" s="405" t="s">
        <v>5</v>
      </c>
      <c r="DF396" s="406" t="s">
        <v>85</v>
      </c>
      <c r="DG396" s="407">
        <v>45846</v>
      </c>
      <c r="DH396" s="405" t="s">
        <v>7685</v>
      </c>
      <c r="DI396" s="406">
        <v>465455</v>
      </c>
      <c r="DJ396" s="408">
        <v>5</v>
      </c>
      <c r="DK396" s="405">
        <v>1</v>
      </c>
      <c r="DL396" s="82">
        <v>332.47</v>
      </c>
      <c r="DM396" s="409">
        <v>1.6623500000000002</v>
      </c>
      <c r="DN396" s="82" t="s">
        <v>85</v>
      </c>
      <c r="DO396" s="82" t="s">
        <v>85</v>
      </c>
      <c r="DP396" s="410" t="s">
        <v>85</v>
      </c>
    </row>
    <row r="397" spans="1:120" x14ac:dyDescent="0.25">
      <c r="A397" s="16" t="s">
        <v>7688</v>
      </c>
      <c r="B397" s="16" t="s">
        <v>7689</v>
      </c>
      <c r="C397" s="16" t="s">
        <v>7690</v>
      </c>
      <c r="D397" s="16" t="s">
        <v>7465</v>
      </c>
      <c r="E397" s="16" t="s">
        <v>7691</v>
      </c>
      <c r="F397" s="16" t="s">
        <v>7692</v>
      </c>
      <c r="G397" s="16" t="s">
        <v>7693</v>
      </c>
      <c r="H397" s="16" t="s">
        <v>7694</v>
      </c>
      <c r="I397" s="16" t="s">
        <v>1719</v>
      </c>
      <c r="J397" s="16" t="s">
        <v>943</v>
      </c>
      <c r="K397" s="16" t="s">
        <v>1720</v>
      </c>
      <c r="L397" s="16" t="s">
        <v>85</v>
      </c>
      <c r="M397" s="16" t="s">
        <v>984</v>
      </c>
      <c r="N397" s="16" t="s">
        <v>914</v>
      </c>
      <c r="O397" s="16" t="s">
        <v>985</v>
      </c>
      <c r="P397" s="16" t="s">
        <v>914</v>
      </c>
      <c r="Q397" s="16" t="s">
        <v>985</v>
      </c>
      <c r="R397" s="16" t="s">
        <v>915</v>
      </c>
      <c r="S397" s="16" t="s">
        <v>915</v>
      </c>
      <c r="T397" s="16" t="s">
        <v>986</v>
      </c>
      <c r="U397" s="16" t="s">
        <v>987</v>
      </c>
      <c r="V397" s="16" t="s">
        <v>916</v>
      </c>
      <c r="W397" s="16" t="s">
        <v>987</v>
      </c>
      <c r="X397" s="16" t="s">
        <v>934</v>
      </c>
      <c r="Y397" s="16" t="s">
        <v>934</v>
      </c>
      <c r="Z397" s="16" t="s">
        <v>935</v>
      </c>
      <c r="DA397" s="405" t="s">
        <v>5</v>
      </c>
      <c r="DB397" s="405" t="s">
        <v>363</v>
      </c>
      <c r="DC397" s="406" t="s">
        <v>85</v>
      </c>
      <c r="DD397" s="405" t="s">
        <v>917</v>
      </c>
      <c r="DE397" s="405" t="s">
        <v>5</v>
      </c>
      <c r="DF397" s="406" t="s">
        <v>85</v>
      </c>
      <c r="DG397" s="407">
        <v>45846</v>
      </c>
      <c r="DH397" s="405" t="s">
        <v>7691</v>
      </c>
      <c r="DI397" s="406">
        <v>465455</v>
      </c>
      <c r="DJ397" s="408">
        <v>5</v>
      </c>
      <c r="DK397" s="405">
        <v>1</v>
      </c>
      <c r="DL397" s="82">
        <v>340.55</v>
      </c>
      <c r="DM397" s="409">
        <v>1.70275</v>
      </c>
      <c r="DN397" s="82" t="s">
        <v>85</v>
      </c>
      <c r="DO397" s="82" t="s">
        <v>85</v>
      </c>
      <c r="DP397" s="410" t="s">
        <v>85</v>
      </c>
    </row>
    <row r="398" spans="1:120" x14ac:dyDescent="0.25">
      <c r="A398" s="16" t="s">
        <v>7688</v>
      </c>
      <c r="B398" s="16" t="s">
        <v>7689</v>
      </c>
      <c r="C398" s="16" t="s">
        <v>7690</v>
      </c>
      <c r="D398" s="16" t="s">
        <v>7465</v>
      </c>
      <c r="E398" s="16" t="s">
        <v>7691</v>
      </c>
      <c r="F398" s="16" t="s">
        <v>7692</v>
      </c>
      <c r="G398" s="16" t="s">
        <v>7693</v>
      </c>
      <c r="H398" s="16" t="s">
        <v>7694</v>
      </c>
      <c r="I398" s="16" t="s">
        <v>1620</v>
      </c>
      <c r="J398" s="16" t="s">
        <v>943</v>
      </c>
      <c r="K398" s="16" t="s">
        <v>1621</v>
      </c>
      <c r="L398" s="16" t="s">
        <v>85</v>
      </c>
      <c r="M398" s="16" t="s">
        <v>984</v>
      </c>
      <c r="N398" s="16" t="s">
        <v>914</v>
      </c>
      <c r="O398" s="16" t="s">
        <v>985</v>
      </c>
      <c r="P398" s="16" t="s">
        <v>914</v>
      </c>
      <c r="Q398" s="16" t="s">
        <v>985</v>
      </c>
      <c r="R398" s="16" t="s">
        <v>915</v>
      </c>
      <c r="S398" s="16" t="s">
        <v>915</v>
      </c>
      <c r="T398" s="16" t="s">
        <v>986</v>
      </c>
      <c r="U398" s="16" t="s">
        <v>987</v>
      </c>
      <c r="V398" s="16" t="s">
        <v>916</v>
      </c>
      <c r="W398" s="16" t="s">
        <v>987</v>
      </c>
      <c r="X398" s="16" t="s">
        <v>934</v>
      </c>
      <c r="Y398" s="16" t="s">
        <v>934</v>
      </c>
      <c r="Z398" s="16" t="s">
        <v>935</v>
      </c>
      <c r="DA398" s="405" t="s">
        <v>5</v>
      </c>
      <c r="DB398" s="405" t="s">
        <v>363</v>
      </c>
      <c r="DC398" s="406" t="s">
        <v>85</v>
      </c>
      <c r="DD398" s="405" t="s">
        <v>917</v>
      </c>
      <c r="DE398" s="405" t="s">
        <v>5</v>
      </c>
      <c r="DF398" s="406" t="s">
        <v>85</v>
      </c>
      <c r="DG398" s="407">
        <v>45846</v>
      </c>
      <c r="DH398" s="405" t="s">
        <v>7691</v>
      </c>
      <c r="DI398" s="406">
        <v>465455</v>
      </c>
      <c r="DJ398" s="408">
        <v>5</v>
      </c>
      <c r="DK398" s="405">
        <v>1</v>
      </c>
      <c r="DL398" s="82">
        <v>340.55</v>
      </c>
      <c r="DM398" s="409">
        <v>1.70275</v>
      </c>
      <c r="DN398" s="82" t="s">
        <v>85</v>
      </c>
      <c r="DO398" s="82" t="s">
        <v>85</v>
      </c>
      <c r="DP398" s="410" t="s">
        <v>85</v>
      </c>
    </row>
    <row r="399" spans="1:120" x14ac:dyDescent="0.25">
      <c r="A399" s="16" t="s">
        <v>7695</v>
      </c>
      <c r="B399" s="16" t="s">
        <v>7696</v>
      </c>
      <c r="C399" s="16" t="s">
        <v>7697</v>
      </c>
      <c r="D399" s="16" t="s">
        <v>7465</v>
      </c>
      <c r="E399" s="16" t="s">
        <v>7698</v>
      </c>
      <c r="F399" s="16" t="s">
        <v>7699</v>
      </c>
      <c r="G399" s="16" t="s">
        <v>7700</v>
      </c>
      <c r="H399" s="16" t="s">
        <v>7701</v>
      </c>
      <c r="I399" s="16" t="s">
        <v>1638</v>
      </c>
      <c r="J399" s="16" t="s">
        <v>943</v>
      </c>
      <c r="K399" s="16" t="s">
        <v>1639</v>
      </c>
      <c r="L399" s="16" t="s">
        <v>85</v>
      </c>
      <c r="M399" s="16" t="s">
        <v>984</v>
      </c>
      <c r="N399" s="16" t="s">
        <v>914</v>
      </c>
      <c r="O399" s="16" t="s">
        <v>985</v>
      </c>
      <c r="P399" s="16" t="s">
        <v>914</v>
      </c>
      <c r="Q399" s="16" t="s">
        <v>985</v>
      </c>
      <c r="R399" s="16" t="s">
        <v>915</v>
      </c>
      <c r="S399" s="16" t="s">
        <v>915</v>
      </c>
      <c r="T399" s="16" t="s">
        <v>986</v>
      </c>
      <c r="U399" s="16" t="s">
        <v>987</v>
      </c>
      <c r="V399" s="16" t="s">
        <v>916</v>
      </c>
      <c r="W399" s="16" t="s">
        <v>987</v>
      </c>
      <c r="X399" s="16" t="s">
        <v>934</v>
      </c>
      <c r="Y399" s="16" t="s">
        <v>934</v>
      </c>
      <c r="Z399" s="16" t="s">
        <v>935</v>
      </c>
      <c r="DA399" s="405" t="s">
        <v>5</v>
      </c>
      <c r="DB399" s="405" t="s">
        <v>363</v>
      </c>
      <c r="DC399" s="406" t="s">
        <v>85</v>
      </c>
      <c r="DD399" s="405" t="s">
        <v>917</v>
      </c>
      <c r="DE399" s="405" t="s">
        <v>5</v>
      </c>
      <c r="DF399" s="406" t="s">
        <v>85</v>
      </c>
      <c r="DG399" s="407">
        <v>45846</v>
      </c>
      <c r="DH399" s="405" t="s">
        <v>7698</v>
      </c>
      <c r="DI399" s="406">
        <v>465455</v>
      </c>
      <c r="DJ399" s="408">
        <v>5</v>
      </c>
      <c r="DK399" s="405">
        <v>1</v>
      </c>
      <c r="DL399" s="82">
        <v>340.55</v>
      </c>
      <c r="DM399" s="409">
        <v>1.70275</v>
      </c>
      <c r="DN399" s="82" t="s">
        <v>85</v>
      </c>
      <c r="DO399" s="82" t="s">
        <v>85</v>
      </c>
      <c r="DP399" s="410" t="s">
        <v>85</v>
      </c>
    </row>
    <row r="400" spans="1:120" x14ac:dyDescent="0.25">
      <c r="A400" s="16" t="s">
        <v>7702</v>
      </c>
      <c r="B400" s="16" t="s">
        <v>7703</v>
      </c>
      <c r="C400" s="16" t="s">
        <v>7704</v>
      </c>
      <c r="D400" s="16" t="s">
        <v>7705</v>
      </c>
      <c r="E400" s="16" t="s">
        <v>7706</v>
      </c>
      <c r="F400" s="16" t="s">
        <v>7707</v>
      </c>
      <c r="G400" s="16" t="s">
        <v>7708</v>
      </c>
      <c r="H400" s="16" t="s">
        <v>7707</v>
      </c>
      <c r="I400" s="16" t="s">
        <v>3543</v>
      </c>
      <c r="J400" s="16" t="s">
        <v>943</v>
      </c>
      <c r="K400" s="16" t="s">
        <v>3544</v>
      </c>
      <c r="L400" s="16" t="s">
        <v>85</v>
      </c>
      <c r="M400" s="16" t="s">
        <v>984</v>
      </c>
      <c r="N400" s="16" t="s">
        <v>914</v>
      </c>
      <c r="O400" s="16" t="s">
        <v>985</v>
      </c>
      <c r="P400" s="16" t="s">
        <v>914</v>
      </c>
      <c r="Q400" s="16" t="s">
        <v>985</v>
      </c>
      <c r="R400" s="16" t="s">
        <v>915</v>
      </c>
      <c r="S400" s="16" t="s">
        <v>915</v>
      </c>
      <c r="T400" s="16" t="s">
        <v>986</v>
      </c>
      <c r="U400" s="16" t="s">
        <v>987</v>
      </c>
      <c r="V400" s="16" t="s">
        <v>916</v>
      </c>
      <c r="W400" s="16" t="s">
        <v>987</v>
      </c>
      <c r="X400" s="16" t="s">
        <v>934</v>
      </c>
      <c r="Y400" s="16" t="s">
        <v>934</v>
      </c>
      <c r="Z400" s="16" t="s">
        <v>935</v>
      </c>
      <c r="DA400" s="405" t="s">
        <v>5</v>
      </c>
      <c r="DB400" s="405" t="s">
        <v>363</v>
      </c>
      <c r="DC400" s="406" t="s">
        <v>85</v>
      </c>
      <c r="DD400" s="405" t="s">
        <v>917</v>
      </c>
      <c r="DE400" s="405" t="s">
        <v>5</v>
      </c>
      <c r="DF400" s="406" t="s">
        <v>85</v>
      </c>
      <c r="DG400" s="407">
        <v>45846</v>
      </c>
      <c r="DH400" s="405" t="s">
        <v>7706</v>
      </c>
      <c r="DI400" s="406">
        <v>465455</v>
      </c>
      <c r="DJ400" s="408">
        <v>5</v>
      </c>
      <c r="DK400" s="405">
        <v>1</v>
      </c>
      <c r="DL400" s="82">
        <v>340.55</v>
      </c>
      <c r="DM400" s="409">
        <v>1.70275</v>
      </c>
      <c r="DN400" s="82" t="s">
        <v>85</v>
      </c>
      <c r="DO400" s="82" t="s">
        <v>85</v>
      </c>
      <c r="DP400" s="410" t="s">
        <v>85</v>
      </c>
    </row>
    <row r="401" spans="1:120" x14ac:dyDescent="0.25">
      <c r="A401" s="16" t="s">
        <v>7709</v>
      </c>
      <c r="B401" s="16" t="s">
        <v>7710</v>
      </c>
      <c r="C401" s="16" t="s">
        <v>7711</v>
      </c>
      <c r="D401" s="16" t="s">
        <v>7705</v>
      </c>
      <c r="E401" s="16" t="s">
        <v>7712</v>
      </c>
      <c r="F401" s="16" t="s">
        <v>7713</v>
      </c>
      <c r="G401" s="16" t="s">
        <v>7714</v>
      </c>
      <c r="H401" s="16" t="s">
        <v>7713</v>
      </c>
      <c r="I401" s="16" t="s">
        <v>968</v>
      </c>
      <c r="J401" s="16" t="s">
        <v>943</v>
      </c>
      <c r="K401" s="16" t="s">
        <v>969</v>
      </c>
      <c r="L401" s="16" t="s">
        <v>85</v>
      </c>
      <c r="M401" s="16" t="s">
        <v>984</v>
      </c>
      <c r="N401" s="16" t="s">
        <v>914</v>
      </c>
      <c r="O401" s="16" t="s">
        <v>985</v>
      </c>
      <c r="P401" s="16" t="s">
        <v>914</v>
      </c>
      <c r="Q401" s="16" t="s">
        <v>985</v>
      </c>
      <c r="R401" s="16" t="s">
        <v>915</v>
      </c>
      <c r="S401" s="16" t="s">
        <v>915</v>
      </c>
      <c r="T401" s="16" t="s">
        <v>986</v>
      </c>
      <c r="U401" s="16" t="s">
        <v>987</v>
      </c>
      <c r="V401" s="16" t="s">
        <v>916</v>
      </c>
      <c r="W401" s="16" t="s">
        <v>987</v>
      </c>
      <c r="X401" s="16" t="s">
        <v>934</v>
      </c>
      <c r="Y401" s="16" t="s">
        <v>934</v>
      </c>
      <c r="Z401" s="16" t="s">
        <v>935</v>
      </c>
      <c r="DA401" s="405" t="s">
        <v>5</v>
      </c>
      <c r="DB401" s="405" t="s">
        <v>363</v>
      </c>
      <c r="DC401" s="406" t="s">
        <v>85</v>
      </c>
      <c r="DD401" s="405" t="s">
        <v>917</v>
      </c>
      <c r="DE401" s="405" t="s">
        <v>5</v>
      </c>
      <c r="DF401" s="406" t="s">
        <v>85</v>
      </c>
      <c r="DG401" s="407">
        <v>45846</v>
      </c>
      <c r="DH401" s="405" t="s">
        <v>7712</v>
      </c>
      <c r="DI401" s="406">
        <v>465455</v>
      </c>
      <c r="DJ401" s="408">
        <v>5</v>
      </c>
      <c r="DK401" s="405">
        <v>1</v>
      </c>
      <c r="DL401" s="82">
        <v>340.55</v>
      </c>
      <c r="DM401" s="409">
        <v>1.70275</v>
      </c>
      <c r="DN401" s="82" t="s">
        <v>85</v>
      </c>
      <c r="DO401" s="82" t="s">
        <v>85</v>
      </c>
      <c r="DP401" s="410" t="s">
        <v>85</v>
      </c>
    </row>
    <row r="402" spans="1:120" x14ac:dyDescent="0.25">
      <c r="A402" s="16" t="s">
        <v>7715</v>
      </c>
      <c r="B402" s="16" t="s">
        <v>7716</v>
      </c>
      <c r="C402" s="16" t="s">
        <v>7717</v>
      </c>
      <c r="D402" s="16" t="s">
        <v>7705</v>
      </c>
      <c r="E402" s="16" t="s">
        <v>7718</v>
      </c>
      <c r="F402" s="16" t="s">
        <v>7719</v>
      </c>
      <c r="G402" s="16" t="s">
        <v>7720</v>
      </c>
      <c r="H402" s="16" t="s">
        <v>7719</v>
      </c>
      <c r="I402" s="16" t="s">
        <v>1682</v>
      </c>
      <c r="J402" s="16" t="s">
        <v>943</v>
      </c>
      <c r="K402" s="16" t="s">
        <v>1683</v>
      </c>
      <c r="L402" s="16" t="s">
        <v>85</v>
      </c>
      <c r="M402" s="16" t="s">
        <v>984</v>
      </c>
      <c r="N402" s="16" t="s">
        <v>914</v>
      </c>
      <c r="O402" s="16" t="s">
        <v>985</v>
      </c>
      <c r="P402" s="16" t="s">
        <v>914</v>
      </c>
      <c r="Q402" s="16" t="s">
        <v>985</v>
      </c>
      <c r="R402" s="16" t="s">
        <v>915</v>
      </c>
      <c r="S402" s="16" t="s">
        <v>915</v>
      </c>
      <c r="T402" s="16" t="s">
        <v>986</v>
      </c>
      <c r="U402" s="16" t="s">
        <v>987</v>
      </c>
      <c r="V402" s="16" t="s">
        <v>916</v>
      </c>
      <c r="W402" s="16" t="s">
        <v>987</v>
      </c>
      <c r="X402" s="16" t="s">
        <v>934</v>
      </c>
      <c r="Y402" s="16" t="s">
        <v>934</v>
      </c>
      <c r="Z402" s="16" t="s">
        <v>935</v>
      </c>
      <c r="DA402" s="405" t="s">
        <v>5</v>
      </c>
      <c r="DB402" s="405" t="s">
        <v>363</v>
      </c>
      <c r="DC402" s="406" t="s">
        <v>85</v>
      </c>
      <c r="DD402" s="405" t="s">
        <v>917</v>
      </c>
      <c r="DE402" s="405" t="s">
        <v>5</v>
      </c>
      <c r="DF402" s="406" t="s">
        <v>85</v>
      </c>
      <c r="DG402" s="407">
        <v>45846</v>
      </c>
      <c r="DH402" s="405" t="s">
        <v>7718</v>
      </c>
      <c r="DI402" s="406">
        <v>465455</v>
      </c>
      <c r="DJ402" s="408">
        <v>5</v>
      </c>
      <c r="DK402" s="405">
        <v>1</v>
      </c>
      <c r="DL402" s="82">
        <v>340.55</v>
      </c>
      <c r="DM402" s="409">
        <v>1.70275</v>
      </c>
      <c r="DN402" s="82" t="s">
        <v>85</v>
      </c>
      <c r="DO402" s="82" t="s">
        <v>85</v>
      </c>
      <c r="DP402" s="410" t="s">
        <v>85</v>
      </c>
    </row>
    <row r="403" spans="1:120" x14ac:dyDescent="0.25">
      <c r="A403" s="16" t="s">
        <v>7715</v>
      </c>
      <c r="B403" s="16" t="s">
        <v>7716</v>
      </c>
      <c r="C403" s="16" t="s">
        <v>7717</v>
      </c>
      <c r="D403" s="16" t="s">
        <v>7705</v>
      </c>
      <c r="E403" s="16" t="s">
        <v>7718</v>
      </c>
      <c r="F403" s="16" t="s">
        <v>7719</v>
      </c>
      <c r="G403" s="16" t="s">
        <v>7720</v>
      </c>
      <c r="H403" s="16" t="s">
        <v>7719</v>
      </c>
      <c r="I403" s="16" t="s">
        <v>4273</v>
      </c>
      <c r="J403" s="16" t="s">
        <v>943</v>
      </c>
      <c r="K403" s="16" t="s">
        <v>4274</v>
      </c>
      <c r="L403" s="16" t="s">
        <v>85</v>
      </c>
      <c r="M403" s="16" t="s">
        <v>984</v>
      </c>
      <c r="N403" s="16" t="s">
        <v>914</v>
      </c>
      <c r="O403" s="16" t="s">
        <v>985</v>
      </c>
      <c r="P403" s="16" t="s">
        <v>914</v>
      </c>
      <c r="Q403" s="16" t="s">
        <v>985</v>
      </c>
      <c r="R403" s="16" t="s">
        <v>915</v>
      </c>
      <c r="S403" s="16" t="s">
        <v>915</v>
      </c>
      <c r="T403" s="16" t="s">
        <v>986</v>
      </c>
      <c r="U403" s="16" t="s">
        <v>987</v>
      </c>
      <c r="V403" s="16" t="s">
        <v>916</v>
      </c>
      <c r="W403" s="16" t="s">
        <v>987</v>
      </c>
      <c r="X403" s="16" t="s">
        <v>934</v>
      </c>
      <c r="Y403" s="16" t="s">
        <v>934</v>
      </c>
      <c r="Z403" s="16" t="s">
        <v>935</v>
      </c>
      <c r="DA403" s="405" t="s">
        <v>5</v>
      </c>
      <c r="DB403" s="405" t="s">
        <v>363</v>
      </c>
      <c r="DC403" s="406" t="s">
        <v>85</v>
      </c>
      <c r="DD403" s="405" t="s">
        <v>917</v>
      </c>
      <c r="DE403" s="405" t="s">
        <v>5</v>
      </c>
      <c r="DF403" s="406" t="s">
        <v>85</v>
      </c>
      <c r="DG403" s="407">
        <v>45846</v>
      </c>
      <c r="DH403" s="405" t="s">
        <v>7718</v>
      </c>
      <c r="DI403" s="406">
        <v>465455</v>
      </c>
      <c r="DJ403" s="408">
        <v>5</v>
      </c>
      <c r="DK403" s="405">
        <v>1</v>
      </c>
      <c r="DL403" s="82">
        <v>340.55</v>
      </c>
      <c r="DM403" s="409">
        <v>1.70275</v>
      </c>
      <c r="DN403" s="82" t="s">
        <v>85</v>
      </c>
      <c r="DO403" s="82" t="s">
        <v>85</v>
      </c>
      <c r="DP403" s="410" t="s">
        <v>85</v>
      </c>
    </row>
    <row r="404" spans="1:120" x14ac:dyDescent="0.25">
      <c r="A404" s="16" t="s">
        <v>7721</v>
      </c>
      <c r="B404" s="16" t="s">
        <v>7722</v>
      </c>
      <c r="C404" s="16" t="s">
        <v>7723</v>
      </c>
      <c r="D404" s="16" t="s">
        <v>7705</v>
      </c>
      <c r="E404" s="16" t="s">
        <v>7724</v>
      </c>
      <c r="F404" s="16" t="s">
        <v>7725</v>
      </c>
      <c r="G404" s="16" t="s">
        <v>7726</v>
      </c>
      <c r="H404" s="16" t="s">
        <v>7727</v>
      </c>
      <c r="I404" s="16" t="s">
        <v>1035</v>
      </c>
      <c r="J404" s="16" t="s">
        <v>1036</v>
      </c>
      <c r="K404" s="16" t="s">
        <v>1037</v>
      </c>
      <c r="L404" s="16" t="s">
        <v>85</v>
      </c>
      <c r="M404" s="16" t="s">
        <v>1216</v>
      </c>
      <c r="N404" s="16" t="s">
        <v>914</v>
      </c>
      <c r="O404" s="16" t="s">
        <v>946</v>
      </c>
      <c r="P404" s="16" t="s">
        <v>914</v>
      </c>
      <c r="Q404" s="16" t="s">
        <v>946</v>
      </c>
      <c r="R404" s="16" t="s">
        <v>915</v>
      </c>
      <c r="S404" s="16" t="s">
        <v>915</v>
      </c>
      <c r="T404" s="16" t="s">
        <v>1216</v>
      </c>
      <c r="U404" s="16" t="s">
        <v>1217</v>
      </c>
      <c r="V404" s="16" t="s">
        <v>916</v>
      </c>
      <c r="W404" s="16" t="s">
        <v>1217</v>
      </c>
      <c r="X404" s="16" t="s">
        <v>934</v>
      </c>
      <c r="Y404" s="16" t="s">
        <v>934</v>
      </c>
      <c r="Z404" s="16" t="s">
        <v>935</v>
      </c>
      <c r="DA404" s="405" t="s">
        <v>5</v>
      </c>
      <c r="DB404" s="405" t="s">
        <v>363</v>
      </c>
      <c r="DC404" s="406" t="s">
        <v>85</v>
      </c>
      <c r="DD404" s="405" t="s">
        <v>917</v>
      </c>
      <c r="DE404" s="405" t="s">
        <v>5</v>
      </c>
      <c r="DF404" s="406" t="s">
        <v>85</v>
      </c>
      <c r="DG404" s="407">
        <v>45846</v>
      </c>
      <c r="DH404" s="405" t="s">
        <v>7724</v>
      </c>
      <c r="DI404" s="406">
        <v>465455</v>
      </c>
      <c r="DJ404" s="408">
        <v>5</v>
      </c>
      <c r="DK404" s="405">
        <v>1</v>
      </c>
      <c r="DL404" s="82">
        <v>319.22000000000003</v>
      </c>
      <c r="DM404" s="409">
        <v>1.5961000000000001</v>
      </c>
      <c r="DN404" s="82" t="s">
        <v>85</v>
      </c>
      <c r="DO404" s="82" t="s">
        <v>85</v>
      </c>
      <c r="DP404" s="410" t="s">
        <v>85</v>
      </c>
    </row>
    <row r="405" spans="1:120" x14ac:dyDescent="0.25">
      <c r="A405" s="16" t="s">
        <v>7721</v>
      </c>
      <c r="B405" s="16" t="s">
        <v>7722</v>
      </c>
      <c r="C405" s="16" t="s">
        <v>7723</v>
      </c>
      <c r="D405" s="16" t="s">
        <v>7705</v>
      </c>
      <c r="E405" s="16" t="s">
        <v>7724</v>
      </c>
      <c r="F405" s="16" t="s">
        <v>7725</v>
      </c>
      <c r="G405" s="16" t="s">
        <v>7726</v>
      </c>
      <c r="H405" s="16" t="s">
        <v>7727</v>
      </c>
      <c r="I405" s="16" t="s">
        <v>1772</v>
      </c>
      <c r="J405" s="16" t="s">
        <v>1036</v>
      </c>
      <c r="K405" s="16" t="s">
        <v>1773</v>
      </c>
      <c r="L405" s="16" t="s">
        <v>85</v>
      </c>
      <c r="M405" s="16" t="s">
        <v>1216</v>
      </c>
      <c r="N405" s="16" t="s">
        <v>914</v>
      </c>
      <c r="O405" s="16" t="s">
        <v>946</v>
      </c>
      <c r="P405" s="16" t="s">
        <v>914</v>
      </c>
      <c r="Q405" s="16" t="s">
        <v>946</v>
      </c>
      <c r="R405" s="16" t="s">
        <v>915</v>
      </c>
      <c r="S405" s="16" t="s">
        <v>915</v>
      </c>
      <c r="T405" s="16" t="s">
        <v>1216</v>
      </c>
      <c r="U405" s="16" t="s">
        <v>1217</v>
      </c>
      <c r="V405" s="16" t="s">
        <v>916</v>
      </c>
      <c r="W405" s="16" t="s">
        <v>1217</v>
      </c>
      <c r="X405" s="16" t="s">
        <v>934</v>
      </c>
      <c r="Y405" s="16" t="s">
        <v>934</v>
      </c>
      <c r="Z405" s="16" t="s">
        <v>935</v>
      </c>
      <c r="DA405" s="405" t="s">
        <v>5</v>
      </c>
      <c r="DB405" s="405" t="s">
        <v>363</v>
      </c>
      <c r="DC405" s="406" t="s">
        <v>85</v>
      </c>
      <c r="DD405" s="405" t="s">
        <v>917</v>
      </c>
      <c r="DE405" s="405" t="s">
        <v>5</v>
      </c>
      <c r="DF405" s="406" t="s">
        <v>85</v>
      </c>
      <c r="DG405" s="407">
        <v>45846</v>
      </c>
      <c r="DH405" s="405" t="s">
        <v>7724</v>
      </c>
      <c r="DI405" s="406">
        <v>465455</v>
      </c>
      <c r="DJ405" s="408">
        <v>5</v>
      </c>
      <c r="DK405" s="405">
        <v>1</v>
      </c>
      <c r="DL405" s="82">
        <v>319.22000000000003</v>
      </c>
      <c r="DM405" s="409">
        <v>1.5961000000000001</v>
      </c>
      <c r="DN405" s="82" t="s">
        <v>85</v>
      </c>
      <c r="DO405" s="82" t="s">
        <v>85</v>
      </c>
      <c r="DP405" s="410" t="s">
        <v>85</v>
      </c>
    </row>
    <row r="406" spans="1:120" x14ac:dyDescent="0.25">
      <c r="A406" s="16" t="s">
        <v>7178</v>
      </c>
      <c r="B406" s="16" t="s">
        <v>7179</v>
      </c>
      <c r="C406" s="16" t="s">
        <v>7180</v>
      </c>
      <c r="D406" s="16" t="s">
        <v>7174</v>
      </c>
      <c r="E406" s="16" t="s">
        <v>7181</v>
      </c>
      <c r="F406" s="16" t="s">
        <v>7182</v>
      </c>
      <c r="G406" s="16" t="s">
        <v>7183</v>
      </c>
      <c r="H406" s="16" t="s">
        <v>7182</v>
      </c>
      <c r="I406" s="16" t="s">
        <v>1214</v>
      </c>
      <c r="J406" s="16" t="s">
        <v>1036</v>
      </c>
      <c r="K406" s="16" t="s">
        <v>1215</v>
      </c>
      <c r="L406" s="16" t="s">
        <v>85</v>
      </c>
      <c r="M406" s="16" t="s">
        <v>1216</v>
      </c>
      <c r="N406" s="16" t="s">
        <v>914</v>
      </c>
      <c r="O406" s="16" t="s">
        <v>946</v>
      </c>
      <c r="P406" s="16" t="s">
        <v>914</v>
      </c>
      <c r="Q406" s="16" t="s">
        <v>946</v>
      </c>
      <c r="R406" s="16" t="s">
        <v>915</v>
      </c>
      <c r="S406" s="16" t="s">
        <v>915</v>
      </c>
      <c r="T406" s="16" t="s">
        <v>1216</v>
      </c>
      <c r="U406" s="16" t="s">
        <v>1217</v>
      </c>
      <c r="V406" s="16" t="s">
        <v>916</v>
      </c>
      <c r="W406" s="16" t="s">
        <v>1217</v>
      </c>
      <c r="X406" s="16" t="s">
        <v>934</v>
      </c>
      <c r="Y406" s="16" t="s">
        <v>934</v>
      </c>
      <c r="Z406" s="16" t="s">
        <v>935</v>
      </c>
      <c r="DA406" s="405" t="s">
        <v>5</v>
      </c>
      <c r="DB406" s="405" t="s">
        <v>363</v>
      </c>
      <c r="DC406" s="406" t="s">
        <v>85</v>
      </c>
      <c r="DD406" s="405" t="s">
        <v>917</v>
      </c>
      <c r="DE406" s="405" t="s">
        <v>5</v>
      </c>
      <c r="DF406" s="406" t="s">
        <v>85</v>
      </c>
      <c r="DG406" s="407">
        <v>45847</v>
      </c>
      <c r="DH406" s="405" t="s">
        <v>7181</v>
      </c>
      <c r="DI406" s="406">
        <v>465455</v>
      </c>
      <c r="DJ406" s="408">
        <v>5</v>
      </c>
      <c r="DK406" s="405">
        <v>1</v>
      </c>
      <c r="DL406" s="82">
        <v>319.22000000000003</v>
      </c>
      <c r="DM406" s="409">
        <v>1.5961000000000001</v>
      </c>
      <c r="DN406" s="82" t="s">
        <v>85</v>
      </c>
      <c r="DO406" s="82" t="s">
        <v>85</v>
      </c>
      <c r="DP406" s="410" t="s">
        <v>85</v>
      </c>
    </row>
    <row r="407" spans="1:120" x14ac:dyDescent="0.25">
      <c r="A407" s="16" t="s">
        <v>7184</v>
      </c>
      <c r="B407" s="16" t="s">
        <v>7185</v>
      </c>
      <c r="C407" s="16" t="s">
        <v>7186</v>
      </c>
      <c r="D407" s="16" t="s">
        <v>7174</v>
      </c>
      <c r="E407" s="16" t="s">
        <v>7187</v>
      </c>
      <c r="F407" s="16" t="s">
        <v>7188</v>
      </c>
      <c r="G407" s="16" t="s">
        <v>7189</v>
      </c>
      <c r="H407" s="16" t="s">
        <v>7188</v>
      </c>
      <c r="I407" s="16" t="s">
        <v>1598</v>
      </c>
      <c r="J407" s="16" t="s">
        <v>995</v>
      </c>
      <c r="K407" s="16" t="s">
        <v>1599</v>
      </c>
      <c r="L407" s="16" t="s">
        <v>85</v>
      </c>
      <c r="M407" s="16" t="s">
        <v>1165</v>
      </c>
      <c r="N407" s="16" t="s">
        <v>914</v>
      </c>
      <c r="O407" s="16" t="s">
        <v>1166</v>
      </c>
      <c r="P407" s="16" t="s">
        <v>914</v>
      </c>
      <c r="Q407" s="16" t="s">
        <v>1166</v>
      </c>
      <c r="R407" s="16" t="s">
        <v>915</v>
      </c>
      <c r="S407" s="16" t="s">
        <v>915</v>
      </c>
      <c r="T407" s="16" t="s">
        <v>1167</v>
      </c>
      <c r="U407" s="16" t="s">
        <v>1168</v>
      </c>
      <c r="V407" s="16" t="s">
        <v>916</v>
      </c>
      <c r="W407" s="16" t="s">
        <v>1168</v>
      </c>
      <c r="X407" s="16" t="s">
        <v>934</v>
      </c>
      <c r="Y407" s="16" t="s">
        <v>934</v>
      </c>
      <c r="Z407" s="16" t="s">
        <v>935</v>
      </c>
      <c r="DA407" s="405" t="s">
        <v>5</v>
      </c>
      <c r="DB407" s="405" t="s">
        <v>363</v>
      </c>
      <c r="DC407" s="406" t="s">
        <v>85</v>
      </c>
      <c r="DD407" s="405" t="s">
        <v>917</v>
      </c>
      <c r="DE407" s="405" t="s">
        <v>5</v>
      </c>
      <c r="DF407" s="406" t="s">
        <v>85</v>
      </c>
      <c r="DG407" s="407">
        <v>45847</v>
      </c>
      <c r="DH407" s="405" t="s">
        <v>7187</v>
      </c>
      <c r="DI407" s="406">
        <v>465455</v>
      </c>
      <c r="DJ407" s="408">
        <v>5</v>
      </c>
      <c r="DK407" s="405">
        <v>1</v>
      </c>
      <c r="DL407" s="82">
        <v>468.28</v>
      </c>
      <c r="DM407" s="409">
        <v>2.3413999999999997</v>
      </c>
      <c r="DN407" s="82" t="s">
        <v>85</v>
      </c>
      <c r="DO407" s="82" t="s">
        <v>85</v>
      </c>
      <c r="DP407" s="410" t="s">
        <v>85</v>
      </c>
    </row>
    <row r="408" spans="1:120" x14ac:dyDescent="0.25">
      <c r="A408" s="16" t="s">
        <v>7190</v>
      </c>
      <c r="B408" s="16" t="s">
        <v>7191</v>
      </c>
      <c r="C408" s="16" t="s">
        <v>7192</v>
      </c>
      <c r="D408" s="16" t="s">
        <v>7174</v>
      </c>
      <c r="E408" s="16" t="s">
        <v>7193</v>
      </c>
      <c r="F408" s="16" t="s">
        <v>7194</v>
      </c>
      <c r="G408" s="16" t="s">
        <v>7195</v>
      </c>
      <c r="H408" s="16" t="s">
        <v>7196</v>
      </c>
      <c r="I408" s="16" t="s">
        <v>1236</v>
      </c>
      <c r="J408" s="16" t="s">
        <v>1123</v>
      </c>
      <c r="K408" s="16" t="s">
        <v>1237</v>
      </c>
      <c r="L408" s="16" t="s">
        <v>85</v>
      </c>
      <c r="M408" s="16" t="s">
        <v>1238</v>
      </c>
      <c r="N408" s="16" t="s">
        <v>914</v>
      </c>
      <c r="O408" s="16" t="s">
        <v>1239</v>
      </c>
      <c r="P408" s="16" t="s">
        <v>914</v>
      </c>
      <c r="Q408" s="16" t="s">
        <v>1239</v>
      </c>
      <c r="R408" s="16" t="s">
        <v>915</v>
      </c>
      <c r="S408" s="16" t="s">
        <v>915</v>
      </c>
      <c r="T408" s="16" t="s">
        <v>1238</v>
      </c>
      <c r="U408" s="16" t="s">
        <v>1240</v>
      </c>
      <c r="V408" s="16" t="s">
        <v>916</v>
      </c>
      <c r="W408" s="16" t="s">
        <v>1240</v>
      </c>
      <c r="X408" s="16" t="s">
        <v>934</v>
      </c>
      <c r="Y408" s="16" t="s">
        <v>934</v>
      </c>
      <c r="Z408" s="16" t="s">
        <v>935</v>
      </c>
      <c r="DA408" s="405" t="s">
        <v>5</v>
      </c>
      <c r="DB408" s="405" t="s">
        <v>363</v>
      </c>
      <c r="DC408" s="406" t="s">
        <v>85</v>
      </c>
      <c r="DD408" s="405" t="s">
        <v>917</v>
      </c>
      <c r="DE408" s="405" t="s">
        <v>5</v>
      </c>
      <c r="DF408" s="406" t="s">
        <v>85</v>
      </c>
      <c r="DG408" s="407">
        <v>45847</v>
      </c>
      <c r="DH408" s="405" t="s">
        <v>7193</v>
      </c>
      <c r="DI408" s="406">
        <v>465455</v>
      </c>
      <c r="DJ408" s="408">
        <v>5</v>
      </c>
      <c r="DK408" s="405">
        <v>1</v>
      </c>
      <c r="DL408" s="82">
        <v>383.16</v>
      </c>
      <c r="DM408" s="409">
        <v>1.9158000000000002</v>
      </c>
      <c r="DN408" s="82" t="s">
        <v>85</v>
      </c>
      <c r="DO408" s="82" t="s">
        <v>85</v>
      </c>
      <c r="DP408" s="410" t="s">
        <v>85</v>
      </c>
    </row>
    <row r="409" spans="1:120" x14ac:dyDescent="0.25">
      <c r="A409" s="16" t="s">
        <v>7197</v>
      </c>
      <c r="B409" s="16" t="s">
        <v>7198</v>
      </c>
      <c r="C409" s="16" t="s">
        <v>7199</v>
      </c>
      <c r="D409" s="16" t="s">
        <v>7174</v>
      </c>
      <c r="E409" s="16" t="s">
        <v>7200</v>
      </c>
      <c r="F409" s="16" t="s">
        <v>7201</v>
      </c>
      <c r="G409" s="16" t="s">
        <v>7202</v>
      </c>
      <c r="H409" s="16" t="s">
        <v>7201</v>
      </c>
      <c r="I409" s="16" t="s">
        <v>2425</v>
      </c>
      <c r="J409" s="16" t="s">
        <v>928</v>
      </c>
      <c r="K409" s="16" t="s">
        <v>2426</v>
      </c>
      <c r="L409" s="16" t="s">
        <v>85</v>
      </c>
      <c r="M409" s="16" t="s">
        <v>1322</v>
      </c>
      <c r="N409" s="16" t="s">
        <v>914</v>
      </c>
      <c r="O409" s="16" t="s">
        <v>1323</v>
      </c>
      <c r="P409" s="16" t="s">
        <v>914</v>
      </c>
      <c r="Q409" s="16" t="s">
        <v>1323</v>
      </c>
      <c r="R409" s="16" t="s">
        <v>915</v>
      </c>
      <c r="S409" s="16" t="s">
        <v>915</v>
      </c>
      <c r="T409" s="16" t="s">
        <v>1322</v>
      </c>
      <c r="U409" s="16" t="s">
        <v>1324</v>
      </c>
      <c r="V409" s="16" t="s">
        <v>916</v>
      </c>
      <c r="W409" s="16" t="s">
        <v>1324</v>
      </c>
      <c r="X409" s="16" t="s">
        <v>934</v>
      </c>
      <c r="Y409" s="16" t="s">
        <v>934</v>
      </c>
      <c r="Z409" s="16" t="s">
        <v>935</v>
      </c>
      <c r="DA409" s="405" t="s">
        <v>5</v>
      </c>
      <c r="DB409" s="405" t="s">
        <v>363</v>
      </c>
      <c r="DC409" s="406" t="s">
        <v>85</v>
      </c>
      <c r="DD409" s="405" t="s">
        <v>917</v>
      </c>
      <c r="DE409" s="405" t="s">
        <v>5</v>
      </c>
      <c r="DF409" s="406" t="s">
        <v>85</v>
      </c>
      <c r="DG409" s="407">
        <v>45847</v>
      </c>
      <c r="DH409" s="405" t="s">
        <v>7200</v>
      </c>
      <c r="DI409" s="406">
        <v>465455</v>
      </c>
      <c r="DJ409" s="408">
        <v>5</v>
      </c>
      <c r="DK409" s="405">
        <v>1</v>
      </c>
      <c r="DL409" s="82">
        <v>332.47</v>
      </c>
      <c r="DM409" s="409">
        <v>1.6623500000000002</v>
      </c>
      <c r="DN409" s="82" t="s">
        <v>85</v>
      </c>
      <c r="DO409" s="82" t="s">
        <v>85</v>
      </c>
      <c r="DP409" s="410" t="s">
        <v>85</v>
      </c>
    </row>
    <row r="410" spans="1:120" x14ac:dyDescent="0.25">
      <c r="A410" s="16" t="s">
        <v>7203</v>
      </c>
      <c r="B410" s="16" t="s">
        <v>7204</v>
      </c>
      <c r="C410" s="16" t="s">
        <v>7205</v>
      </c>
      <c r="D410" s="16" t="s">
        <v>7174</v>
      </c>
      <c r="E410" s="16" t="s">
        <v>7206</v>
      </c>
      <c r="F410" s="16" t="s">
        <v>7207</v>
      </c>
      <c r="G410" s="16" t="s">
        <v>7208</v>
      </c>
      <c r="H410" s="16" t="s">
        <v>7209</v>
      </c>
      <c r="I410" s="16" t="s">
        <v>1781</v>
      </c>
      <c r="J410" s="16" t="s">
        <v>995</v>
      </c>
      <c r="K410" s="16" t="s">
        <v>1782</v>
      </c>
      <c r="L410" s="16" t="s">
        <v>85</v>
      </c>
      <c r="M410" s="16" t="s">
        <v>1165</v>
      </c>
      <c r="N410" s="16" t="s">
        <v>914</v>
      </c>
      <c r="O410" s="16" t="s">
        <v>1166</v>
      </c>
      <c r="P410" s="16" t="s">
        <v>914</v>
      </c>
      <c r="Q410" s="16" t="s">
        <v>1166</v>
      </c>
      <c r="R410" s="16" t="s">
        <v>915</v>
      </c>
      <c r="S410" s="16" t="s">
        <v>915</v>
      </c>
      <c r="T410" s="16" t="s">
        <v>1167</v>
      </c>
      <c r="U410" s="16" t="s">
        <v>1168</v>
      </c>
      <c r="V410" s="16" t="s">
        <v>916</v>
      </c>
      <c r="W410" s="16" t="s">
        <v>1168</v>
      </c>
      <c r="X410" s="16" t="s">
        <v>934</v>
      </c>
      <c r="Y410" s="16" t="s">
        <v>934</v>
      </c>
      <c r="Z410" s="16" t="s">
        <v>935</v>
      </c>
      <c r="DA410" s="405" t="s">
        <v>5</v>
      </c>
      <c r="DB410" s="405" t="s">
        <v>363</v>
      </c>
      <c r="DC410" s="406" t="s">
        <v>85</v>
      </c>
      <c r="DD410" s="405" t="s">
        <v>917</v>
      </c>
      <c r="DE410" s="405" t="s">
        <v>5</v>
      </c>
      <c r="DF410" s="406" t="s">
        <v>85</v>
      </c>
      <c r="DG410" s="407">
        <v>45847</v>
      </c>
      <c r="DH410" s="405" t="s">
        <v>7206</v>
      </c>
      <c r="DI410" s="406">
        <v>465455</v>
      </c>
      <c r="DJ410" s="408">
        <v>5</v>
      </c>
      <c r="DK410" s="405">
        <v>1</v>
      </c>
      <c r="DL410" s="82">
        <v>468.28</v>
      </c>
      <c r="DM410" s="409">
        <v>2.3413999999999997</v>
      </c>
      <c r="DN410" s="82" t="s">
        <v>85</v>
      </c>
      <c r="DO410" s="82" t="s">
        <v>85</v>
      </c>
      <c r="DP410" s="410" t="s">
        <v>85</v>
      </c>
    </row>
    <row r="411" spans="1:120" x14ac:dyDescent="0.25">
      <c r="A411" s="16" t="s">
        <v>7210</v>
      </c>
      <c r="B411" s="16" t="s">
        <v>7211</v>
      </c>
      <c r="C411" s="16" t="s">
        <v>7212</v>
      </c>
      <c r="D411" s="16" t="s">
        <v>7174</v>
      </c>
      <c r="E411" s="16" t="s">
        <v>7213</v>
      </c>
      <c r="F411" s="16" t="s">
        <v>7214</v>
      </c>
      <c r="G411" s="16" t="s">
        <v>7215</v>
      </c>
      <c r="H411" s="16" t="s">
        <v>7216</v>
      </c>
      <c r="I411" s="16" t="s">
        <v>1448</v>
      </c>
      <c r="J411" s="16" t="s">
        <v>1036</v>
      </c>
      <c r="K411" s="16" t="s">
        <v>1449</v>
      </c>
      <c r="L411" s="16" t="s">
        <v>85</v>
      </c>
      <c r="M411" s="16" t="s">
        <v>1216</v>
      </c>
      <c r="N411" s="16" t="s">
        <v>914</v>
      </c>
      <c r="O411" s="16" t="s">
        <v>946</v>
      </c>
      <c r="P411" s="16" t="s">
        <v>914</v>
      </c>
      <c r="Q411" s="16" t="s">
        <v>946</v>
      </c>
      <c r="R411" s="16" t="s">
        <v>915</v>
      </c>
      <c r="S411" s="16" t="s">
        <v>915</v>
      </c>
      <c r="T411" s="16" t="s">
        <v>1216</v>
      </c>
      <c r="U411" s="16" t="s">
        <v>1217</v>
      </c>
      <c r="V411" s="16" t="s">
        <v>916</v>
      </c>
      <c r="W411" s="16" t="s">
        <v>1217</v>
      </c>
      <c r="X411" s="16" t="s">
        <v>934</v>
      </c>
      <c r="Y411" s="16" t="s">
        <v>934</v>
      </c>
      <c r="Z411" s="16" t="s">
        <v>935</v>
      </c>
      <c r="DA411" s="405" t="s">
        <v>5</v>
      </c>
      <c r="DB411" s="405" t="s">
        <v>363</v>
      </c>
      <c r="DC411" s="406" t="s">
        <v>85</v>
      </c>
      <c r="DD411" s="405" t="s">
        <v>917</v>
      </c>
      <c r="DE411" s="405" t="s">
        <v>5</v>
      </c>
      <c r="DF411" s="406" t="s">
        <v>85</v>
      </c>
      <c r="DG411" s="407">
        <v>45847</v>
      </c>
      <c r="DH411" s="405" t="s">
        <v>7213</v>
      </c>
      <c r="DI411" s="406">
        <v>465455</v>
      </c>
      <c r="DJ411" s="408">
        <v>5</v>
      </c>
      <c r="DK411" s="405">
        <v>1</v>
      </c>
      <c r="DL411" s="82">
        <v>319.22000000000003</v>
      </c>
      <c r="DM411" s="409">
        <v>1.5961000000000001</v>
      </c>
      <c r="DN411" s="82" t="s">
        <v>85</v>
      </c>
      <c r="DO411" s="82" t="s">
        <v>85</v>
      </c>
      <c r="DP411" s="410" t="s">
        <v>85</v>
      </c>
    </row>
    <row r="412" spans="1:120" x14ac:dyDescent="0.25">
      <c r="A412" s="16" t="s">
        <v>7217</v>
      </c>
      <c r="B412" s="16" t="s">
        <v>7218</v>
      </c>
      <c r="C412" s="16" t="s">
        <v>7219</v>
      </c>
      <c r="D412" s="16" t="s">
        <v>7174</v>
      </c>
      <c r="E412" s="16" t="s">
        <v>7220</v>
      </c>
      <c r="F412" s="16" t="s">
        <v>7221</v>
      </c>
      <c r="G412" s="16" t="s">
        <v>7222</v>
      </c>
      <c r="H412" s="16" t="s">
        <v>7223</v>
      </c>
      <c r="I412" s="16" t="s">
        <v>1781</v>
      </c>
      <c r="J412" s="16" t="s">
        <v>995</v>
      </c>
      <c r="K412" s="16" t="s">
        <v>1782</v>
      </c>
      <c r="L412" s="16" t="s">
        <v>85</v>
      </c>
      <c r="M412" s="16" t="s">
        <v>1165</v>
      </c>
      <c r="N412" s="16" t="s">
        <v>914</v>
      </c>
      <c r="O412" s="16" t="s">
        <v>1166</v>
      </c>
      <c r="P412" s="16" t="s">
        <v>914</v>
      </c>
      <c r="Q412" s="16" t="s">
        <v>1166</v>
      </c>
      <c r="R412" s="16" t="s">
        <v>915</v>
      </c>
      <c r="S412" s="16" t="s">
        <v>915</v>
      </c>
      <c r="T412" s="16" t="s">
        <v>1167</v>
      </c>
      <c r="U412" s="16" t="s">
        <v>1168</v>
      </c>
      <c r="V412" s="16" t="s">
        <v>916</v>
      </c>
      <c r="W412" s="16" t="s">
        <v>1168</v>
      </c>
      <c r="X412" s="16" t="s">
        <v>934</v>
      </c>
      <c r="Y412" s="16" t="s">
        <v>934</v>
      </c>
      <c r="Z412" s="16" t="s">
        <v>935</v>
      </c>
      <c r="DA412" s="405" t="s">
        <v>5</v>
      </c>
      <c r="DB412" s="405" t="s">
        <v>363</v>
      </c>
      <c r="DC412" s="406" t="s">
        <v>85</v>
      </c>
      <c r="DD412" s="405" t="s">
        <v>917</v>
      </c>
      <c r="DE412" s="405" t="s">
        <v>5</v>
      </c>
      <c r="DF412" s="406" t="s">
        <v>85</v>
      </c>
      <c r="DG412" s="407">
        <v>45847</v>
      </c>
      <c r="DH412" s="405" t="s">
        <v>7220</v>
      </c>
      <c r="DI412" s="406">
        <v>465455</v>
      </c>
      <c r="DJ412" s="408">
        <v>5</v>
      </c>
      <c r="DK412" s="405">
        <v>1</v>
      </c>
      <c r="DL412" s="82">
        <v>468.28</v>
      </c>
      <c r="DM412" s="409">
        <v>2.3413999999999997</v>
      </c>
      <c r="DN412" s="82" t="s">
        <v>85</v>
      </c>
      <c r="DO412" s="82" t="s">
        <v>85</v>
      </c>
      <c r="DP412" s="410" t="s">
        <v>85</v>
      </c>
    </row>
    <row r="413" spans="1:120" x14ac:dyDescent="0.25">
      <c r="A413" s="16" t="s">
        <v>7224</v>
      </c>
      <c r="B413" s="16" t="s">
        <v>7225</v>
      </c>
      <c r="C413" s="16" t="s">
        <v>7226</v>
      </c>
      <c r="D413" s="16" t="s">
        <v>7174</v>
      </c>
      <c r="E413" s="16" t="s">
        <v>7227</v>
      </c>
      <c r="F413" s="16" t="s">
        <v>7228</v>
      </c>
      <c r="G413" s="16" t="s">
        <v>7229</v>
      </c>
      <c r="H413" s="16" t="s">
        <v>7230</v>
      </c>
      <c r="I413" s="16" t="s">
        <v>1075</v>
      </c>
      <c r="J413" s="16" t="s">
        <v>1036</v>
      </c>
      <c r="K413" s="16" t="s">
        <v>1076</v>
      </c>
      <c r="L413" s="16" t="s">
        <v>85</v>
      </c>
      <c r="M413" s="16" t="s">
        <v>1216</v>
      </c>
      <c r="N413" s="16" t="s">
        <v>914</v>
      </c>
      <c r="O413" s="16" t="s">
        <v>946</v>
      </c>
      <c r="P413" s="16" t="s">
        <v>914</v>
      </c>
      <c r="Q413" s="16" t="s">
        <v>946</v>
      </c>
      <c r="R413" s="16" t="s">
        <v>915</v>
      </c>
      <c r="S413" s="16" t="s">
        <v>915</v>
      </c>
      <c r="T413" s="16" t="s">
        <v>1216</v>
      </c>
      <c r="U413" s="16" t="s">
        <v>1217</v>
      </c>
      <c r="V413" s="16" t="s">
        <v>916</v>
      </c>
      <c r="W413" s="16" t="s">
        <v>1217</v>
      </c>
      <c r="X413" s="16" t="s">
        <v>934</v>
      </c>
      <c r="Y413" s="16" t="s">
        <v>934</v>
      </c>
      <c r="Z413" s="16" t="s">
        <v>935</v>
      </c>
      <c r="DA413" s="405" t="s">
        <v>5</v>
      </c>
      <c r="DB413" s="405" t="s">
        <v>363</v>
      </c>
      <c r="DC413" s="406" t="s">
        <v>85</v>
      </c>
      <c r="DD413" s="405" t="s">
        <v>917</v>
      </c>
      <c r="DE413" s="405" t="s">
        <v>5</v>
      </c>
      <c r="DF413" s="406" t="s">
        <v>85</v>
      </c>
      <c r="DG413" s="407">
        <v>45847</v>
      </c>
      <c r="DH413" s="405" t="s">
        <v>7227</v>
      </c>
      <c r="DI413" s="406">
        <v>465455</v>
      </c>
      <c r="DJ413" s="408">
        <v>5</v>
      </c>
      <c r="DK413" s="405">
        <v>1</v>
      </c>
      <c r="DL413" s="82">
        <v>319.22000000000003</v>
      </c>
      <c r="DM413" s="409">
        <v>1.5961000000000001</v>
      </c>
      <c r="DN413" s="82" t="s">
        <v>85</v>
      </c>
      <c r="DO413" s="82" t="s">
        <v>85</v>
      </c>
      <c r="DP413" s="410" t="s">
        <v>85</v>
      </c>
    </row>
    <row r="414" spans="1:120" x14ac:dyDescent="0.25">
      <c r="A414" s="16" t="s">
        <v>7231</v>
      </c>
      <c r="B414" s="16" t="s">
        <v>7232</v>
      </c>
      <c r="C414" s="16" t="s">
        <v>7233</v>
      </c>
      <c r="D414" s="16" t="s">
        <v>7174</v>
      </c>
      <c r="E414" s="16" t="s">
        <v>7234</v>
      </c>
      <c r="F414" s="16" t="s">
        <v>7235</v>
      </c>
      <c r="G414" s="16" t="s">
        <v>7236</v>
      </c>
      <c r="H414" s="16" t="s">
        <v>7235</v>
      </c>
      <c r="I414" s="16" t="s">
        <v>2997</v>
      </c>
      <c r="J414" s="16" t="s">
        <v>943</v>
      </c>
      <c r="K414" s="16" t="s">
        <v>2998</v>
      </c>
      <c r="L414" s="16" t="s">
        <v>85</v>
      </c>
      <c r="M414" s="16" t="s">
        <v>984</v>
      </c>
      <c r="N414" s="16" t="s">
        <v>914</v>
      </c>
      <c r="O414" s="16" t="s">
        <v>985</v>
      </c>
      <c r="P414" s="16" t="s">
        <v>914</v>
      </c>
      <c r="Q414" s="16" t="s">
        <v>985</v>
      </c>
      <c r="R414" s="16" t="s">
        <v>915</v>
      </c>
      <c r="S414" s="16" t="s">
        <v>915</v>
      </c>
      <c r="T414" s="16" t="s">
        <v>986</v>
      </c>
      <c r="U414" s="16" t="s">
        <v>987</v>
      </c>
      <c r="V414" s="16" t="s">
        <v>916</v>
      </c>
      <c r="W414" s="16" t="s">
        <v>987</v>
      </c>
      <c r="X414" s="16" t="s">
        <v>934</v>
      </c>
      <c r="Y414" s="16" t="s">
        <v>934</v>
      </c>
      <c r="Z414" s="16" t="s">
        <v>935</v>
      </c>
      <c r="DA414" s="405" t="s">
        <v>5</v>
      </c>
      <c r="DB414" s="405" t="s">
        <v>363</v>
      </c>
      <c r="DC414" s="406" t="s">
        <v>85</v>
      </c>
      <c r="DD414" s="405" t="s">
        <v>917</v>
      </c>
      <c r="DE414" s="405" t="s">
        <v>5</v>
      </c>
      <c r="DF414" s="406" t="s">
        <v>85</v>
      </c>
      <c r="DG414" s="407">
        <v>45847</v>
      </c>
      <c r="DH414" s="405" t="s">
        <v>7234</v>
      </c>
      <c r="DI414" s="406">
        <v>465455</v>
      </c>
      <c r="DJ414" s="408">
        <v>5</v>
      </c>
      <c r="DK414" s="405">
        <v>1</v>
      </c>
      <c r="DL414" s="82">
        <v>340.55</v>
      </c>
      <c r="DM414" s="409">
        <v>1.70275</v>
      </c>
      <c r="DN414" s="82" t="s">
        <v>85</v>
      </c>
      <c r="DO414" s="82" t="s">
        <v>85</v>
      </c>
      <c r="DP414" s="410" t="s">
        <v>85</v>
      </c>
    </row>
    <row r="415" spans="1:120" x14ac:dyDescent="0.25">
      <c r="A415" s="16" t="s">
        <v>7237</v>
      </c>
      <c r="B415" s="16" t="s">
        <v>7238</v>
      </c>
      <c r="C415" s="16" t="s">
        <v>7239</v>
      </c>
      <c r="D415" s="16" t="s">
        <v>7174</v>
      </c>
      <c r="E415" s="16" t="s">
        <v>7240</v>
      </c>
      <c r="F415" s="16" t="s">
        <v>7241</v>
      </c>
      <c r="G415" s="16" t="s">
        <v>7242</v>
      </c>
      <c r="H415" s="16" t="s">
        <v>7243</v>
      </c>
      <c r="I415" s="16" t="s">
        <v>968</v>
      </c>
      <c r="J415" s="16" t="s">
        <v>943</v>
      </c>
      <c r="K415" s="16" t="s">
        <v>969</v>
      </c>
      <c r="L415" s="16" t="s">
        <v>85</v>
      </c>
      <c r="M415" s="16" t="s">
        <v>984</v>
      </c>
      <c r="N415" s="16" t="s">
        <v>914</v>
      </c>
      <c r="O415" s="16" t="s">
        <v>985</v>
      </c>
      <c r="P415" s="16" t="s">
        <v>914</v>
      </c>
      <c r="Q415" s="16" t="s">
        <v>985</v>
      </c>
      <c r="R415" s="16" t="s">
        <v>915</v>
      </c>
      <c r="S415" s="16" t="s">
        <v>915</v>
      </c>
      <c r="T415" s="16" t="s">
        <v>986</v>
      </c>
      <c r="U415" s="16" t="s">
        <v>987</v>
      </c>
      <c r="V415" s="16" t="s">
        <v>916</v>
      </c>
      <c r="W415" s="16" t="s">
        <v>987</v>
      </c>
      <c r="X415" s="16" t="s">
        <v>934</v>
      </c>
      <c r="Y415" s="16" t="s">
        <v>934</v>
      </c>
      <c r="Z415" s="16" t="s">
        <v>935</v>
      </c>
      <c r="DA415" s="405" t="s">
        <v>5</v>
      </c>
      <c r="DB415" s="405" t="s">
        <v>363</v>
      </c>
      <c r="DC415" s="406" t="s">
        <v>85</v>
      </c>
      <c r="DD415" s="405" t="s">
        <v>917</v>
      </c>
      <c r="DE415" s="405" t="s">
        <v>5</v>
      </c>
      <c r="DF415" s="406" t="s">
        <v>85</v>
      </c>
      <c r="DG415" s="407">
        <v>45847</v>
      </c>
      <c r="DH415" s="405" t="s">
        <v>7240</v>
      </c>
      <c r="DI415" s="406">
        <v>465455</v>
      </c>
      <c r="DJ415" s="408">
        <v>5</v>
      </c>
      <c r="DK415" s="405">
        <v>1</v>
      </c>
      <c r="DL415" s="82">
        <v>340.55</v>
      </c>
      <c r="DM415" s="409">
        <v>1.70275</v>
      </c>
      <c r="DN415" s="82" t="s">
        <v>85</v>
      </c>
      <c r="DO415" s="82" t="s">
        <v>85</v>
      </c>
      <c r="DP415" s="410" t="s">
        <v>85</v>
      </c>
    </row>
    <row r="416" spans="1:120" x14ac:dyDescent="0.25">
      <c r="A416" s="16" t="s">
        <v>7244</v>
      </c>
      <c r="B416" s="16" t="s">
        <v>7245</v>
      </c>
      <c r="C416" s="16" t="s">
        <v>7246</v>
      </c>
      <c r="D416" s="16" t="s">
        <v>7174</v>
      </c>
      <c r="E416" s="16" t="s">
        <v>7247</v>
      </c>
      <c r="F416" s="16" t="s">
        <v>7248</v>
      </c>
      <c r="G416" s="16" t="s">
        <v>7249</v>
      </c>
      <c r="H416" s="16" t="s">
        <v>7248</v>
      </c>
      <c r="I416" s="16" t="s">
        <v>1929</v>
      </c>
      <c r="J416" s="16" t="s">
        <v>995</v>
      </c>
      <c r="K416" s="16" t="s">
        <v>1930</v>
      </c>
      <c r="L416" s="16" t="s">
        <v>85</v>
      </c>
      <c r="M416" s="16" t="s">
        <v>1165</v>
      </c>
      <c r="N416" s="16" t="s">
        <v>914</v>
      </c>
      <c r="O416" s="16" t="s">
        <v>1166</v>
      </c>
      <c r="P416" s="16" t="s">
        <v>914</v>
      </c>
      <c r="Q416" s="16" t="s">
        <v>1166</v>
      </c>
      <c r="R416" s="16" t="s">
        <v>915</v>
      </c>
      <c r="S416" s="16" t="s">
        <v>915</v>
      </c>
      <c r="T416" s="16" t="s">
        <v>1167</v>
      </c>
      <c r="U416" s="16" t="s">
        <v>1168</v>
      </c>
      <c r="V416" s="16" t="s">
        <v>916</v>
      </c>
      <c r="W416" s="16" t="s">
        <v>1168</v>
      </c>
      <c r="X416" s="16" t="s">
        <v>934</v>
      </c>
      <c r="Y416" s="16" t="s">
        <v>934</v>
      </c>
      <c r="Z416" s="16" t="s">
        <v>935</v>
      </c>
      <c r="DA416" s="405" t="s">
        <v>5</v>
      </c>
      <c r="DB416" s="405" t="s">
        <v>363</v>
      </c>
      <c r="DC416" s="406" t="s">
        <v>85</v>
      </c>
      <c r="DD416" s="405" t="s">
        <v>917</v>
      </c>
      <c r="DE416" s="405" t="s">
        <v>5</v>
      </c>
      <c r="DF416" s="406" t="s">
        <v>85</v>
      </c>
      <c r="DG416" s="407">
        <v>45847</v>
      </c>
      <c r="DH416" s="405" t="s">
        <v>7247</v>
      </c>
      <c r="DI416" s="406">
        <v>465455</v>
      </c>
      <c r="DJ416" s="408">
        <v>5</v>
      </c>
      <c r="DK416" s="405">
        <v>1</v>
      </c>
      <c r="DL416" s="82">
        <v>468.28</v>
      </c>
      <c r="DM416" s="409">
        <v>2.3413999999999997</v>
      </c>
      <c r="DN416" s="82" t="s">
        <v>85</v>
      </c>
      <c r="DO416" s="82" t="s">
        <v>85</v>
      </c>
      <c r="DP416" s="410" t="s">
        <v>85</v>
      </c>
    </row>
    <row r="417" spans="1:120" x14ac:dyDescent="0.25">
      <c r="A417" s="16" t="s">
        <v>7250</v>
      </c>
      <c r="B417" s="16" t="s">
        <v>7251</v>
      </c>
      <c r="C417" s="16" t="s">
        <v>7252</v>
      </c>
      <c r="D417" s="16" t="s">
        <v>7174</v>
      </c>
      <c r="E417" s="16" t="s">
        <v>7253</v>
      </c>
      <c r="F417" s="16" t="s">
        <v>7254</v>
      </c>
      <c r="G417" s="16" t="s">
        <v>7255</v>
      </c>
      <c r="H417" s="16" t="s">
        <v>7254</v>
      </c>
      <c r="I417" s="16" t="s">
        <v>1099</v>
      </c>
      <c r="J417" s="16" t="s">
        <v>943</v>
      </c>
      <c r="K417" s="16" t="s">
        <v>1100</v>
      </c>
      <c r="L417" s="16" t="s">
        <v>85</v>
      </c>
      <c r="M417" s="16" t="s">
        <v>984</v>
      </c>
      <c r="N417" s="16" t="s">
        <v>914</v>
      </c>
      <c r="O417" s="16" t="s">
        <v>985</v>
      </c>
      <c r="P417" s="16" t="s">
        <v>914</v>
      </c>
      <c r="Q417" s="16" t="s">
        <v>985</v>
      </c>
      <c r="R417" s="16" t="s">
        <v>915</v>
      </c>
      <c r="S417" s="16" t="s">
        <v>915</v>
      </c>
      <c r="T417" s="16" t="s">
        <v>986</v>
      </c>
      <c r="U417" s="16" t="s">
        <v>987</v>
      </c>
      <c r="V417" s="16" t="s">
        <v>916</v>
      </c>
      <c r="W417" s="16" t="s">
        <v>987</v>
      </c>
      <c r="X417" s="16" t="s">
        <v>934</v>
      </c>
      <c r="Y417" s="16" t="s">
        <v>934</v>
      </c>
      <c r="Z417" s="16" t="s">
        <v>935</v>
      </c>
      <c r="DA417" s="405" t="s">
        <v>5</v>
      </c>
      <c r="DB417" s="405" t="s">
        <v>363</v>
      </c>
      <c r="DC417" s="406" t="s">
        <v>85</v>
      </c>
      <c r="DD417" s="405" t="s">
        <v>917</v>
      </c>
      <c r="DE417" s="405" t="s">
        <v>5</v>
      </c>
      <c r="DF417" s="406" t="s">
        <v>85</v>
      </c>
      <c r="DG417" s="407">
        <v>45847</v>
      </c>
      <c r="DH417" s="405" t="s">
        <v>7253</v>
      </c>
      <c r="DI417" s="406">
        <v>465455</v>
      </c>
      <c r="DJ417" s="408">
        <v>5</v>
      </c>
      <c r="DK417" s="405">
        <v>1</v>
      </c>
      <c r="DL417" s="82">
        <v>340.55</v>
      </c>
      <c r="DM417" s="409">
        <v>1.70275</v>
      </c>
      <c r="DN417" s="82" t="s">
        <v>85</v>
      </c>
      <c r="DO417" s="82" t="s">
        <v>85</v>
      </c>
      <c r="DP417" s="410" t="s">
        <v>85</v>
      </c>
    </row>
    <row r="418" spans="1:120" x14ac:dyDescent="0.25">
      <c r="A418" s="16" t="s">
        <v>7256</v>
      </c>
      <c r="B418" s="16" t="s">
        <v>7257</v>
      </c>
      <c r="C418" s="16" t="s">
        <v>7258</v>
      </c>
      <c r="D418" s="16" t="s">
        <v>7174</v>
      </c>
      <c r="E418" s="16" t="s">
        <v>7259</v>
      </c>
      <c r="F418" s="16" t="s">
        <v>7260</v>
      </c>
      <c r="G418" s="16" t="s">
        <v>7261</v>
      </c>
      <c r="H418" s="16" t="s">
        <v>7260</v>
      </c>
      <c r="I418" s="16" t="s">
        <v>1772</v>
      </c>
      <c r="J418" s="16" t="s">
        <v>1036</v>
      </c>
      <c r="K418" s="16" t="s">
        <v>1773</v>
      </c>
      <c r="L418" s="16" t="s">
        <v>85</v>
      </c>
      <c r="M418" s="16" t="s">
        <v>7262</v>
      </c>
      <c r="N418" s="16" t="s">
        <v>914</v>
      </c>
      <c r="O418" s="16" t="s">
        <v>946</v>
      </c>
      <c r="P418" s="16" t="s">
        <v>914</v>
      </c>
      <c r="Q418" s="16" t="s">
        <v>946</v>
      </c>
      <c r="R418" s="16" t="s">
        <v>915</v>
      </c>
      <c r="S418" s="16" t="s">
        <v>915</v>
      </c>
      <c r="T418" s="16" t="s">
        <v>1216</v>
      </c>
      <c r="U418" s="16" t="s">
        <v>1217</v>
      </c>
      <c r="V418" s="16" t="s">
        <v>1763</v>
      </c>
      <c r="W418" s="16" t="s">
        <v>7263</v>
      </c>
      <c r="X418" s="16" t="s">
        <v>934</v>
      </c>
      <c r="Y418" s="16" t="s">
        <v>934</v>
      </c>
      <c r="Z418" s="16" t="s">
        <v>935</v>
      </c>
      <c r="DA418" s="405" t="s">
        <v>5</v>
      </c>
      <c r="DB418" s="405" t="s">
        <v>363</v>
      </c>
      <c r="DC418" s="406" t="s">
        <v>85</v>
      </c>
      <c r="DD418" s="405" t="s">
        <v>917</v>
      </c>
      <c r="DE418" s="405" t="s">
        <v>5</v>
      </c>
      <c r="DF418" s="406" t="s">
        <v>85</v>
      </c>
      <c r="DG418" s="407">
        <v>45847</v>
      </c>
      <c r="DH418" s="405" t="s">
        <v>7259</v>
      </c>
      <c r="DI418" s="406">
        <v>465455</v>
      </c>
      <c r="DJ418" s="408">
        <v>5</v>
      </c>
      <c r="DK418" s="405">
        <v>2</v>
      </c>
      <c r="DL418" s="82">
        <v>319.22000000000003</v>
      </c>
      <c r="DM418" s="409">
        <v>1.5961000000000001</v>
      </c>
      <c r="DN418" s="82" t="s">
        <v>85</v>
      </c>
      <c r="DO418" s="82" t="s">
        <v>85</v>
      </c>
      <c r="DP418" s="410" t="s">
        <v>85</v>
      </c>
    </row>
    <row r="419" spans="1:120" x14ac:dyDescent="0.25">
      <c r="A419" s="16" t="s">
        <v>7264</v>
      </c>
      <c r="B419" s="16" t="s">
        <v>7265</v>
      </c>
      <c r="C419" s="16" t="s">
        <v>7266</v>
      </c>
      <c r="D419" s="16" t="s">
        <v>7174</v>
      </c>
      <c r="E419" s="16" t="s">
        <v>7267</v>
      </c>
      <c r="F419" s="16" t="s">
        <v>7268</v>
      </c>
      <c r="G419" s="16" t="s">
        <v>7269</v>
      </c>
      <c r="H419" s="16" t="s">
        <v>7268</v>
      </c>
      <c r="I419" s="16" t="s">
        <v>2241</v>
      </c>
      <c r="J419" s="16" t="s">
        <v>1123</v>
      </c>
      <c r="K419" s="16" t="s">
        <v>2242</v>
      </c>
      <c r="L419" s="16" t="s">
        <v>85</v>
      </c>
      <c r="M419" s="16" t="s">
        <v>1238</v>
      </c>
      <c r="N419" s="16" t="s">
        <v>914</v>
      </c>
      <c r="O419" s="16" t="s">
        <v>1239</v>
      </c>
      <c r="P419" s="16" t="s">
        <v>914</v>
      </c>
      <c r="Q419" s="16" t="s">
        <v>1239</v>
      </c>
      <c r="R419" s="16" t="s">
        <v>915</v>
      </c>
      <c r="S419" s="16" t="s">
        <v>915</v>
      </c>
      <c r="T419" s="16" t="s">
        <v>1238</v>
      </c>
      <c r="U419" s="16" t="s">
        <v>1240</v>
      </c>
      <c r="V419" s="16" t="s">
        <v>916</v>
      </c>
      <c r="W419" s="16" t="s">
        <v>1240</v>
      </c>
      <c r="X419" s="16" t="s">
        <v>934</v>
      </c>
      <c r="Y419" s="16" t="s">
        <v>934</v>
      </c>
      <c r="Z419" s="16" t="s">
        <v>935</v>
      </c>
      <c r="DA419" s="405" t="s">
        <v>5</v>
      </c>
      <c r="DB419" s="405" t="s">
        <v>363</v>
      </c>
      <c r="DC419" s="406" t="s">
        <v>85</v>
      </c>
      <c r="DD419" s="405" t="s">
        <v>917</v>
      </c>
      <c r="DE419" s="405" t="s">
        <v>5</v>
      </c>
      <c r="DF419" s="406" t="s">
        <v>85</v>
      </c>
      <c r="DG419" s="407">
        <v>45847</v>
      </c>
      <c r="DH419" s="405" t="s">
        <v>7267</v>
      </c>
      <c r="DI419" s="406">
        <v>465455</v>
      </c>
      <c r="DJ419" s="408">
        <v>5</v>
      </c>
      <c r="DK419" s="405">
        <v>1</v>
      </c>
      <c r="DL419" s="82">
        <v>383.16</v>
      </c>
      <c r="DM419" s="409">
        <v>1.9158000000000002</v>
      </c>
      <c r="DN419" s="82" t="s">
        <v>85</v>
      </c>
      <c r="DO419" s="82" t="s">
        <v>85</v>
      </c>
      <c r="DP419" s="410" t="s">
        <v>85</v>
      </c>
    </row>
    <row r="420" spans="1:120" x14ac:dyDescent="0.25">
      <c r="A420" s="16" t="s">
        <v>7270</v>
      </c>
      <c r="B420" s="16" t="s">
        <v>7271</v>
      </c>
      <c r="C420" s="16" t="s">
        <v>7272</v>
      </c>
      <c r="D420" s="16" t="s">
        <v>7174</v>
      </c>
      <c r="E420" s="16" t="s">
        <v>7273</v>
      </c>
      <c r="F420" s="16" t="s">
        <v>7274</v>
      </c>
      <c r="G420" s="16" t="s">
        <v>7275</v>
      </c>
      <c r="H420" s="16" t="s">
        <v>7274</v>
      </c>
      <c r="I420" s="16" t="s">
        <v>3239</v>
      </c>
      <c r="J420" s="16" t="s">
        <v>1123</v>
      </c>
      <c r="K420" s="16" t="s">
        <v>3240</v>
      </c>
      <c r="L420" s="16" t="s">
        <v>85</v>
      </c>
      <c r="M420" s="16" t="s">
        <v>1238</v>
      </c>
      <c r="N420" s="16" t="s">
        <v>914</v>
      </c>
      <c r="O420" s="16" t="s">
        <v>1239</v>
      </c>
      <c r="P420" s="16" t="s">
        <v>914</v>
      </c>
      <c r="Q420" s="16" t="s">
        <v>1239</v>
      </c>
      <c r="R420" s="16" t="s">
        <v>915</v>
      </c>
      <c r="S420" s="16" t="s">
        <v>915</v>
      </c>
      <c r="T420" s="16" t="s">
        <v>1238</v>
      </c>
      <c r="U420" s="16" t="s">
        <v>1240</v>
      </c>
      <c r="V420" s="16" t="s">
        <v>916</v>
      </c>
      <c r="W420" s="16" t="s">
        <v>1240</v>
      </c>
      <c r="X420" s="16" t="s">
        <v>934</v>
      </c>
      <c r="Y420" s="16" t="s">
        <v>934</v>
      </c>
      <c r="Z420" s="16" t="s">
        <v>935</v>
      </c>
      <c r="DA420" s="405" t="s">
        <v>5</v>
      </c>
      <c r="DB420" s="405" t="s">
        <v>363</v>
      </c>
      <c r="DC420" s="406" t="s">
        <v>85</v>
      </c>
      <c r="DD420" s="405" t="s">
        <v>917</v>
      </c>
      <c r="DE420" s="405" t="s">
        <v>5</v>
      </c>
      <c r="DF420" s="406" t="s">
        <v>85</v>
      </c>
      <c r="DG420" s="407">
        <v>45847</v>
      </c>
      <c r="DH420" s="405" t="s">
        <v>7273</v>
      </c>
      <c r="DI420" s="406">
        <v>465455</v>
      </c>
      <c r="DJ420" s="408">
        <v>5</v>
      </c>
      <c r="DK420" s="405">
        <v>1</v>
      </c>
      <c r="DL420" s="82">
        <v>383.16</v>
      </c>
      <c r="DM420" s="409">
        <v>1.9158000000000002</v>
      </c>
      <c r="DN420" s="82" t="s">
        <v>85</v>
      </c>
      <c r="DO420" s="82" t="s">
        <v>85</v>
      </c>
      <c r="DP420" s="410" t="s">
        <v>85</v>
      </c>
    </row>
    <row r="421" spans="1:120" x14ac:dyDescent="0.25">
      <c r="A421" s="16" t="s">
        <v>7276</v>
      </c>
      <c r="B421" s="16" t="s">
        <v>7277</v>
      </c>
      <c r="C421" s="16" t="s">
        <v>7278</v>
      </c>
      <c r="D421" s="16" t="s">
        <v>7174</v>
      </c>
      <c r="E421" s="16" t="s">
        <v>7279</v>
      </c>
      <c r="F421" s="16" t="s">
        <v>7280</v>
      </c>
      <c r="G421" s="16" t="s">
        <v>7281</v>
      </c>
      <c r="H421" s="16" t="s">
        <v>7280</v>
      </c>
      <c r="I421" s="16" t="s">
        <v>5464</v>
      </c>
      <c r="J421" s="16" t="s">
        <v>943</v>
      </c>
      <c r="K421" s="16" t="s">
        <v>5465</v>
      </c>
      <c r="L421" s="16" t="s">
        <v>85</v>
      </c>
      <c r="M421" s="16" t="s">
        <v>984</v>
      </c>
      <c r="N421" s="16" t="s">
        <v>914</v>
      </c>
      <c r="O421" s="16" t="s">
        <v>985</v>
      </c>
      <c r="P421" s="16" t="s">
        <v>914</v>
      </c>
      <c r="Q421" s="16" t="s">
        <v>985</v>
      </c>
      <c r="R421" s="16" t="s">
        <v>915</v>
      </c>
      <c r="S421" s="16" t="s">
        <v>915</v>
      </c>
      <c r="T421" s="16" t="s">
        <v>986</v>
      </c>
      <c r="U421" s="16" t="s">
        <v>987</v>
      </c>
      <c r="V421" s="16" t="s">
        <v>916</v>
      </c>
      <c r="W421" s="16" t="s">
        <v>987</v>
      </c>
      <c r="X421" s="16" t="s">
        <v>934</v>
      </c>
      <c r="Y421" s="16" t="s">
        <v>934</v>
      </c>
      <c r="Z421" s="16" t="s">
        <v>935</v>
      </c>
      <c r="DA421" s="405" t="s">
        <v>5</v>
      </c>
      <c r="DB421" s="405" t="s">
        <v>363</v>
      </c>
      <c r="DC421" s="406" t="s">
        <v>85</v>
      </c>
      <c r="DD421" s="405" t="s">
        <v>917</v>
      </c>
      <c r="DE421" s="405" t="s">
        <v>5</v>
      </c>
      <c r="DF421" s="406" t="s">
        <v>85</v>
      </c>
      <c r="DG421" s="407">
        <v>45847</v>
      </c>
      <c r="DH421" s="405" t="s">
        <v>7279</v>
      </c>
      <c r="DI421" s="406">
        <v>465455</v>
      </c>
      <c r="DJ421" s="408">
        <v>5</v>
      </c>
      <c r="DK421" s="405">
        <v>1</v>
      </c>
      <c r="DL421" s="82">
        <v>340.55</v>
      </c>
      <c r="DM421" s="409">
        <v>1.70275</v>
      </c>
      <c r="DN421" s="82" t="s">
        <v>85</v>
      </c>
      <c r="DO421" s="82" t="s">
        <v>85</v>
      </c>
      <c r="DP421" s="410" t="s">
        <v>85</v>
      </c>
    </row>
    <row r="422" spans="1:120" x14ac:dyDescent="0.25">
      <c r="A422" s="16" t="s">
        <v>7282</v>
      </c>
      <c r="B422" s="16" t="s">
        <v>7283</v>
      </c>
      <c r="C422" s="16" t="s">
        <v>7284</v>
      </c>
      <c r="D422" s="16" t="s">
        <v>7174</v>
      </c>
      <c r="E422" s="16" t="s">
        <v>7285</v>
      </c>
      <c r="F422" s="16" t="s">
        <v>7286</v>
      </c>
      <c r="G422" s="16" t="s">
        <v>7287</v>
      </c>
      <c r="H422" s="16" t="s">
        <v>7288</v>
      </c>
      <c r="I422" s="16" t="s">
        <v>4789</v>
      </c>
      <c r="J422" s="16" t="s">
        <v>928</v>
      </c>
      <c r="K422" s="16" t="s">
        <v>4790</v>
      </c>
      <c r="L422" s="16" t="s">
        <v>85</v>
      </c>
      <c r="M422" s="16" t="s">
        <v>1322</v>
      </c>
      <c r="N422" s="16" t="s">
        <v>914</v>
      </c>
      <c r="O422" s="16" t="s">
        <v>1323</v>
      </c>
      <c r="P422" s="16" t="s">
        <v>914</v>
      </c>
      <c r="Q422" s="16" t="s">
        <v>1323</v>
      </c>
      <c r="R422" s="16" t="s">
        <v>915</v>
      </c>
      <c r="S422" s="16" t="s">
        <v>915</v>
      </c>
      <c r="T422" s="16" t="s">
        <v>1322</v>
      </c>
      <c r="U422" s="16" t="s">
        <v>1324</v>
      </c>
      <c r="V422" s="16" t="s">
        <v>916</v>
      </c>
      <c r="W422" s="16" t="s">
        <v>1324</v>
      </c>
      <c r="X422" s="16" t="s">
        <v>934</v>
      </c>
      <c r="Y422" s="16" t="s">
        <v>934</v>
      </c>
      <c r="Z422" s="16" t="s">
        <v>935</v>
      </c>
      <c r="DA422" s="405" t="s">
        <v>5</v>
      </c>
      <c r="DB422" s="405" t="s">
        <v>363</v>
      </c>
      <c r="DC422" s="406" t="s">
        <v>85</v>
      </c>
      <c r="DD422" s="405" t="s">
        <v>917</v>
      </c>
      <c r="DE422" s="405" t="s">
        <v>5</v>
      </c>
      <c r="DF422" s="406" t="s">
        <v>85</v>
      </c>
      <c r="DG422" s="407">
        <v>45847</v>
      </c>
      <c r="DH422" s="405" t="s">
        <v>7285</v>
      </c>
      <c r="DI422" s="406">
        <v>465455</v>
      </c>
      <c r="DJ422" s="408">
        <v>5</v>
      </c>
      <c r="DK422" s="405">
        <v>1</v>
      </c>
      <c r="DL422" s="82">
        <v>332.47</v>
      </c>
      <c r="DM422" s="409">
        <v>1.6623500000000002</v>
      </c>
      <c r="DN422" s="82" t="s">
        <v>85</v>
      </c>
      <c r="DO422" s="82" t="s">
        <v>85</v>
      </c>
      <c r="DP422" s="410" t="s">
        <v>85</v>
      </c>
    </row>
    <row r="423" spans="1:120" x14ac:dyDescent="0.25">
      <c r="A423" s="16" t="s">
        <v>7289</v>
      </c>
      <c r="B423" s="16" t="s">
        <v>7290</v>
      </c>
      <c r="C423" s="16" t="s">
        <v>7291</v>
      </c>
      <c r="D423" s="16" t="s">
        <v>7174</v>
      </c>
      <c r="E423" s="16" t="s">
        <v>7292</v>
      </c>
      <c r="F423" s="16" t="s">
        <v>7293</v>
      </c>
      <c r="G423" s="16" t="s">
        <v>7294</v>
      </c>
      <c r="H423" s="16" t="s">
        <v>7295</v>
      </c>
      <c r="I423" s="16" t="s">
        <v>1227</v>
      </c>
      <c r="J423" s="16" t="s">
        <v>928</v>
      </c>
      <c r="K423" s="16" t="s">
        <v>1228</v>
      </c>
      <c r="L423" s="16" t="s">
        <v>85</v>
      </c>
      <c r="M423" s="16" t="s">
        <v>1322</v>
      </c>
      <c r="N423" s="16" t="s">
        <v>914</v>
      </c>
      <c r="O423" s="16" t="s">
        <v>1323</v>
      </c>
      <c r="P423" s="16" t="s">
        <v>914</v>
      </c>
      <c r="Q423" s="16" t="s">
        <v>1323</v>
      </c>
      <c r="R423" s="16" t="s">
        <v>915</v>
      </c>
      <c r="S423" s="16" t="s">
        <v>915</v>
      </c>
      <c r="T423" s="16" t="s">
        <v>1322</v>
      </c>
      <c r="U423" s="16" t="s">
        <v>1324</v>
      </c>
      <c r="V423" s="16" t="s">
        <v>916</v>
      </c>
      <c r="W423" s="16" t="s">
        <v>1324</v>
      </c>
      <c r="X423" s="16" t="s">
        <v>934</v>
      </c>
      <c r="Y423" s="16" t="s">
        <v>934</v>
      </c>
      <c r="Z423" s="16" t="s">
        <v>935</v>
      </c>
      <c r="DA423" s="405" t="s">
        <v>5</v>
      </c>
      <c r="DB423" s="405" t="s">
        <v>363</v>
      </c>
      <c r="DC423" s="406" t="s">
        <v>85</v>
      </c>
      <c r="DD423" s="405" t="s">
        <v>917</v>
      </c>
      <c r="DE423" s="405" t="s">
        <v>5</v>
      </c>
      <c r="DF423" s="406" t="s">
        <v>85</v>
      </c>
      <c r="DG423" s="407">
        <v>45847</v>
      </c>
      <c r="DH423" s="405" t="s">
        <v>7292</v>
      </c>
      <c r="DI423" s="406">
        <v>465455</v>
      </c>
      <c r="DJ423" s="408">
        <v>5</v>
      </c>
      <c r="DK423" s="405">
        <v>1</v>
      </c>
      <c r="DL423" s="82">
        <v>332.47</v>
      </c>
      <c r="DM423" s="409">
        <v>1.6623500000000002</v>
      </c>
      <c r="DN423" s="82" t="s">
        <v>85</v>
      </c>
      <c r="DO423" s="82" t="s">
        <v>85</v>
      </c>
      <c r="DP423" s="410" t="s">
        <v>85</v>
      </c>
    </row>
    <row r="424" spans="1:120" x14ac:dyDescent="0.25">
      <c r="A424" s="16" t="s">
        <v>7296</v>
      </c>
      <c r="B424" s="16" t="s">
        <v>7297</v>
      </c>
      <c r="C424" s="16" t="s">
        <v>7298</v>
      </c>
      <c r="D424" s="16" t="s">
        <v>7174</v>
      </c>
      <c r="E424" s="16" t="s">
        <v>7299</v>
      </c>
      <c r="F424" s="16" t="s">
        <v>7300</v>
      </c>
      <c r="G424" s="16" t="s">
        <v>7301</v>
      </c>
      <c r="H424" s="16" t="s">
        <v>7300</v>
      </c>
      <c r="I424" s="16" t="s">
        <v>1914</v>
      </c>
      <c r="J424" s="16" t="s">
        <v>928</v>
      </c>
      <c r="K424" s="16" t="s">
        <v>1915</v>
      </c>
      <c r="L424" s="16" t="s">
        <v>85</v>
      </c>
      <c r="M424" s="16" t="s">
        <v>1322</v>
      </c>
      <c r="N424" s="16" t="s">
        <v>914</v>
      </c>
      <c r="O424" s="16" t="s">
        <v>1323</v>
      </c>
      <c r="P424" s="16" t="s">
        <v>914</v>
      </c>
      <c r="Q424" s="16" t="s">
        <v>1323</v>
      </c>
      <c r="R424" s="16" t="s">
        <v>915</v>
      </c>
      <c r="S424" s="16" t="s">
        <v>915</v>
      </c>
      <c r="T424" s="16" t="s">
        <v>1322</v>
      </c>
      <c r="U424" s="16" t="s">
        <v>1324</v>
      </c>
      <c r="V424" s="16" t="s">
        <v>916</v>
      </c>
      <c r="W424" s="16" t="s">
        <v>1324</v>
      </c>
      <c r="X424" s="16" t="s">
        <v>934</v>
      </c>
      <c r="Y424" s="16" t="s">
        <v>934</v>
      </c>
      <c r="Z424" s="16" t="s">
        <v>935</v>
      </c>
      <c r="DA424" s="405" t="s">
        <v>5</v>
      </c>
      <c r="DB424" s="405" t="s">
        <v>363</v>
      </c>
      <c r="DC424" s="406" t="s">
        <v>85</v>
      </c>
      <c r="DD424" s="405" t="s">
        <v>917</v>
      </c>
      <c r="DE424" s="405" t="s">
        <v>5</v>
      </c>
      <c r="DF424" s="406" t="s">
        <v>85</v>
      </c>
      <c r="DG424" s="407">
        <v>45847</v>
      </c>
      <c r="DH424" s="405" t="s">
        <v>7299</v>
      </c>
      <c r="DI424" s="406">
        <v>465455</v>
      </c>
      <c r="DJ424" s="408">
        <v>5</v>
      </c>
      <c r="DK424" s="405">
        <v>1</v>
      </c>
      <c r="DL424" s="82">
        <v>332.47</v>
      </c>
      <c r="DM424" s="409">
        <v>1.6623500000000002</v>
      </c>
      <c r="DN424" s="82" t="s">
        <v>85</v>
      </c>
      <c r="DO424" s="82" t="s">
        <v>85</v>
      </c>
      <c r="DP424" s="410" t="s">
        <v>85</v>
      </c>
    </row>
    <row r="425" spans="1:120" x14ac:dyDescent="0.25">
      <c r="A425" s="16" t="s">
        <v>7302</v>
      </c>
      <c r="B425" s="16" t="s">
        <v>7303</v>
      </c>
      <c r="C425" s="16" t="s">
        <v>7304</v>
      </c>
      <c r="D425" s="16" t="s">
        <v>7174</v>
      </c>
      <c r="E425" s="16" t="s">
        <v>7305</v>
      </c>
      <c r="F425" s="16" t="s">
        <v>7306</v>
      </c>
      <c r="G425" s="16" t="s">
        <v>7307</v>
      </c>
      <c r="H425" s="16" t="s">
        <v>7306</v>
      </c>
      <c r="I425" s="16" t="s">
        <v>7308</v>
      </c>
      <c r="J425" s="16" t="s">
        <v>928</v>
      </c>
      <c r="K425" s="16" t="s">
        <v>7309</v>
      </c>
      <c r="L425" s="16" t="s">
        <v>85</v>
      </c>
      <c r="M425" s="16" t="s">
        <v>1322</v>
      </c>
      <c r="N425" s="16" t="s">
        <v>914</v>
      </c>
      <c r="O425" s="16" t="s">
        <v>1323</v>
      </c>
      <c r="P425" s="16" t="s">
        <v>914</v>
      </c>
      <c r="Q425" s="16" t="s">
        <v>1323</v>
      </c>
      <c r="R425" s="16" t="s">
        <v>915</v>
      </c>
      <c r="S425" s="16" t="s">
        <v>915</v>
      </c>
      <c r="T425" s="16" t="s">
        <v>1322</v>
      </c>
      <c r="U425" s="16" t="s">
        <v>1324</v>
      </c>
      <c r="V425" s="16" t="s">
        <v>916</v>
      </c>
      <c r="W425" s="16" t="s">
        <v>1324</v>
      </c>
      <c r="X425" s="16" t="s">
        <v>934</v>
      </c>
      <c r="Y425" s="16" t="s">
        <v>934</v>
      </c>
      <c r="Z425" s="16" t="s">
        <v>935</v>
      </c>
      <c r="DA425" s="405" t="s">
        <v>5</v>
      </c>
      <c r="DB425" s="405" t="s">
        <v>363</v>
      </c>
      <c r="DC425" s="406" t="s">
        <v>85</v>
      </c>
      <c r="DD425" s="405" t="s">
        <v>917</v>
      </c>
      <c r="DE425" s="405" t="s">
        <v>5</v>
      </c>
      <c r="DF425" s="406" t="s">
        <v>85</v>
      </c>
      <c r="DG425" s="407">
        <v>45847</v>
      </c>
      <c r="DH425" s="405" t="s">
        <v>7305</v>
      </c>
      <c r="DI425" s="406">
        <v>465455</v>
      </c>
      <c r="DJ425" s="408">
        <v>5</v>
      </c>
      <c r="DK425" s="405">
        <v>1</v>
      </c>
      <c r="DL425" s="82">
        <v>332.47</v>
      </c>
      <c r="DM425" s="409">
        <v>1.6623500000000002</v>
      </c>
      <c r="DN425" s="82" t="s">
        <v>85</v>
      </c>
      <c r="DO425" s="82" t="s">
        <v>85</v>
      </c>
      <c r="DP425" s="410" t="s">
        <v>85</v>
      </c>
    </row>
    <row r="426" spans="1:120" x14ac:dyDescent="0.25">
      <c r="A426" s="16" t="s">
        <v>7310</v>
      </c>
      <c r="B426" s="16" t="s">
        <v>7311</v>
      </c>
      <c r="C426" s="16" t="s">
        <v>7312</v>
      </c>
      <c r="D426" s="16" t="s">
        <v>7174</v>
      </c>
      <c r="E426" s="16" t="s">
        <v>7313</v>
      </c>
      <c r="F426" s="16" t="s">
        <v>7314</v>
      </c>
      <c r="G426" s="16" t="s">
        <v>7315</v>
      </c>
      <c r="H426" s="16" t="s">
        <v>7314</v>
      </c>
      <c r="I426" s="16" t="s">
        <v>968</v>
      </c>
      <c r="J426" s="16" t="s">
        <v>943</v>
      </c>
      <c r="K426" s="16" t="s">
        <v>969</v>
      </c>
      <c r="L426" s="16" t="s">
        <v>85</v>
      </c>
      <c r="M426" s="16" t="s">
        <v>984</v>
      </c>
      <c r="N426" s="16" t="s">
        <v>914</v>
      </c>
      <c r="O426" s="16" t="s">
        <v>985</v>
      </c>
      <c r="P426" s="16" t="s">
        <v>914</v>
      </c>
      <c r="Q426" s="16" t="s">
        <v>985</v>
      </c>
      <c r="R426" s="16" t="s">
        <v>915</v>
      </c>
      <c r="S426" s="16" t="s">
        <v>915</v>
      </c>
      <c r="T426" s="16" t="s">
        <v>986</v>
      </c>
      <c r="U426" s="16" t="s">
        <v>987</v>
      </c>
      <c r="V426" s="16" t="s">
        <v>916</v>
      </c>
      <c r="W426" s="16" t="s">
        <v>987</v>
      </c>
      <c r="X426" s="16" t="s">
        <v>934</v>
      </c>
      <c r="Y426" s="16" t="s">
        <v>934</v>
      </c>
      <c r="Z426" s="16" t="s">
        <v>935</v>
      </c>
      <c r="DA426" s="405" t="s">
        <v>5</v>
      </c>
      <c r="DB426" s="405" t="s">
        <v>363</v>
      </c>
      <c r="DC426" s="406" t="s">
        <v>85</v>
      </c>
      <c r="DD426" s="405" t="s">
        <v>917</v>
      </c>
      <c r="DE426" s="405" t="s">
        <v>5</v>
      </c>
      <c r="DF426" s="406" t="s">
        <v>85</v>
      </c>
      <c r="DG426" s="407">
        <v>45847</v>
      </c>
      <c r="DH426" s="405" t="s">
        <v>7313</v>
      </c>
      <c r="DI426" s="406">
        <v>465455</v>
      </c>
      <c r="DJ426" s="408">
        <v>5</v>
      </c>
      <c r="DK426" s="405">
        <v>1</v>
      </c>
      <c r="DL426" s="82">
        <v>340.55</v>
      </c>
      <c r="DM426" s="409">
        <v>1.70275</v>
      </c>
      <c r="DN426" s="82" t="s">
        <v>85</v>
      </c>
      <c r="DO426" s="82" t="s">
        <v>85</v>
      </c>
      <c r="DP426" s="410" t="s">
        <v>85</v>
      </c>
    </row>
    <row r="427" spans="1:120" x14ac:dyDescent="0.25">
      <c r="A427" s="16" t="s">
        <v>7316</v>
      </c>
      <c r="B427" s="16" t="s">
        <v>7317</v>
      </c>
      <c r="C427" s="16" t="s">
        <v>7318</v>
      </c>
      <c r="D427" s="16" t="s">
        <v>7174</v>
      </c>
      <c r="E427" s="16" t="s">
        <v>7319</v>
      </c>
      <c r="F427" s="16" t="s">
        <v>7320</v>
      </c>
      <c r="G427" s="16" t="s">
        <v>7321</v>
      </c>
      <c r="H427" s="16" t="s">
        <v>7322</v>
      </c>
      <c r="I427" s="16" t="s">
        <v>1781</v>
      </c>
      <c r="J427" s="16" t="s">
        <v>995</v>
      </c>
      <c r="K427" s="16" t="s">
        <v>1782</v>
      </c>
      <c r="L427" s="16" t="s">
        <v>85</v>
      </c>
      <c r="M427" s="16" t="s">
        <v>1165</v>
      </c>
      <c r="N427" s="16" t="s">
        <v>914</v>
      </c>
      <c r="O427" s="16" t="s">
        <v>1166</v>
      </c>
      <c r="P427" s="16" t="s">
        <v>914</v>
      </c>
      <c r="Q427" s="16" t="s">
        <v>1166</v>
      </c>
      <c r="R427" s="16" t="s">
        <v>915</v>
      </c>
      <c r="S427" s="16" t="s">
        <v>915</v>
      </c>
      <c r="T427" s="16" t="s">
        <v>1167</v>
      </c>
      <c r="U427" s="16" t="s">
        <v>1168</v>
      </c>
      <c r="V427" s="16" t="s">
        <v>916</v>
      </c>
      <c r="W427" s="16" t="s">
        <v>1168</v>
      </c>
      <c r="X427" s="16" t="s">
        <v>934</v>
      </c>
      <c r="Y427" s="16" t="s">
        <v>934</v>
      </c>
      <c r="Z427" s="16" t="s">
        <v>935</v>
      </c>
      <c r="DA427" s="405" t="s">
        <v>5</v>
      </c>
      <c r="DB427" s="405" t="s">
        <v>363</v>
      </c>
      <c r="DC427" s="406" t="s">
        <v>85</v>
      </c>
      <c r="DD427" s="405" t="s">
        <v>917</v>
      </c>
      <c r="DE427" s="405" t="s">
        <v>5</v>
      </c>
      <c r="DF427" s="406" t="s">
        <v>85</v>
      </c>
      <c r="DG427" s="407">
        <v>45847</v>
      </c>
      <c r="DH427" s="405" t="s">
        <v>7319</v>
      </c>
      <c r="DI427" s="406">
        <v>465455</v>
      </c>
      <c r="DJ427" s="408">
        <v>5</v>
      </c>
      <c r="DK427" s="405">
        <v>1</v>
      </c>
      <c r="DL427" s="82">
        <v>468.28</v>
      </c>
      <c r="DM427" s="409">
        <v>2.3413999999999997</v>
      </c>
      <c r="DN427" s="82" t="s">
        <v>85</v>
      </c>
      <c r="DO427" s="82" t="s">
        <v>85</v>
      </c>
      <c r="DP427" s="410" t="s">
        <v>85</v>
      </c>
    </row>
    <row r="428" spans="1:120" x14ac:dyDescent="0.25">
      <c r="A428" s="16" t="s">
        <v>7323</v>
      </c>
      <c r="B428" s="16" t="s">
        <v>7324</v>
      </c>
      <c r="C428" s="16" t="s">
        <v>7325</v>
      </c>
      <c r="D428" s="16" t="s">
        <v>7174</v>
      </c>
      <c r="E428" s="16" t="s">
        <v>7326</v>
      </c>
      <c r="F428" s="16" t="s">
        <v>7327</v>
      </c>
      <c r="G428" s="16" t="s">
        <v>7328</v>
      </c>
      <c r="H428" s="16" t="s">
        <v>7329</v>
      </c>
      <c r="I428" s="16" t="s">
        <v>4273</v>
      </c>
      <c r="J428" s="16" t="s">
        <v>943</v>
      </c>
      <c r="K428" s="16" t="s">
        <v>4274</v>
      </c>
      <c r="L428" s="16" t="s">
        <v>85</v>
      </c>
      <c r="M428" s="16" t="s">
        <v>984</v>
      </c>
      <c r="N428" s="16" t="s">
        <v>914</v>
      </c>
      <c r="O428" s="16" t="s">
        <v>985</v>
      </c>
      <c r="P428" s="16" t="s">
        <v>914</v>
      </c>
      <c r="Q428" s="16" t="s">
        <v>985</v>
      </c>
      <c r="R428" s="16" t="s">
        <v>915</v>
      </c>
      <c r="S428" s="16" t="s">
        <v>915</v>
      </c>
      <c r="T428" s="16" t="s">
        <v>986</v>
      </c>
      <c r="U428" s="16" t="s">
        <v>987</v>
      </c>
      <c r="V428" s="16" t="s">
        <v>916</v>
      </c>
      <c r="W428" s="16" t="s">
        <v>987</v>
      </c>
      <c r="X428" s="16" t="s">
        <v>934</v>
      </c>
      <c r="Y428" s="16" t="s">
        <v>934</v>
      </c>
      <c r="Z428" s="16" t="s">
        <v>935</v>
      </c>
      <c r="DA428" s="405" t="s">
        <v>5</v>
      </c>
      <c r="DB428" s="405" t="s">
        <v>363</v>
      </c>
      <c r="DC428" s="406" t="s">
        <v>85</v>
      </c>
      <c r="DD428" s="405" t="s">
        <v>917</v>
      </c>
      <c r="DE428" s="405" t="s">
        <v>5</v>
      </c>
      <c r="DF428" s="406" t="s">
        <v>85</v>
      </c>
      <c r="DG428" s="407">
        <v>45847</v>
      </c>
      <c r="DH428" s="405" t="s">
        <v>7326</v>
      </c>
      <c r="DI428" s="406">
        <v>465455</v>
      </c>
      <c r="DJ428" s="408">
        <v>5</v>
      </c>
      <c r="DK428" s="405">
        <v>1</v>
      </c>
      <c r="DL428" s="82">
        <v>340.55</v>
      </c>
      <c r="DM428" s="409">
        <v>1.70275</v>
      </c>
      <c r="DN428" s="82" t="s">
        <v>85</v>
      </c>
      <c r="DO428" s="82" t="s">
        <v>85</v>
      </c>
      <c r="DP428" s="410" t="s">
        <v>85</v>
      </c>
    </row>
    <row r="429" spans="1:120" x14ac:dyDescent="0.25">
      <c r="A429" s="16" t="s">
        <v>7330</v>
      </c>
      <c r="B429" s="16" t="s">
        <v>7331</v>
      </c>
      <c r="C429" s="16" t="s">
        <v>7332</v>
      </c>
      <c r="D429" s="16" t="s">
        <v>7174</v>
      </c>
      <c r="E429" s="16" t="s">
        <v>7333</v>
      </c>
      <c r="F429" s="16" t="s">
        <v>7334</v>
      </c>
      <c r="G429" s="16" t="s">
        <v>7335</v>
      </c>
      <c r="H429" s="16" t="s">
        <v>7334</v>
      </c>
      <c r="I429" s="16" t="s">
        <v>1099</v>
      </c>
      <c r="J429" s="16" t="s">
        <v>943</v>
      </c>
      <c r="K429" s="16" t="s">
        <v>1100</v>
      </c>
      <c r="L429" s="16" t="s">
        <v>85</v>
      </c>
      <c r="M429" s="16" t="s">
        <v>3454</v>
      </c>
      <c r="N429" s="16" t="s">
        <v>914</v>
      </c>
      <c r="O429" s="16" t="s">
        <v>985</v>
      </c>
      <c r="P429" s="16" t="s">
        <v>914</v>
      </c>
      <c r="Q429" s="16" t="s">
        <v>985</v>
      </c>
      <c r="R429" s="16" t="s">
        <v>915</v>
      </c>
      <c r="S429" s="16" t="s">
        <v>915</v>
      </c>
      <c r="T429" s="16" t="s">
        <v>986</v>
      </c>
      <c r="U429" s="16" t="s">
        <v>987</v>
      </c>
      <c r="V429" s="16" t="s">
        <v>1763</v>
      </c>
      <c r="W429" s="16" t="s">
        <v>3455</v>
      </c>
      <c r="X429" s="16" t="s">
        <v>934</v>
      </c>
      <c r="Y429" s="16" t="s">
        <v>934</v>
      </c>
      <c r="Z429" s="16" t="s">
        <v>935</v>
      </c>
      <c r="DA429" s="405" t="s">
        <v>5</v>
      </c>
      <c r="DB429" s="405" t="s">
        <v>363</v>
      </c>
      <c r="DC429" s="406" t="s">
        <v>85</v>
      </c>
      <c r="DD429" s="405" t="s">
        <v>917</v>
      </c>
      <c r="DE429" s="405" t="s">
        <v>5</v>
      </c>
      <c r="DF429" s="406" t="s">
        <v>85</v>
      </c>
      <c r="DG429" s="407">
        <v>45847</v>
      </c>
      <c r="DH429" s="405" t="s">
        <v>7333</v>
      </c>
      <c r="DI429" s="406">
        <v>465455</v>
      </c>
      <c r="DJ429" s="408">
        <v>5</v>
      </c>
      <c r="DK429" s="405">
        <v>2</v>
      </c>
      <c r="DL429" s="82">
        <v>340.55</v>
      </c>
      <c r="DM429" s="409">
        <v>1.70275</v>
      </c>
      <c r="DN429" s="82" t="s">
        <v>85</v>
      </c>
      <c r="DO429" s="82" t="s">
        <v>85</v>
      </c>
      <c r="DP429" s="410" t="s">
        <v>85</v>
      </c>
    </row>
    <row r="430" spans="1:120" x14ac:dyDescent="0.25">
      <c r="A430" s="16" t="s">
        <v>7330</v>
      </c>
      <c r="B430" s="16" t="s">
        <v>7331</v>
      </c>
      <c r="C430" s="16" t="s">
        <v>7332</v>
      </c>
      <c r="D430" s="16" t="s">
        <v>7174</v>
      </c>
      <c r="E430" s="16" t="s">
        <v>7333</v>
      </c>
      <c r="F430" s="16" t="s">
        <v>7334</v>
      </c>
      <c r="G430" s="16" t="s">
        <v>7335</v>
      </c>
      <c r="H430" s="16" t="s">
        <v>7334</v>
      </c>
      <c r="I430" s="16" t="s">
        <v>1287</v>
      </c>
      <c r="J430" s="16" t="s">
        <v>943</v>
      </c>
      <c r="K430" s="16" t="s">
        <v>1288</v>
      </c>
      <c r="L430" s="16" t="s">
        <v>85</v>
      </c>
      <c r="M430" s="16" t="s">
        <v>984</v>
      </c>
      <c r="N430" s="16" t="s">
        <v>914</v>
      </c>
      <c r="O430" s="16" t="s">
        <v>985</v>
      </c>
      <c r="P430" s="16" t="s">
        <v>914</v>
      </c>
      <c r="Q430" s="16" t="s">
        <v>985</v>
      </c>
      <c r="R430" s="16" t="s">
        <v>915</v>
      </c>
      <c r="S430" s="16" t="s">
        <v>915</v>
      </c>
      <c r="T430" s="16" t="s">
        <v>986</v>
      </c>
      <c r="U430" s="16" t="s">
        <v>987</v>
      </c>
      <c r="V430" s="16" t="s">
        <v>916</v>
      </c>
      <c r="W430" s="16" t="s">
        <v>987</v>
      </c>
      <c r="X430" s="16" t="s">
        <v>934</v>
      </c>
      <c r="Y430" s="16" t="s">
        <v>934</v>
      </c>
      <c r="Z430" s="16" t="s">
        <v>935</v>
      </c>
      <c r="DA430" s="405" t="s">
        <v>5</v>
      </c>
      <c r="DB430" s="405" t="s">
        <v>363</v>
      </c>
      <c r="DC430" s="406" t="s">
        <v>85</v>
      </c>
      <c r="DD430" s="405" t="s">
        <v>917</v>
      </c>
      <c r="DE430" s="405" t="s">
        <v>5</v>
      </c>
      <c r="DF430" s="406" t="s">
        <v>85</v>
      </c>
      <c r="DG430" s="407">
        <v>45847</v>
      </c>
      <c r="DH430" s="405" t="s">
        <v>7333</v>
      </c>
      <c r="DI430" s="406">
        <v>465455</v>
      </c>
      <c r="DJ430" s="408">
        <v>5</v>
      </c>
      <c r="DK430" s="405">
        <v>1</v>
      </c>
      <c r="DL430" s="82">
        <v>340.55</v>
      </c>
      <c r="DM430" s="409">
        <v>1.70275</v>
      </c>
      <c r="DN430" s="82" t="s">
        <v>85</v>
      </c>
      <c r="DO430" s="82" t="s">
        <v>85</v>
      </c>
      <c r="DP430" s="410" t="s">
        <v>85</v>
      </c>
    </row>
    <row r="431" spans="1:120" x14ac:dyDescent="0.25">
      <c r="A431" s="16" t="s">
        <v>7336</v>
      </c>
      <c r="B431" s="16" t="s">
        <v>7337</v>
      </c>
      <c r="C431" s="16" t="s">
        <v>7338</v>
      </c>
      <c r="D431" s="16" t="s">
        <v>7174</v>
      </c>
      <c r="E431" s="16" t="s">
        <v>7339</v>
      </c>
      <c r="F431" s="16" t="s">
        <v>7340</v>
      </c>
      <c r="G431" s="16" t="s">
        <v>7341</v>
      </c>
      <c r="H431" s="16" t="s">
        <v>7342</v>
      </c>
      <c r="I431" s="16" t="s">
        <v>1150</v>
      </c>
      <c r="J431" s="16" t="s">
        <v>943</v>
      </c>
      <c r="K431" s="16" t="s">
        <v>1151</v>
      </c>
      <c r="L431" s="16" t="s">
        <v>85</v>
      </c>
      <c r="M431" s="16" t="s">
        <v>984</v>
      </c>
      <c r="N431" s="16" t="s">
        <v>914</v>
      </c>
      <c r="O431" s="16" t="s">
        <v>985</v>
      </c>
      <c r="P431" s="16" t="s">
        <v>914</v>
      </c>
      <c r="Q431" s="16" t="s">
        <v>985</v>
      </c>
      <c r="R431" s="16" t="s">
        <v>915</v>
      </c>
      <c r="S431" s="16" t="s">
        <v>915</v>
      </c>
      <c r="T431" s="16" t="s">
        <v>986</v>
      </c>
      <c r="U431" s="16" t="s">
        <v>987</v>
      </c>
      <c r="V431" s="16" t="s">
        <v>916</v>
      </c>
      <c r="W431" s="16" t="s">
        <v>987</v>
      </c>
      <c r="X431" s="16" t="s">
        <v>934</v>
      </c>
      <c r="Y431" s="16" t="s">
        <v>934</v>
      </c>
      <c r="Z431" s="16" t="s">
        <v>935</v>
      </c>
      <c r="DA431" s="405" t="s">
        <v>5</v>
      </c>
      <c r="DB431" s="405" t="s">
        <v>363</v>
      </c>
      <c r="DC431" s="406" t="s">
        <v>85</v>
      </c>
      <c r="DD431" s="405" t="s">
        <v>917</v>
      </c>
      <c r="DE431" s="405" t="s">
        <v>5</v>
      </c>
      <c r="DF431" s="406" t="s">
        <v>85</v>
      </c>
      <c r="DG431" s="407">
        <v>45847</v>
      </c>
      <c r="DH431" s="405" t="s">
        <v>7339</v>
      </c>
      <c r="DI431" s="406">
        <v>465455</v>
      </c>
      <c r="DJ431" s="408">
        <v>5</v>
      </c>
      <c r="DK431" s="405">
        <v>1</v>
      </c>
      <c r="DL431" s="82">
        <v>340.55</v>
      </c>
      <c r="DM431" s="409">
        <v>1.70275</v>
      </c>
      <c r="DN431" s="82" t="s">
        <v>85</v>
      </c>
      <c r="DO431" s="82" t="s">
        <v>85</v>
      </c>
      <c r="DP431" s="410" t="s">
        <v>85</v>
      </c>
    </row>
    <row r="432" spans="1:120" x14ac:dyDescent="0.25">
      <c r="A432" s="16" t="s">
        <v>7343</v>
      </c>
      <c r="B432" s="16" t="s">
        <v>7344</v>
      </c>
      <c r="C432" s="16" t="s">
        <v>7345</v>
      </c>
      <c r="D432" s="16" t="s">
        <v>7174</v>
      </c>
      <c r="E432" s="16" t="s">
        <v>7346</v>
      </c>
      <c r="F432" s="16" t="s">
        <v>7347</v>
      </c>
      <c r="G432" s="16" t="s">
        <v>7348</v>
      </c>
      <c r="H432" s="16" t="s">
        <v>7347</v>
      </c>
      <c r="I432" s="16" t="s">
        <v>2473</v>
      </c>
      <c r="J432" s="16" t="s">
        <v>928</v>
      </c>
      <c r="K432" s="16" t="s">
        <v>2474</v>
      </c>
      <c r="L432" s="16" t="s">
        <v>85</v>
      </c>
      <c r="M432" s="16" t="s">
        <v>1322</v>
      </c>
      <c r="N432" s="16" t="s">
        <v>914</v>
      </c>
      <c r="O432" s="16" t="s">
        <v>1323</v>
      </c>
      <c r="P432" s="16" t="s">
        <v>914</v>
      </c>
      <c r="Q432" s="16" t="s">
        <v>1323</v>
      </c>
      <c r="R432" s="16" t="s">
        <v>915</v>
      </c>
      <c r="S432" s="16" t="s">
        <v>915</v>
      </c>
      <c r="T432" s="16" t="s">
        <v>1322</v>
      </c>
      <c r="U432" s="16" t="s">
        <v>1324</v>
      </c>
      <c r="V432" s="16" t="s">
        <v>916</v>
      </c>
      <c r="W432" s="16" t="s">
        <v>1324</v>
      </c>
      <c r="X432" s="16" t="s">
        <v>934</v>
      </c>
      <c r="Y432" s="16" t="s">
        <v>934</v>
      </c>
      <c r="Z432" s="16" t="s">
        <v>935</v>
      </c>
      <c r="DA432" s="405" t="s">
        <v>5</v>
      </c>
      <c r="DB432" s="405" t="s">
        <v>363</v>
      </c>
      <c r="DC432" s="406" t="s">
        <v>85</v>
      </c>
      <c r="DD432" s="405" t="s">
        <v>917</v>
      </c>
      <c r="DE432" s="405" t="s">
        <v>5</v>
      </c>
      <c r="DF432" s="406" t="s">
        <v>85</v>
      </c>
      <c r="DG432" s="407">
        <v>45847</v>
      </c>
      <c r="DH432" s="405" t="s">
        <v>7346</v>
      </c>
      <c r="DI432" s="406">
        <v>465455</v>
      </c>
      <c r="DJ432" s="408">
        <v>5</v>
      </c>
      <c r="DK432" s="405">
        <v>1</v>
      </c>
      <c r="DL432" s="82">
        <v>332.47</v>
      </c>
      <c r="DM432" s="409">
        <v>1.6623500000000002</v>
      </c>
      <c r="DN432" s="82" t="s">
        <v>85</v>
      </c>
      <c r="DO432" s="82" t="s">
        <v>85</v>
      </c>
      <c r="DP432" s="410" t="s">
        <v>85</v>
      </c>
    </row>
    <row r="433" spans="1:120" x14ac:dyDescent="0.25">
      <c r="A433" s="16" t="s">
        <v>7349</v>
      </c>
      <c r="B433" s="16" t="s">
        <v>7350</v>
      </c>
      <c r="C433" s="16" t="s">
        <v>7351</v>
      </c>
      <c r="D433" s="16" t="s">
        <v>7174</v>
      </c>
      <c r="E433" s="16" t="s">
        <v>7352</v>
      </c>
      <c r="F433" s="16" t="s">
        <v>7353</v>
      </c>
      <c r="G433" s="16" t="s">
        <v>7354</v>
      </c>
      <c r="H433" s="16" t="s">
        <v>7353</v>
      </c>
      <c r="I433" s="16" t="s">
        <v>3164</v>
      </c>
      <c r="J433" s="16" t="s">
        <v>995</v>
      </c>
      <c r="K433" s="16" t="s">
        <v>3165</v>
      </c>
      <c r="L433" s="16" t="s">
        <v>85</v>
      </c>
      <c r="M433" s="16" t="s">
        <v>1165</v>
      </c>
      <c r="N433" s="16" t="s">
        <v>914</v>
      </c>
      <c r="O433" s="16" t="s">
        <v>1166</v>
      </c>
      <c r="P433" s="16" t="s">
        <v>914</v>
      </c>
      <c r="Q433" s="16" t="s">
        <v>1166</v>
      </c>
      <c r="R433" s="16" t="s">
        <v>915</v>
      </c>
      <c r="S433" s="16" t="s">
        <v>915</v>
      </c>
      <c r="T433" s="16" t="s">
        <v>1167</v>
      </c>
      <c r="U433" s="16" t="s">
        <v>1168</v>
      </c>
      <c r="V433" s="16" t="s">
        <v>916</v>
      </c>
      <c r="W433" s="16" t="s">
        <v>1168</v>
      </c>
      <c r="X433" s="16" t="s">
        <v>934</v>
      </c>
      <c r="Y433" s="16" t="s">
        <v>934</v>
      </c>
      <c r="Z433" s="16" t="s">
        <v>935</v>
      </c>
      <c r="DA433" s="405" t="s">
        <v>5</v>
      </c>
      <c r="DB433" s="405" t="s">
        <v>363</v>
      </c>
      <c r="DC433" s="406" t="s">
        <v>85</v>
      </c>
      <c r="DD433" s="405" t="s">
        <v>917</v>
      </c>
      <c r="DE433" s="405" t="s">
        <v>5</v>
      </c>
      <c r="DF433" s="406" t="s">
        <v>85</v>
      </c>
      <c r="DG433" s="407">
        <v>45847</v>
      </c>
      <c r="DH433" s="405" t="s">
        <v>7352</v>
      </c>
      <c r="DI433" s="406">
        <v>465455</v>
      </c>
      <c r="DJ433" s="408">
        <v>5</v>
      </c>
      <c r="DK433" s="405">
        <v>1</v>
      </c>
      <c r="DL433" s="82">
        <v>468.28</v>
      </c>
      <c r="DM433" s="409">
        <v>2.3413999999999997</v>
      </c>
      <c r="DN433" s="82" t="s">
        <v>85</v>
      </c>
      <c r="DO433" s="82" t="s">
        <v>85</v>
      </c>
      <c r="DP433" s="410" t="s">
        <v>85</v>
      </c>
    </row>
    <row r="434" spans="1:120" x14ac:dyDescent="0.25">
      <c r="A434" s="16" t="s">
        <v>7355</v>
      </c>
      <c r="B434" s="16" t="s">
        <v>7356</v>
      </c>
      <c r="C434" s="16" t="s">
        <v>7357</v>
      </c>
      <c r="D434" s="16" t="s">
        <v>7174</v>
      </c>
      <c r="E434" s="16" t="s">
        <v>7358</v>
      </c>
      <c r="F434" s="16" t="s">
        <v>7359</v>
      </c>
      <c r="G434" s="16" t="s">
        <v>7360</v>
      </c>
      <c r="H434" s="16" t="s">
        <v>7361</v>
      </c>
      <c r="I434" s="16" t="s">
        <v>2750</v>
      </c>
      <c r="J434" s="16" t="s">
        <v>995</v>
      </c>
      <c r="K434" s="16" t="s">
        <v>2751</v>
      </c>
      <c r="L434" s="16" t="s">
        <v>85</v>
      </c>
      <c r="M434" s="16" t="s">
        <v>1165</v>
      </c>
      <c r="N434" s="16" t="s">
        <v>914</v>
      </c>
      <c r="O434" s="16" t="s">
        <v>1166</v>
      </c>
      <c r="P434" s="16" t="s">
        <v>914</v>
      </c>
      <c r="Q434" s="16" t="s">
        <v>1166</v>
      </c>
      <c r="R434" s="16" t="s">
        <v>915</v>
      </c>
      <c r="S434" s="16" t="s">
        <v>915</v>
      </c>
      <c r="T434" s="16" t="s">
        <v>1167</v>
      </c>
      <c r="U434" s="16" t="s">
        <v>1168</v>
      </c>
      <c r="V434" s="16" t="s">
        <v>916</v>
      </c>
      <c r="W434" s="16" t="s">
        <v>1168</v>
      </c>
      <c r="X434" s="16" t="s">
        <v>934</v>
      </c>
      <c r="Y434" s="16" t="s">
        <v>934</v>
      </c>
      <c r="Z434" s="16" t="s">
        <v>935</v>
      </c>
      <c r="DA434" s="405" t="s">
        <v>5</v>
      </c>
      <c r="DB434" s="405" t="s">
        <v>363</v>
      </c>
      <c r="DC434" s="406" t="s">
        <v>85</v>
      </c>
      <c r="DD434" s="405" t="s">
        <v>917</v>
      </c>
      <c r="DE434" s="405" t="s">
        <v>5</v>
      </c>
      <c r="DF434" s="406" t="s">
        <v>85</v>
      </c>
      <c r="DG434" s="407">
        <v>45847</v>
      </c>
      <c r="DH434" s="405" t="s">
        <v>7358</v>
      </c>
      <c r="DI434" s="406">
        <v>465455</v>
      </c>
      <c r="DJ434" s="408">
        <v>5</v>
      </c>
      <c r="DK434" s="405">
        <v>1</v>
      </c>
      <c r="DL434" s="82">
        <v>468.28</v>
      </c>
      <c r="DM434" s="409">
        <v>2.3413999999999997</v>
      </c>
      <c r="DN434" s="82" t="s">
        <v>85</v>
      </c>
      <c r="DO434" s="82" t="s">
        <v>85</v>
      </c>
      <c r="DP434" s="410" t="s">
        <v>85</v>
      </c>
    </row>
    <row r="435" spans="1:120" x14ac:dyDescent="0.25">
      <c r="A435" s="16" t="s">
        <v>7362</v>
      </c>
      <c r="B435" s="16" t="s">
        <v>7363</v>
      </c>
      <c r="C435" s="16" t="s">
        <v>7364</v>
      </c>
      <c r="D435" s="16" t="s">
        <v>7174</v>
      </c>
      <c r="E435" s="16" t="s">
        <v>7365</v>
      </c>
      <c r="F435" s="16" t="s">
        <v>7366</v>
      </c>
      <c r="G435" s="16" t="s">
        <v>7367</v>
      </c>
      <c r="H435" s="16" t="s">
        <v>7368</v>
      </c>
      <c r="I435" s="16" t="s">
        <v>7369</v>
      </c>
      <c r="J435" s="16" t="s">
        <v>3579</v>
      </c>
      <c r="K435" s="16" t="s">
        <v>7370</v>
      </c>
      <c r="L435" s="16" t="s">
        <v>85</v>
      </c>
      <c r="M435" s="16" t="s">
        <v>2485</v>
      </c>
      <c r="N435" s="16" t="s">
        <v>914</v>
      </c>
      <c r="O435" s="16" t="s">
        <v>1397</v>
      </c>
      <c r="P435" s="16" t="s">
        <v>914</v>
      </c>
      <c r="Q435" s="16" t="s">
        <v>1397</v>
      </c>
      <c r="R435" s="16" t="s">
        <v>915</v>
      </c>
      <c r="S435" s="16" t="s">
        <v>915</v>
      </c>
      <c r="T435" s="16" t="s">
        <v>2485</v>
      </c>
      <c r="U435" s="16" t="s">
        <v>2486</v>
      </c>
      <c r="V435" s="16" t="s">
        <v>916</v>
      </c>
      <c r="W435" s="16" t="s">
        <v>2486</v>
      </c>
      <c r="X435" s="16" t="s">
        <v>934</v>
      </c>
      <c r="Y435" s="16" t="s">
        <v>934</v>
      </c>
      <c r="Z435" s="16" t="s">
        <v>935</v>
      </c>
      <c r="DA435" s="405" t="s">
        <v>5</v>
      </c>
      <c r="DB435" s="405" t="s">
        <v>363</v>
      </c>
      <c r="DC435" s="406" t="s">
        <v>85</v>
      </c>
      <c r="DD435" s="405" t="s">
        <v>917</v>
      </c>
      <c r="DE435" s="405" t="s">
        <v>5</v>
      </c>
      <c r="DF435" s="406" t="s">
        <v>85</v>
      </c>
      <c r="DG435" s="407">
        <v>45847</v>
      </c>
      <c r="DH435" s="405" t="s">
        <v>7365</v>
      </c>
      <c r="DI435" s="406">
        <v>465455</v>
      </c>
      <c r="DJ435" s="408">
        <v>5</v>
      </c>
      <c r="DK435" s="405">
        <v>1</v>
      </c>
      <c r="DL435" s="82">
        <v>266.05</v>
      </c>
      <c r="DM435" s="409">
        <v>1.3302500000000002</v>
      </c>
      <c r="DN435" s="82" t="s">
        <v>85</v>
      </c>
      <c r="DO435" s="82" t="s">
        <v>85</v>
      </c>
      <c r="DP435" s="410" t="s">
        <v>85</v>
      </c>
    </row>
    <row r="436" spans="1:120" x14ac:dyDescent="0.25">
      <c r="A436" s="16" t="s">
        <v>7371</v>
      </c>
      <c r="B436" s="16" t="s">
        <v>7372</v>
      </c>
      <c r="C436" s="16" t="s">
        <v>7373</v>
      </c>
      <c r="D436" s="16" t="s">
        <v>7174</v>
      </c>
      <c r="E436" s="16" t="s">
        <v>7374</v>
      </c>
      <c r="F436" s="16" t="s">
        <v>7375</v>
      </c>
      <c r="G436" s="16" t="s">
        <v>7376</v>
      </c>
      <c r="H436" s="16" t="s">
        <v>7377</v>
      </c>
      <c r="I436" s="16" t="s">
        <v>7378</v>
      </c>
      <c r="J436" s="16" t="s">
        <v>7379</v>
      </c>
      <c r="K436" s="16" t="s">
        <v>7380</v>
      </c>
      <c r="L436" s="16" t="s">
        <v>85</v>
      </c>
      <c r="M436" s="16" t="s">
        <v>2046</v>
      </c>
      <c r="N436" s="16" t="s">
        <v>914</v>
      </c>
      <c r="O436" s="16" t="s">
        <v>1239</v>
      </c>
      <c r="P436" s="16" t="s">
        <v>914</v>
      </c>
      <c r="Q436" s="16" t="s">
        <v>1239</v>
      </c>
      <c r="R436" s="16" t="s">
        <v>915</v>
      </c>
      <c r="S436" s="16" t="s">
        <v>915</v>
      </c>
      <c r="T436" s="16" t="s">
        <v>2047</v>
      </c>
      <c r="U436" s="16" t="s">
        <v>2048</v>
      </c>
      <c r="V436" s="16" t="s">
        <v>916</v>
      </c>
      <c r="W436" s="16" t="s">
        <v>2048</v>
      </c>
      <c r="X436" s="16" t="s">
        <v>934</v>
      </c>
      <c r="Y436" s="16" t="s">
        <v>934</v>
      </c>
      <c r="Z436" s="16" t="s">
        <v>935</v>
      </c>
      <c r="DA436" s="405" t="s">
        <v>5</v>
      </c>
      <c r="DB436" s="405" t="s">
        <v>363</v>
      </c>
      <c r="DC436" s="406" t="s">
        <v>85</v>
      </c>
      <c r="DD436" s="405" t="s">
        <v>917</v>
      </c>
      <c r="DE436" s="405" t="s">
        <v>5</v>
      </c>
      <c r="DF436" s="406" t="s">
        <v>85</v>
      </c>
      <c r="DG436" s="407">
        <v>45847</v>
      </c>
      <c r="DH436" s="405" t="s">
        <v>7374</v>
      </c>
      <c r="DI436" s="406">
        <v>465455</v>
      </c>
      <c r="DJ436" s="408">
        <v>5</v>
      </c>
      <c r="DK436" s="405">
        <v>1</v>
      </c>
      <c r="DL436" s="82">
        <v>383.08</v>
      </c>
      <c r="DM436" s="409">
        <v>1.9154</v>
      </c>
      <c r="DN436" s="82" t="s">
        <v>85</v>
      </c>
      <c r="DO436" s="82" t="s">
        <v>85</v>
      </c>
      <c r="DP436" s="410" t="s">
        <v>85</v>
      </c>
    </row>
    <row r="437" spans="1:120" x14ac:dyDescent="0.25">
      <c r="A437" s="16" t="s">
        <v>7381</v>
      </c>
      <c r="B437" s="16" t="s">
        <v>7382</v>
      </c>
      <c r="C437" s="16" t="s">
        <v>7383</v>
      </c>
      <c r="D437" s="16" t="s">
        <v>7174</v>
      </c>
      <c r="E437" s="16" t="s">
        <v>7384</v>
      </c>
      <c r="F437" s="16" t="s">
        <v>7385</v>
      </c>
      <c r="G437" s="16" t="s">
        <v>7386</v>
      </c>
      <c r="H437" s="16" t="s">
        <v>7387</v>
      </c>
      <c r="I437" s="16" t="s">
        <v>1728</v>
      </c>
      <c r="J437" s="16" t="s">
        <v>943</v>
      </c>
      <c r="K437" s="16" t="s">
        <v>1729</v>
      </c>
      <c r="L437" s="16" t="s">
        <v>85</v>
      </c>
      <c r="M437" s="16" t="s">
        <v>984</v>
      </c>
      <c r="N437" s="16" t="s">
        <v>914</v>
      </c>
      <c r="O437" s="16" t="s">
        <v>985</v>
      </c>
      <c r="P437" s="16" t="s">
        <v>914</v>
      </c>
      <c r="Q437" s="16" t="s">
        <v>985</v>
      </c>
      <c r="R437" s="16" t="s">
        <v>915</v>
      </c>
      <c r="S437" s="16" t="s">
        <v>915</v>
      </c>
      <c r="T437" s="16" t="s">
        <v>986</v>
      </c>
      <c r="U437" s="16" t="s">
        <v>987</v>
      </c>
      <c r="V437" s="16" t="s">
        <v>916</v>
      </c>
      <c r="W437" s="16" t="s">
        <v>987</v>
      </c>
      <c r="X437" s="16" t="s">
        <v>934</v>
      </c>
      <c r="Y437" s="16" t="s">
        <v>934</v>
      </c>
      <c r="Z437" s="16" t="s">
        <v>935</v>
      </c>
      <c r="DA437" s="405" t="s">
        <v>5</v>
      </c>
      <c r="DB437" s="405" t="s">
        <v>363</v>
      </c>
      <c r="DC437" s="406" t="s">
        <v>85</v>
      </c>
      <c r="DD437" s="405" t="s">
        <v>917</v>
      </c>
      <c r="DE437" s="405" t="s">
        <v>5</v>
      </c>
      <c r="DF437" s="406" t="s">
        <v>85</v>
      </c>
      <c r="DG437" s="407">
        <v>45847</v>
      </c>
      <c r="DH437" s="405" t="s">
        <v>7384</v>
      </c>
      <c r="DI437" s="406">
        <v>465455</v>
      </c>
      <c r="DJ437" s="408">
        <v>5</v>
      </c>
      <c r="DK437" s="405">
        <v>1</v>
      </c>
      <c r="DL437" s="82">
        <v>340.55</v>
      </c>
      <c r="DM437" s="409">
        <v>1.70275</v>
      </c>
      <c r="DN437" s="82" t="s">
        <v>85</v>
      </c>
      <c r="DO437" s="82" t="s">
        <v>85</v>
      </c>
      <c r="DP437" s="410" t="s">
        <v>85</v>
      </c>
    </row>
    <row r="438" spans="1:120" x14ac:dyDescent="0.25">
      <c r="A438" s="16" t="s">
        <v>7388</v>
      </c>
      <c r="B438" s="16" t="s">
        <v>7389</v>
      </c>
      <c r="C438" s="16" t="s">
        <v>7390</v>
      </c>
      <c r="D438" s="16" t="s">
        <v>7174</v>
      </c>
      <c r="E438" s="16" t="s">
        <v>7391</v>
      </c>
      <c r="F438" s="16" t="s">
        <v>7392</v>
      </c>
      <c r="G438" s="16" t="s">
        <v>7393</v>
      </c>
      <c r="H438" s="16" t="s">
        <v>7394</v>
      </c>
      <c r="I438" s="16" t="s">
        <v>2241</v>
      </c>
      <c r="J438" s="16" t="s">
        <v>1123</v>
      </c>
      <c r="K438" s="16" t="s">
        <v>2242</v>
      </c>
      <c r="L438" s="16" t="s">
        <v>85</v>
      </c>
      <c r="M438" s="16" t="s">
        <v>1238</v>
      </c>
      <c r="N438" s="16" t="s">
        <v>914</v>
      </c>
      <c r="O438" s="16" t="s">
        <v>1239</v>
      </c>
      <c r="P438" s="16" t="s">
        <v>914</v>
      </c>
      <c r="Q438" s="16" t="s">
        <v>1239</v>
      </c>
      <c r="R438" s="16" t="s">
        <v>915</v>
      </c>
      <c r="S438" s="16" t="s">
        <v>915</v>
      </c>
      <c r="T438" s="16" t="s">
        <v>1238</v>
      </c>
      <c r="U438" s="16" t="s">
        <v>1240</v>
      </c>
      <c r="V438" s="16" t="s">
        <v>916</v>
      </c>
      <c r="W438" s="16" t="s">
        <v>1240</v>
      </c>
      <c r="X438" s="16" t="s">
        <v>934</v>
      </c>
      <c r="Y438" s="16" t="s">
        <v>934</v>
      </c>
      <c r="Z438" s="16" t="s">
        <v>935</v>
      </c>
      <c r="DA438" s="405" t="s">
        <v>5</v>
      </c>
      <c r="DB438" s="405" t="s">
        <v>363</v>
      </c>
      <c r="DC438" s="406" t="s">
        <v>85</v>
      </c>
      <c r="DD438" s="405" t="s">
        <v>917</v>
      </c>
      <c r="DE438" s="405" t="s">
        <v>5</v>
      </c>
      <c r="DF438" s="406" t="s">
        <v>85</v>
      </c>
      <c r="DG438" s="407">
        <v>45847</v>
      </c>
      <c r="DH438" s="405" t="s">
        <v>7391</v>
      </c>
      <c r="DI438" s="406">
        <v>465455</v>
      </c>
      <c r="DJ438" s="408">
        <v>5</v>
      </c>
      <c r="DK438" s="405">
        <v>1</v>
      </c>
      <c r="DL438" s="82">
        <v>383.16</v>
      </c>
      <c r="DM438" s="409">
        <v>1.9158000000000002</v>
      </c>
      <c r="DN438" s="82" t="s">
        <v>85</v>
      </c>
      <c r="DO438" s="82" t="s">
        <v>85</v>
      </c>
      <c r="DP438" s="410" t="s">
        <v>85</v>
      </c>
    </row>
    <row r="439" spans="1:120" x14ac:dyDescent="0.25">
      <c r="A439" s="16" t="s">
        <v>7395</v>
      </c>
      <c r="B439" s="16" t="s">
        <v>7396</v>
      </c>
      <c r="C439" s="16" t="s">
        <v>7397</v>
      </c>
      <c r="D439" s="16" t="s">
        <v>7174</v>
      </c>
      <c r="E439" s="16" t="s">
        <v>7398</v>
      </c>
      <c r="F439" s="16" t="s">
        <v>7399</v>
      </c>
      <c r="G439" s="16" t="s">
        <v>7400</v>
      </c>
      <c r="H439" s="16" t="s">
        <v>7399</v>
      </c>
      <c r="I439" s="16" t="s">
        <v>6196</v>
      </c>
      <c r="J439" s="16" t="s">
        <v>1123</v>
      </c>
      <c r="K439" s="16" t="s">
        <v>6197</v>
      </c>
      <c r="L439" s="16" t="s">
        <v>85</v>
      </c>
      <c r="M439" s="16" t="s">
        <v>1238</v>
      </c>
      <c r="N439" s="16" t="s">
        <v>914</v>
      </c>
      <c r="O439" s="16" t="s">
        <v>1239</v>
      </c>
      <c r="P439" s="16" t="s">
        <v>914</v>
      </c>
      <c r="Q439" s="16" t="s">
        <v>1239</v>
      </c>
      <c r="R439" s="16" t="s">
        <v>915</v>
      </c>
      <c r="S439" s="16" t="s">
        <v>915</v>
      </c>
      <c r="T439" s="16" t="s">
        <v>1238</v>
      </c>
      <c r="U439" s="16" t="s">
        <v>1240</v>
      </c>
      <c r="V439" s="16" t="s">
        <v>916</v>
      </c>
      <c r="W439" s="16" t="s">
        <v>1240</v>
      </c>
      <c r="X439" s="16" t="s">
        <v>934</v>
      </c>
      <c r="Y439" s="16" t="s">
        <v>934</v>
      </c>
      <c r="Z439" s="16" t="s">
        <v>935</v>
      </c>
      <c r="DA439" s="405" t="s">
        <v>5</v>
      </c>
      <c r="DB439" s="405" t="s">
        <v>363</v>
      </c>
      <c r="DC439" s="406" t="s">
        <v>85</v>
      </c>
      <c r="DD439" s="405" t="s">
        <v>917</v>
      </c>
      <c r="DE439" s="405" t="s">
        <v>5</v>
      </c>
      <c r="DF439" s="406" t="s">
        <v>85</v>
      </c>
      <c r="DG439" s="407">
        <v>45847</v>
      </c>
      <c r="DH439" s="405" t="s">
        <v>7398</v>
      </c>
      <c r="DI439" s="406">
        <v>465455</v>
      </c>
      <c r="DJ439" s="408">
        <v>5</v>
      </c>
      <c r="DK439" s="405">
        <v>1</v>
      </c>
      <c r="DL439" s="82">
        <v>383.16</v>
      </c>
      <c r="DM439" s="409">
        <v>1.9158000000000002</v>
      </c>
      <c r="DN439" s="82" t="s">
        <v>85</v>
      </c>
      <c r="DO439" s="82" t="s">
        <v>85</v>
      </c>
      <c r="DP439" s="410" t="s">
        <v>85</v>
      </c>
    </row>
    <row r="440" spans="1:120" x14ac:dyDescent="0.25">
      <c r="A440" s="16" t="s">
        <v>7401</v>
      </c>
      <c r="B440" s="16" t="s">
        <v>7402</v>
      </c>
      <c r="C440" s="16" t="s">
        <v>7403</v>
      </c>
      <c r="D440" s="16" t="s">
        <v>7174</v>
      </c>
      <c r="E440" s="16" t="s">
        <v>7404</v>
      </c>
      <c r="F440" s="16" t="s">
        <v>7405</v>
      </c>
      <c r="G440" s="16" t="s">
        <v>7406</v>
      </c>
      <c r="H440" s="16" t="s">
        <v>7407</v>
      </c>
      <c r="I440" s="16" t="s">
        <v>6098</v>
      </c>
      <c r="J440" s="16" t="s">
        <v>928</v>
      </c>
      <c r="K440" s="16" t="s">
        <v>6099</v>
      </c>
      <c r="L440" s="16" t="s">
        <v>85</v>
      </c>
      <c r="M440" s="16" t="s">
        <v>1322</v>
      </c>
      <c r="N440" s="16" t="s">
        <v>914</v>
      </c>
      <c r="O440" s="16" t="s">
        <v>1323</v>
      </c>
      <c r="P440" s="16" t="s">
        <v>914</v>
      </c>
      <c r="Q440" s="16" t="s">
        <v>1323</v>
      </c>
      <c r="R440" s="16" t="s">
        <v>915</v>
      </c>
      <c r="S440" s="16" t="s">
        <v>915</v>
      </c>
      <c r="T440" s="16" t="s">
        <v>1322</v>
      </c>
      <c r="U440" s="16" t="s">
        <v>1324</v>
      </c>
      <c r="V440" s="16" t="s">
        <v>916</v>
      </c>
      <c r="W440" s="16" t="s">
        <v>1324</v>
      </c>
      <c r="X440" s="16" t="s">
        <v>934</v>
      </c>
      <c r="Y440" s="16" t="s">
        <v>934</v>
      </c>
      <c r="Z440" s="16" t="s">
        <v>935</v>
      </c>
      <c r="DA440" s="405" t="s">
        <v>5</v>
      </c>
      <c r="DB440" s="405" t="s">
        <v>363</v>
      </c>
      <c r="DC440" s="406" t="s">
        <v>85</v>
      </c>
      <c r="DD440" s="405" t="s">
        <v>917</v>
      </c>
      <c r="DE440" s="405" t="s">
        <v>5</v>
      </c>
      <c r="DF440" s="406" t="s">
        <v>85</v>
      </c>
      <c r="DG440" s="407">
        <v>45847</v>
      </c>
      <c r="DH440" s="405" t="s">
        <v>7404</v>
      </c>
      <c r="DI440" s="406">
        <v>465455</v>
      </c>
      <c r="DJ440" s="408">
        <v>5</v>
      </c>
      <c r="DK440" s="405">
        <v>1</v>
      </c>
      <c r="DL440" s="82">
        <v>332.47</v>
      </c>
      <c r="DM440" s="409">
        <v>1.6623500000000002</v>
      </c>
      <c r="DN440" s="82" t="s">
        <v>85</v>
      </c>
      <c r="DO440" s="82" t="s">
        <v>85</v>
      </c>
      <c r="DP440" s="410" t="s">
        <v>85</v>
      </c>
    </row>
    <row r="441" spans="1:120" x14ac:dyDescent="0.25">
      <c r="A441" s="16" t="s">
        <v>7408</v>
      </c>
      <c r="B441" s="16" t="s">
        <v>7409</v>
      </c>
      <c r="C441" s="16" t="s">
        <v>7410</v>
      </c>
      <c r="D441" s="16" t="s">
        <v>7174</v>
      </c>
      <c r="E441" s="16" t="s">
        <v>7411</v>
      </c>
      <c r="F441" s="16" t="s">
        <v>7412</v>
      </c>
      <c r="G441" s="16" t="s">
        <v>7413</v>
      </c>
      <c r="H441" s="16" t="s">
        <v>7414</v>
      </c>
      <c r="I441" s="16" t="s">
        <v>1719</v>
      </c>
      <c r="J441" s="16" t="s">
        <v>943</v>
      </c>
      <c r="K441" s="16" t="s">
        <v>1720</v>
      </c>
      <c r="L441" s="16" t="s">
        <v>85</v>
      </c>
      <c r="M441" s="16" t="s">
        <v>984</v>
      </c>
      <c r="N441" s="16" t="s">
        <v>914</v>
      </c>
      <c r="O441" s="16" t="s">
        <v>985</v>
      </c>
      <c r="P441" s="16" t="s">
        <v>914</v>
      </c>
      <c r="Q441" s="16" t="s">
        <v>985</v>
      </c>
      <c r="R441" s="16" t="s">
        <v>915</v>
      </c>
      <c r="S441" s="16" t="s">
        <v>915</v>
      </c>
      <c r="T441" s="16" t="s">
        <v>986</v>
      </c>
      <c r="U441" s="16" t="s">
        <v>987</v>
      </c>
      <c r="V441" s="16" t="s">
        <v>916</v>
      </c>
      <c r="W441" s="16" t="s">
        <v>987</v>
      </c>
      <c r="X441" s="16" t="s">
        <v>934</v>
      </c>
      <c r="Y441" s="16" t="s">
        <v>934</v>
      </c>
      <c r="Z441" s="16" t="s">
        <v>935</v>
      </c>
      <c r="DA441" s="405" t="s">
        <v>5</v>
      </c>
      <c r="DB441" s="405" t="s">
        <v>363</v>
      </c>
      <c r="DC441" s="406" t="s">
        <v>85</v>
      </c>
      <c r="DD441" s="405" t="s">
        <v>917</v>
      </c>
      <c r="DE441" s="405" t="s">
        <v>5</v>
      </c>
      <c r="DF441" s="406" t="s">
        <v>85</v>
      </c>
      <c r="DG441" s="407">
        <v>45847</v>
      </c>
      <c r="DH441" s="405" t="s">
        <v>7411</v>
      </c>
      <c r="DI441" s="406">
        <v>465455</v>
      </c>
      <c r="DJ441" s="408">
        <v>5</v>
      </c>
      <c r="DK441" s="405">
        <v>1</v>
      </c>
      <c r="DL441" s="82">
        <v>340.55</v>
      </c>
      <c r="DM441" s="409">
        <v>1.70275</v>
      </c>
      <c r="DN441" s="82" t="s">
        <v>85</v>
      </c>
      <c r="DO441" s="82" t="s">
        <v>85</v>
      </c>
      <c r="DP441" s="410" t="s">
        <v>85</v>
      </c>
    </row>
    <row r="442" spans="1:120" x14ac:dyDescent="0.25">
      <c r="A442" s="16" t="s">
        <v>7415</v>
      </c>
      <c r="B442" s="16" t="s">
        <v>7416</v>
      </c>
      <c r="C442" s="16" t="s">
        <v>7417</v>
      </c>
      <c r="D442" s="16" t="s">
        <v>7174</v>
      </c>
      <c r="E442" s="16" t="s">
        <v>7418</v>
      </c>
      <c r="F442" s="16" t="s">
        <v>7419</v>
      </c>
      <c r="G442" s="16" t="s">
        <v>7420</v>
      </c>
      <c r="H442" s="16" t="s">
        <v>7421</v>
      </c>
      <c r="I442" s="16" t="s">
        <v>3179</v>
      </c>
      <c r="J442" s="16" t="s">
        <v>1123</v>
      </c>
      <c r="K442" s="16" t="s">
        <v>3180</v>
      </c>
      <c r="L442" s="16" t="s">
        <v>85</v>
      </c>
      <c r="M442" s="16" t="s">
        <v>1238</v>
      </c>
      <c r="N442" s="16" t="s">
        <v>914</v>
      </c>
      <c r="O442" s="16" t="s">
        <v>1239</v>
      </c>
      <c r="P442" s="16" t="s">
        <v>914</v>
      </c>
      <c r="Q442" s="16" t="s">
        <v>1239</v>
      </c>
      <c r="R442" s="16" t="s">
        <v>915</v>
      </c>
      <c r="S442" s="16" t="s">
        <v>915</v>
      </c>
      <c r="T442" s="16" t="s">
        <v>1238</v>
      </c>
      <c r="U442" s="16" t="s">
        <v>1240</v>
      </c>
      <c r="V442" s="16" t="s">
        <v>916</v>
      </c>
      <c r="W442" s="16" t="s">
        <v>1240</v>
      </c>
      <c r="X442" s="16" t="s">
        <v>934</v>
      </c>
      <c r="Y442" s="16" t="s">
        <v>934</v>
      </c>
      <c r="Z442" s="16" t="s">
        <v>935</v>
      </c>
      <c r="DA442" s="405" t="s">
        <v>5</v>
      </c>
      <c r="DB442" s="405" t="s">
        <v>363</v>
      </c>
      <c r="DC442" s="406" t="s">
        <v>85</v>
      </c>
      <c r="DD442" s="405" t="s">
        <v>917</v>
      </c>
      <c r="DE442" s="405" t="s">
        <v>5</v>
      </c>
      <c r="DF442" s="406" t="s">
        <v>85</v>
      </c>
      <c r="DG442" s="407">
        <v>45847</v>
      </c>
      <c r="DH442" s="405" t="s">
        <v>7418</v>
      </c>
      <c r="DI442" s="406">
        <v>465455</v>
      </c>
      <c r="DJ442" s="408">
        <v>5</v>
      </c>
      <c r="DK442" s="405">
        <v>1</v>
      </c>
      <c r="DL442" s="82">
        <v>383.16</v>
      </c>
      <c r="DM442" s="409">
        <v>1.9158000000000002</v>
      </c>
      <c r="DN442" s="82" t="s">
        <v>85</v>
      </c>
      <c r="DO442" s="82" t="s">
        <v>85</v>
      </c>
      <c r="DP442" s="410" t="s">
        <v>85</v>
      </c>
    </row>
    <row r="443" spans="1:120" x14ac:dyDescent="0.25">
      <c r="A443" s="16" t="s">
        <v>7422</v>
      </c>
      <c r="B443" s="16" t="s">
        <v>7423</v>
      </c>
      <c r="C443" s="16" t="s">
        <v>7424</v>
      </c>
      <c r="D443" s="16" t="s">
        <v>7174</v>
      </c>
      <c r="E443" s="16" t="s">
        <v>7425</v>
      </c>
      <c r="F443" s="16" t="s">
        <v>7426</v>
      </c>
      <c r="G443" s="16" t="s">
        <v>7427</v>
      </c>
      <c r="H443" s="16" t="s">
        <v>7428</v>
      </c>
      <c r="I443" s="16" t="s">
        <v>968</v>
      </c>
      <c r="J443" s="16" t="s">
        <v>943</v>
      </c>
      <c r="K443" s="16" t="s">
        <v>969</v>
      </c>
      <c r="L443" s="16" t="s">
        <v>85</v>
      </c>
      <c r="M443" s="16" t="s">
        <v>984</v>
      </c>
      <c r="N443" s="16" t="s">
        <v>914</v>
      </c>
      <c r="O443" s="16" t="s">
        <v>985</v>
      </c>
      <c r="P443" s="16" t="s">
        <v>914</v>
      </c>
      <c r="Q443" s="16" t="s">
        <v>985</v>
      </c>
      <c r="R443" s="16" t="s">
        <v>915</v>
      </c>
      <c r="S443" s="16" t="s">
        <v>915</v>
      </c>
      <c r="T443" s="16" t="s">
        <v>986</v>
      </c>
      <c r="U443" s="16" t="s">
        <v>987</v>
      </c>
      <c r="V443" s="16" t="s">
        <v>916</v>
      </c>
      <c r="W443" s="16" t="s">
        <v>987</v>
      </c>
      <c r="X443" s="16" t="s">
        <v>934</v>
      </c>
      <c r="Y443" s="16" t="s">
        <v>934</v>
      </c>
      <c r="Z443" s="16" t="s">
        <v>935</v>
      </c>
      <c r="DA443" s="405" t="s">
        <v>5</v>
      </c>
      <c r="DB443" s="405" t="s">
        <v>363</v>
      </c>
      <c r="DC443" s="406" t="s">
        <v>85</v>
      </c>
      <c r="DD443" s="405" t="s">
        <v>917</v>
      </c>
      <c r="DE443" s="405" t="s">
        <v>5</v>
      </c>
      <c r="DF443" s="406" t="s">
        <v>85</v>
      </c>
      <c r="DG443" s="407">
        <v>45847</v>
      </c>
      <c r="DH443" s="405" t="s">
        <v>7425</v>
      </c>
      <c r="DI443" s="406">
        <v>465455</v>
      </c>
      <c r="DJ443" s="408">
        <v>5</v>
      </c>
      <c r="DK443" s="405">
        <v>1</v>
      </c>
      <c r="DL443" s="82">
        <v>340.55</v>
      </c>
      <c r="DM443" s="409">
        <v>1.70275</v>
      </c>
      <c r="DN443" s="82" t="s">
        <v>85</v>
      </c>
      <c r="DO443" s="82" t="s">
        <v>85</v>
      </c>
      <c r="DP443" s="410" t="s">
        <v>85</v>
      </c>
    </row>
    <row r="444" spans="1:120" x14ac:dyDescent="0.25">
      <c r="A444" s="16" t="s">
        <v>7429</v>
      </c>
      <c r="B444" s="16" t="s">
        <v>7430</v>
      </c>
      <c r="C444" s="16" t="s">
        <v>7431</v>
      </c>
      <c r="D444" s="16" t="s">
        <v>7174</v>
      </c>
      <c r="E444" s="16" t="s">
        <v>7432</v>
      </c>
      <c r="F444" s="16" t="s">
        <v>7433</v>
      </c>
      <c r="G444" s="16" t="s">
        <v>7434</v>
      </c>
      <c r="H444" s="16" t="s">
        <v>7433</v>
      </c>
      <c r="I444" s="16" t="s">
        <v>3041</v>
      </c>
      <c r="J444" s="16" t="s">
        <v>928</v>
      </c>
      <c r="K444" s="16" t="s">
        <v>3042</v>
      </c>
      <c r="L444" s="16" t="s">
        <v>85</v>
      </c>
      <c r="M444" s="16" t="s">
        <v>1322</v>
      </c>
      <c r="N444" s="16" t="s">
        <v>914</v>
      </c>
      <c r="O444" s="16" t="s">
        <v>1323</v>
      </c>
      <c r="P444" s="16" t="s">
        <v>914</v>
      </c>
      <c r="Q444" s="16" t="s">
        <v>1323</v>
      </c>
      <c r="R444" s="16" t="s">
        <v>915</v>
      </c>
      <c r="S444" s="16" t="s">
        <v>915</v>
      </c>
      <c r="T444" s="16" t="s">
        <v>1322</v>
      </c>
      <c r="U444" s="16" t="s">
        <v>1324</v>
      </c>
      <c r="V444" s="16" t="s">
        <v>916</v>
      </c>
      <c r="W444" s="16" t="s">
        <v>1324</v>
      </c>
      <c r="X444" s="16" t="s">
        <v>934</v>
      </c>
      <c r="Y444" s="16" t="s">
        <v>934</v>
      </c>
      <c r="Z444" s="16" t="s">
        <v>935</v>
      </c>
      <c r="DA444" s="405" t="s">
        <v>5</v>
      </c>
      <c r="DB444" s="405" t="s">
        <v>363</v>
      </c>
      <c r="DC444" s="406" t="s">
        <v>85</v>
      </c>
      <c r="DD444" s="405" t="s">
        <v>917</v>
      </c>
      <c r="DE444" s="405" t="s">
        <v>5</v>
      </c>
      <c r="DF444" s="406" t="s">
        <v>85</v>
      </c>
      <c r="DG444" s="407">
        <v>45847</v>
      </c>
      <c r="DH444" s="405" t="s">
        <v>7432</v>
      </c>
      <c r="DI444" s="406">
        <v>465455</v>
      </c>
      <c r="DJ444" s="408">
        <v>5</v>
      </c>
      <c r="DK444" s="405">
        <v>1</v>
      </c>
      <c r="DL444" s="82">
        <v>332.47</v>
      </c>
      <c r="DM444" s="409">
        <v>1.6623500000000002</v>
      </c>
      <c r="DN444" s="82" t="s">
        <v>85</v>
      </c>
      <c r="DO444" s="82" t="s">
        <v>85</v>
      </c>
      <c r="DP444" s="410" t="s">
        <v>85</v>
      </c>
    </row>
    <row r="445" spans="1:120" x14ac:dyDescent="0.25">
      <c r="A445" s="16" t="s">
        <v>7435</v>
      </c>
      <c r="B445" s="16" t="s">
        <v>7436</v>
      </c>
      <c r="C445" s="16" t="s">
        <v>7437</v>
      </c>
      <c r="D445" s="16" t="s">
        <v>7174</v>
      </c>
      <c r="E445" s="16" t="s">
        <v>7438</v>
      </c>
      <c r="F445" s="16" t="s">
        <v>7439</v>
      </c>
      <c r="G445" s="16" t="s">
        <v>7440</v>
      </c>
      <c r="H445" s="16" t="s">
        <v>7439</v>
      </c>
      <c r="I445" s="16" t="s">
        <v>7441</v>
      </c>
      <c r="J445" s="16" t="s">
        <v>2699</v>
      </c>
      <c r="K445" s="16" t="s">
        <v>7442</v>
      </c>
      <c r="L445" s="16" t="s">
        <v>85</v>
      </c>
      <c r="M445" s="16" t="s">
        <v>2701</v>
      </c>
      <c r="N445" s="16" t="s">
        <v>914</v>
      </c>
      <c r="O445" s="16" t="s">
        <v>2702</v>
      </c>
      <c r="P445" s="16" t="s">
        <v>914</v>
      </c>
      <c r="Q445" s="16" t="s">
        <v>2702</v>
      </c>
      <c r="R445" s="16" t="s">
        <v>915</v>
      </c>
      <c r="S445" s="16" t="s">
        <v>915</v>
      </c>
      <c r="T445" s="16" t="s">
        <v>2703</v>
      </c>
      <c r="U445" s="16" t="s">
        <v>2704</v>
      </c>
      <c r="V445" s="16" t="s">
        <v>916</v>
      </c>
      <c r="W445" s="16" t="s">
        <v>2704</v>
      </c>
      <c r="X445" s="16" t="s">
        <v>934</v>
      </c>
      <c r="Y445" s="16" t="s">
        <v>934</v>
      </c>
      <c r="Z445" s="16" t="s">
        <v>935</v>
      </c>
      <c r="DA445" s="405" t="s">
        <v>5</v>
      </c>
      <c r="DB445" s="405" t="s">
        <v>363</v>
      </c>
      <c r="DC445" s="406" t="s">
        <v>85</v>
      </c>
      <c r="DD445" s="405" t="s">
        <v>917</v>
      </c>
      <c r="DE445" s="405" t="s">
        <v>5</v>
      </c>
      <c r="DF445" s="406" t="s">
        <v>85</v>
      </c>
      <c r="DG445" s="407">
        <v>45847</v>
      </c>
      <c r="DH445" s="405" t="s">
        <v>7438</v>
      </c>
      <c r="DI445" s="406">
        <v>465455</v>
      </c>
      <c r="DJ445" s="408">
        <v>5</v>
      </c>
      <c r="DK445" s="405">
        <v>1</v>
      </c>
      <c r="DL445" s="82">
        <v>478.9</v>
      </c>
      <c r="DM445" s="409">
        <v>2.3944999999999999</v>
      </c>
      <c r="DN445" s="82" t="s">
        <v>85</v>
      </c>
      <c r="DO445" s="82" t="s">
        <v>85</v>
      </c>
      <c r="DP445" s="410" t="s">
        <v>85</v>
      </c>
    </row>
    <row r="446" spans="1:120" x14ac:dyDescent="0.25">
      <c r="A446" s="16" t="s">
        <v>7443</v>
      </c>
      <c r="B446" s="16" t="s">
        <v>7444</v>
      </c>
      <c r="C446" s="16" t="s">
        <v>7445</v>
      </c>
      <c r="D446" s="16" t="s">
        <v>7174</v>
      </c>
      <c r="E446" s="16" t="s">
        <v>7446</v>
      </c>
      <c r="F446" s="16" t="s">
        <v>7447</v>
      </c>
      <c r="G446" s="16" t="s">
        <v>7448</v>
      </c>
      <c r="H446" s="16" t="s">
        <v>7449</v>
      </c>
      <c r="I446" s="16" t="s">
        <v>1598</v>
      </c>
      <c r="J446" s="16" t="s">
        <v>995</v>
      </c>
      <c r="K446" s="16" t="s">
        <v>1599</v>
      </c>
      <c r="L446" s="16" t="s">
        <v>85</v>
      </c>
      <c r="M446" s="16" t="s">
        <v>1165</v>
      </c>
      <c r="N446" s="16" t="s">
        <v>914</v>
      </c>
      <c r="O446" s="16" t="s">
        <v>1166</v>
      </c>
      <c r="P446" s="16" t="s">
        <v>914</v>
      </c>
      <c r="Q446" s="16" t="s">
        <v>1166</v>
      </c>
      <c r="R446" s="16" t="s">
        <v>915</v>
      </c>
      <c r="S446" s="16" t="s">
        <v>915</v>
      </c>
      <c r="T446" s="16" t="s">
        <v>1167</v>
      </c>
      <c r="U446" s="16" t="s">
        <v>1168</v>
      </c>
      <c r="V446" s="16" t="s">
        <v>916</v>
      </c>
      <c r="W446" s="16" t="s">
        <v>1168</v>
      </c>
      <c r="X446" s="16" t="s">
        <v>934</v>
      </c>
      <c r="Y446" s="16" t="s">
        <v>934</v>
      </c>
      <c r="Z446" s="16" t="s">
        <v>935</v>
      </c>
      <c r="DA446" s="405" t="s">
        <v>5</v>
      </c>
      <c r="DB446" s="405" t="s">
        <v>363</v>
      </c>
      <c r="DC446" s="406" t="s">
        <v>85</v>
      </c>
      <c r="DD446" s="405" t="s">
        <v>917</v>
      </c>
      <c r="DE446" s="405" t="s">
        <v>5</v>
      </c>
      <c r="DF446" s="406" t="s">
        <v>85</v>
      </c>
      <c r="DG446" s="407">
        <v>45847</v>
      </c>
      <c r="DH446" s="405" t="s">
        <v>7446</v>
      </c>
      <c r="DI446" s="406">
        <v>465455</v>
      </c>
      <c r="DJ446" s="408">
        <v>5</v>
      </c>
      <c r="DK446" s="405">
        <v>1</v>
      </c>
      <c r="DL446" s="82">
        <v>468.28</v>
      </c>
      <c r="DM446" s="409">
        <v>2.3413999999999997</v>
      </c>
      <c r="DN446" s="82" t="s">
        <v>85</v>
      </c>
      <c r="DO446" s="82" t="s">
        <v>85</v>
      </c>
      <c r="DP446" s="410" t="s">
        <v>85</v>
      </c>
    </row>
    <row r="447" spans="1:120" x14ac:dyDescent="0.25">
      <c r="A447" s="16" t="s">
        <v>7450</v>
      </c>
      <c r="B447" s="16" t="s">
        <v>7451</v>
      </c>
      <c r="C447" s="16" t="s">
        <v>7452</v>
      </c>
      <c r="D447" s="16" t="s">
        <v>7174</v>
      </c>
      <c r="E447" s="16" t="s">
        <v>7453</v>
      </c>
      <c r="F447" s="16" t="s">
        <v>7454</v>
      </c>
      <c r="G447" s="16" t="s">
        <v>7455</v>
      </c>
      <c r="H447" s="16" t="s">
        <v>7454</v>
      </c>
      <c r="I447" s="16" t="s">
        <v>1638</v>
      </c>
      <c r="J447" s="16" t="s">
        <v>943</v>
      </c>
      <c r="K447" s="16" t="s">
        <v>1639</v>
      </c>
      <c r="L447" s="16" t="s">
        <v>85</v>
      </c>
      <c r="M447" s="16" t="s">
        <v>984</v>
      </c>
      <c r="N447" s="16" t="s">
        <v>914</v>
      </c>
      <c r="O447" s="16" t="s">
        <v>985</v>
      </c>
      <c r="P447" s="16" t="s">
        <v>914</v>
      </c>
      <c r="Q447" s="16" t="s">
        <v>985</v>
      </c>
      <c r="R447" s="16" t="s">
        <v>915</v>
      </c>
      <c r="S447" s="16" t="s">
        <v>915</v>
      </c>
      <c r="T447" s="16" t="s">
        <v>986</v>
      </c>
      <c r="U447" s="16" t="s">
        <v>987</v>
      </c>
      <c r="V447" s="16" t="s">
        <v>916</v>
      </c>
      <c r="W447" s="16" t="s">
        <v>987</v>
      </c>
      <c r="X447" s="16" t="s">
        <v>934</v>
      </c>
      <c r="Y447" s="16" t="s">
        <v>934</v>
      </c>
      <c r="Z447" s="16" t="s">
        <v>935</v>
      </c>
      <c r="DA447" s="405" t="s">
        <v>5</v>
      </c>
      <c r="DB447" s="405" t="s">
        <v>363</v>
      </c>
      <c r="DC447" s="406" t="s">
        <v>85</v>
      </c>
      <c r="DD447" s="405" t="s">
        <v>917</v>
      </c>
      <c r="DE447" s="405" t="s">
        <v>5</v>
      </c>
      <c r="DF447" s="406" t="s">
        <v>85</v>
      </c>
      <c r="DG447" s="407">
        <v>45847</v>
      </c>
      <c r="DH447" s="405" t="s">
        <v>7453</v>
      </c>
      <c r="DI447" s="406">
        <v>465455</v>
      </c>
      <c r="DJ447" s="408">
        <v>5</v>
      </c>
      <c r="DK447" s="405">
        <v>1</v>
      </c>
      <c r="DL447" s="82">
        <v>340.55</v>
      </c>
      <c r="DM447" s="409">
        <v>1.70275</v>
      </c>
      <c r="DN447" s="82" t="s">
        <v>85</v>
      </c>
      <c r="DO447" s="82" t="s">
        <v>85</v>
      </c>
      <c r="DP447" s="410" t="s">
        <v>85</v>
      </c>
    </row>
    <row r="448" spans="1:120" x14ac:dyDescent="0.25">
      <c r="A448" s="16" t="s">
        <v>7456</v>
      </c>
      <c r="B448" s="16" t="s">
        <v>7457</v>
      </c>
      <c r="C448" s="16" t="s">
        <v>7458</v>
      </c>
      <c r="D448" s="16" t="s">
        <v>7174</v>
      </c>
      <c r="E448" s="16" t="s">
        <v>7459</v>
      </c>
      <c r="F448" s="16" t="s">
        <v>7460</v>
      </c>
      <c r="G448" s="16" t="s">
        <v>7461</v>
      </c>
      <c r="H448" s="16" t="s">
        <v>7460</v>
      </c>
      <c r="I448" s="16" t="s">
        <v>1035</v>
      </c>
      <c r="J448" s="16" t="s">
        <v>1036</v>
      </c>
      <c r="K448" s="16" t="s">
        <v>1037</v>
      </c>
      <c r="L448" s="16" t="s">
        <v>85</v>
      </c>
      <c r="M448" s="16" t="s">
        <v>1216</v>
      </c>
      <c r="N448" s="16" t="s">
        <v>914</v>
      </c>
      <c r="O448" s="16" t="s">
        <v>946</v>
      </c>
      <c r="P448" s="16" t="s">
        <v>914</v>
      </c>
      <c r="Q448" s="16" t="s">
        <v>946</v>
      </c>
      <c r="R448" s="16" t="s">
        <v>915</v>
      </c>
      <c r="S448" s="16" t="s">
        <v>915</v>
      </c>
      <c r="T448" s="16" t="s">
        <v>1216</v>
      </c>
      <c r="U448" s="16" t="s">
        <v>1217</v>
      </c>
      <c r="V448" s="16" t="s">
        <v>916</v>
      </c>
      <c r="W448" s="16" t="s">
        <v>1217</v>
      </c>
      <c r="X448" s="16" t="s">
        <v>934</v>
      </c>
      <c r="Y448" s="16" t="s">
        <v>934</v>
      </c>
      <c r="Z448" s="16" t="s">
        <v>935</v>
      </c>
      <c r="DA448" s="405" t="s">
        <v>5</v>
      </c>
      <c r="DB448" s="405" t="s">
        <v>363</v>
      </c>
      <c r="DC448" s="406" t="s">
        <v>85</v>
      </c>
      <c r="DD448" s="405" t="s">
        <v>917</v>
      </c>
      <c r="DE448" s="405" t="s">
        <v>5</v>
      </c>
      <c r="DF448" s="406" t="s">
        <v>85</v>
      </c>
      <c r="DG448" s="407">
        <v>45847</v>
      </c>
      <c r="DH448" s="405" t="s">
        <v>7459</v>
      </c>
      <c r="DI448" s="406">
        <v>465455</v>
      </c>
      <c r="DJ448" s="408">
        <v>5</v>
      </c>
      <c r="DK448" s="405">
        <v>1</v>
      </c>
      <c r="DL448" s="82">
        <v>319.22000000000003</v>
      </c>
      <c r="DM448" s="409">
        <v>1.5961000000000001</v>
      </c>
      <c r="DN448" s="82" t="s">
        <v>85</v>
      </c>
      <c r="DO448" s="82" t="s">
        <v>85</v>
      </c>
      <c r="DP448" s="410" t="s">
        <v>85</v>
      </c>
    </row>
    <row r="449" spans="1:120" x14ac:dyDescent="0.25">
      <c r="A449" s="16" t="s">
        <v>6880</v>
      </c>
      <c r="B449" s="16" t="s">
        <v>6881</v>
      </c>
      <c r="C449" s="16" t="s">
        <v>6882</v>
      </c>
      <c r="D449" s="16" t="s">
        <v>6883</v>
      </c>
      <c r="E449" s="16" t="s">
        <v>6884</v>
      </c>
      <c r="F449" s="16" t="s">
        <v>6885</v>
      </c>
      <c r="G449" s="16" t="s">
        <v>6886</v>
      </c>
      <c r="H449" s="16" t="s">
        <v>6885</v>
      </c>
      <c r="I449" s="16" t="s">
        <v>1090</v>
      </c>
      <c r="J449" s="16" t="s">
        <v>943</v>
      </c>
      <c r="K449" s="16" t="s">
        <v>1091</v>
      </c>
      <c r="L449" s="16" t="s">
        <v>85</v>
      </c>
      <c r="M449" s="16" t="s">
        <v>984</v>
      </c>
      <c r="N449" s="16" t="s">
        <v>914</v>
      </c>
      <c r="O449" s="16" t="s">
        <v>985</v>
      </c>
      <c r="P449" s="16" t="s">
        <v>914</v>
      </c>
      <c r="Q449" s="16" t="s">
        <v>985</v>
      </c>
      <c r="R449" s="16" t="s">
        <v>915</v>
      </c>
      <c r="S449" s="16" t="s">
        <v>915</v>
      </c>
      <c r="T449" s="16" t="s">
        <v>986</v>
      </c>
      <c r="U449" s="16" t="s">
        <v>987</v>
      </c>
      <c r="V449" s="16" t="s">
        <v>916</v>
      </c>
      <c r="W449" s="16" t="s">
        <v>987</v>
      </c>
      <c r="X449" s="16" t="s">
        <v>934</v>
      </c>
      <c r="Y449" s="16" t="s">
        <v>934</v>
      </c>
      <c r="Z449" s="16" t="s">
        <v>935</v>
      </c>
      <c r="DA449" s="405" t="s">
        <v>5</v>
      </c>
      <c r="DB449" s="405" t="s">
        <v>363</v>
      </c>
      <c r="DC449" s="406" t="s">
        <v>85</v>
      </c>
      <c r="DD449" s="405" t="s">
        <v>917</v>
      </c>
      <c r="DE449" s="405" t="s">
        <v>5</v>
      </c>
      <c r="DF449" s="406" t="s">
        <v>85</v>
      </c>
      <c r="DG449" s="407">
        <v>45848</v>
      </c>
      <c r="DH449" s="405" t="s">
        <v>6884</v>
      </c>
      <c r="DI449" s="406">
        <v>465455</v>
      </c>
      <c r="DJ449" s="408">
        <v>5</v>
      </c>
      <c r="DK449" s="405">
        <v>1</v>
      </c>
      <c r="DL449" s="82">
        <v>340.55</v>
      </c>
      <c r="DM449" s="409">
        <v>1.70275</v>
      </c>
      <c r="DN449" s="82" t="s">
        <v>85</v>
      </c>
      <c r="DO449" s="82" t="s">
        <v>85</v>
      </c>
      <c r="DP449" s="410" t="s">
        <v>85</v>
      </c>
    </row>
    <row r="450" spans="1:120" x14ac:dyDescent="0.25">
      <c r="A450" s="16" t="s">
        <v>6887</v>
      </c>
      <c r="B450" s="16" t="s">
        <v>6888</v>
      </c>
      <c r="C450" s="16" t="s">
        <v>6889</v>
      </c>
      <c r="D450" s="16" t="s">
        <v>6883</v>
      </c>
      <c r="E450" s="16" t="s">
        <v>6890</v>
      </c>
      <c r="F450" s="16" t="s">
        <v>6891</v>
      </c>
      <c r="G450" s="16" t="s">
        <v>6892</v>
      </c>
      <c r="H450" s="16" t="s">
        <v>6893</v>
      </c>
      <c r="I450" s="16" t="s">
        <v>1248</v>
      </c>
      <c r="J450" s="16" t="s">
        <v>995</v>
      </c>
      <c r="K450" s="16" t="s">
        <v>1249</v>
      </c>
      <c r="L450" s="16" t="s">
        <v>85</v>
      </c>
      <c r="M450" s="16" t="s">
        <v>1165</v>
      </c>
      <c r="N450" s="16" t="s">
        <v>914</v>
      </c>
      <c r="O450" s="16" t="s">
        <v>1166</v>
      </c>
      <c r="P450" s="16" t="s">
        <v>914</v>
      </c>
      <c r="Q450" s="16" t="s">
        <v>1166</v>
      </c>
      <c r="R450" s="16" t="s">
        <v>915</v>
      </c>
      <c r="S450" s="16" t="s">
        <v>915</v>
      </c>
      <c r="T450" s="16" t="s">
        <v>1167</v>
      </c>
      <c r="U450" s="16" t="s">
        <v>1168</v>
      </c>
      <c r="V450" s="16" t="s">
        <v>916</v>
      </c>
      <c r="W450" s="16" t="s">
        <v>1168</v>
      </c>
      <c r="X450" s="16" t="s">
        <v>934</v>
      </c>
      <c r="Y450" s="16" t="s">
        <v>934</v>
      </c>
      <c r="Z450" s="16" t="s">
        <v>935</v>
      </c>
      <c r="DA450" s="405" t="s">
        <v>5</v>
      </c>
      <c r="DB450" s="405" t="s">
        <v>363</v>
      </c>
      <c r="DC450" s="406" t="s">
        <v>85</v>
      </c>
      <c r="DD450" s="405" t="s">
        <v>917</v>
      </c>
      <c r="DE450" s="405" t="s">
        <v>5</v>
      </c>
      <c r="DF450" s="406" t="s">
        <v>85</v>
      </c>
      <c r="DG450" s="407">
        <v>45848</v>
      </c>
      <c r="DH450" s="405" t="s">
        <v>6890</v>
      </c>
      <c r="DI450" s="406">
        <v>465455</v>
      </c>
      <c r="DJ450" s="408">
        <v>5</v>
      </c>
      <c r="DK450" s="405">
        <v>1</v>
      </c>
      <c r="DL450" s="82">
        <v>468.28</v>
      </c>
      <c r="DM450" s="409">
        <v>2.3413999999999997</v>
      </c>
      <c r="DN450" s="82" t="s">
        <v>85</v>
      </c>
      <c r="DO450" s="82" t="s">
        <v>85</v>
      </c>
      <c r="DP450" s="410" t="s">
        <v>85</v>
      </c>
    </row>
    <row r="451" spans="1:120" x14ac:dyDescent="0.25">
      <c r="A451" s="16" t="s">
        <v>6894</v>
      </c>
      <c r="B451" s="16" t="s">
        <v>6895</v>
      </c>
      <c r="C451" s="16" t="s">
        <v>6896</v>
      </c>
      <c r="D451" s="16" t="s">
        <v>6883</v>
      </c>
      <c r="E451" s="16" t="s">
        <v>6897</v>
      </c>
      <c r="F451" s="16" t="s">
        <v>6898</v>
      </c>
      <c r="G451" s="16" t="s">
        <v>6899</v>
      </c>
      <c r="H451" s="16" t="s">
        <v>6898</v>
      </c>
      <c r="I451" s="16" t="s">
        <v>1066</v>
      </c>
      <c r="J451" s="16" t="s">
        <v>943</v>
      </c>
      <c r="K451" s="16" t="s">
        <v>1067</v>
      </c>
      <c r="L451" s="16" t="s">
        <v>85</v>
      </c>
      <c r="M451" s="16" t="s">
        <v>984</v>
      </c>
      <c r="N451" s="16" t="s">
        <v>914</v>
      </c>
      <c r="O451" s="16" t="s">
        <v>985</v>
      </c>
      <c r="P451" s="16" t="s">
        <v>914</v>
      </c>
      <c r="Q451" s="16" t="s">
        <v>985</v>
      </c>
      <c r="R451" s="16" t="s">
        <v>915</v>
      </c>
      <c r="S451" s="16" t="s">
        <v>915</v>
      </c>
      <c r="T451" s="16" t="s">
        <v>986</v>
      </c>
      <c r="U451" s="16" t="s">
        <v>987</v>
      </c>
      <c r="V451" s="16" t="s">
        <v>916</v>
      </c>
      <c r="W451" s="16" t="s">
        <v>987</v>
      </c>
      <c r="X451" s="16" t="s">
        <v>934</v>
      </c>
      <c r="Y451" s="16" t="s">
        <v>934</v>
      </c>
      <c r="Z451" s="16" t="s">
        <v>935</v>
      </c>
      <c r="DA451" s="405" t="s">
        <v>5</v>
      </c>
      <c r="DB451" s="405" t="s">
        <v>363</v>
      </c>
      <c r="DC451" s="406" t="s">
        <v>85</v>
      </c>
      <c r="DD451" s="405" t="s">
        <v>917</v>
      </c>
      <c r="DE451" s="405" t="s">
        <v>5</v>
      </c>
      <c r="DF451" s="406" t="s">
        <v>85</v>
      </c>
      <c r="DG451" s="407">
        <v>45848</v>
      </c>
      <c r="DH451" s="405" t="s">
        <v>6897</v>
      </c>
      <c r="DI451" s="406">
        <v>465455</v>
      </c>
      <c r="DJ451" s="408">
        <v>5</v>
      </c>
      <c r="DK451" s="405">
        <v>1</v>
      </c>
      <c r="DL451" s="82">
        <v>340.55</v>
      </c>
      <c r="DM451" s="409">
        <v>1.70275</v>
      </c>
      <c r="DN451" s="82" t="s">
        <v>85</v>
      </c>
      <c r="DO451" s="82" t="s">
        <v>85</v>
      </c>
      <c r="DP451" s="410" t="s">
        <v>85</v>
      </c>
    </row>
    <row r="452" spans="1:120" x14ac:dyDescent="0.25">
      <c r="A452" s="16" t="s">
        <v>6900</v>
      </c>
      <c r="B452" s="16" t="s">
        <v>6901</v>
      </c>
      <c r="C452" s="16" t="s">
        <v>6902</v>
      </c>
      <c r="D452" s="16" t="s">
        <v>6883</v>
      </c>
      <c r="E452" s="16" t="s">
        <v>6903</v>
      </c>
      <c r="F452" s="16" t="s">
        <v>6904</v>
      </c>
      <c r="G452" s="16" t="s">
        <v>6905</v>
      </c>
      <c r="H452" s="16" t="s">
        <v>6904</v>
      </c>
      <c r="I452" s="16" t="s">
        <v>1772</v>
      </c>
      <c r="J452" s="16" t="s">
        <v>1036</v>
      </c>
      <c r="K452" s="16" t="s">
        <v>1773</v>
      </c>
      <c r="L452" s="16" t="s">
        <v>85</v>
      </c>
      <c r="M452" s="16" t="s">
        <v>1216</v>
      </c>
      <c r="N452" s="16" t="s">
        <v>914</v>
      </c>
      <c r="O452" s="16" t="s">
        <v>946</v>
      </c>
      <c r="P452" s="16" t="s">
        <v>914</v>
      </c>
      <c r="Q452" s="16" t="s">
        <v>946</v>
      </c>
      <c r="R452" s="16" t="s">
        <v>915</v>
      </c>
      <c r="S452" s="16" t="s">
        <v>915</v>
      </c>
      <c r="T452" s="16" t="s">
        <v>1216</v>
      </c>
      <c r="U452" s="16" t="s">
        <v>1217</v>
      </c>
      <c r="V452" s="16" t="s">
        <v>916</v>
      </c>
      <c r="W452" s="16" t="s">
        <v>1217</v>
      </c>
      <c r="X452" s="16" t="s">
        <v>934</v>
      </c>
      <c r="Y452" s="16" t="s">
        <v>934</v>
      </c>
      <c r="Z452" s="16" t="s">
        <v>935</v>
      </c>
      <c r="DA452" s="405" t="s">
        <v>5</v>
      </c>
      <c r="DB452" s="405" t="s">
        <v>363</v>
      </c>
      <c r="DC452" s="406" t="s">
        <v>85</v>
      </c>
      <c r="DD452" s="405" t="s">
        <v>917</v>
      </c>
      <c r="DE452" s="405" t="s">
        <v>5</v>
      </c>
      <c r="DF452" s="406" t="s">
        <v>85</v>
      </c>
      <c r="DG452" s="407">
        <v>45848</v>
      </c>
      <c r="DH452" s="405" t="s">
        <v>6903</v>
      </c>
      <c r="DI452" s="406">
        <v>465455</v>
      </c>
      <c r="DJ452" s="408">
        <v>5</v>
      </c>
      <c r="DK452" s="405">
        <v>1</v>
      </c>
      <c r="DL452" s="82">
        <v>319.22000000000003</v>
      </c>
      <c r="DM452" s="409">
        <v>1.5961000000000001</v>
      </c>
      <c r="DN452" s="82" t="s">
        <v>85</v>
      </c>
      <c r="DO452" s="82" t="s">
        <v>85</v>
      </c>
      <c r="DP452" s="410" t="s">
        <v>85</v>
      </c>
    </row>
    <row r="453" spans="1:120" x14ac:dyDescent="0.25">
      <c r="A453" s="16" t="s">
        <v>6906</v>
      </c>
      <c r="B453" s="16" t="s">
        <v>6907</v>
      </c>
      <c r="C453" s="16" t="s">
        <v>6908</v>
      </c>
      <c r="D453" s="16" t="s">
        <v>6883</v>
      </c>
      <c r="E453" s="16" t="s">
        <v>6909</v>
      </c>
      <c r="F453" s="16" t="s">
        <v>6910</v>
      </c>
      <c r="G453" s="16" t="s">
        <v>6911</v>
      </c>
      <c r="H453" s="16" t="s">
        <v>6910</v>
      </c>
      <c r="I453" s="16" t="s">
        <v>1269</v>
      </c>
      <c r="J453" s="16" t="s">
        <v>943</v>
      </c>
      <c r="K453" s="16" t="s">
        <v>1270</v>
      </c>
      <c r="L453" s="16" t="s">
        <v>85</v>
      </c>
      <c r="M453" s="16" t="s">
        <v>984</v>
      </c>
      <c r="N453" s="16" t="s">
        <v>914</v>
      </c>
      <c r="O453" s="16" t="s">
        <v>985</v>
      </c>
      <c r="P453" s="16" t="s">
        <v>914</v>
      </c>
      <c r="Q453" s="16" t="s">
        <v>985</v>
      </c>
      <c r="R453" s="16" t="s">
        <v>915</v>
      </c>
      <c r="S453" s="16" t="s">
        <v>915</v>
      </c>
      <c r="T453" s="16" t="s">
        <v>986</v>
      </c>
      <c r="U453" s="16" t="s">
        <v>987</v>
      </c>
      <c r="V453" s="16" t="s">
        <v>916</v>
      </c>
      <c r="W453" s="16" t="s">
        <v>987</v>
      </c>
      <c r="X453" s="16" t="s">
        <v>934</v>
      </c>
      <c r="Y453" s="16" t="s">
        <v>934</v>
      </c>
      <c r="Z453" s="16" t="s">
        <v>935</v>
      </c>
      <c r="DA453" s="405" t="s">
        <v>5</v>
      </c>
      <c r="DB453" s="405" t="s">
        <v>363</v>
      </c>
      <c r="DC453" s="406" t="s">
        <v>85</v>
      </c>
      <c r="DD453" s="405" t="s">
        <v>917</v>
      </c>
      <c r="DE453" s="405" t="s">
        <v>5</v>
      </c>
      <c r="DF453" s="406" t="s">
        <v>85</v>
      </c>
      <c r="DG453" s="407">
        <v>45848</v>
      </c>
      <c r="DH453" s="405" t="s">
        <v>6909</v>
      </c>
      <c r="DI453" s="406">
        <v>465455</v>
      </c>
      <c r="DJ453" s="408">
        <v>5</v>
      </c>
      <c r="DK453" s="405">
        <v>1</v>
      </c>
      <c r="DL453" s="82">
        <v>340.55</v>
      </c>
      <c r="DM453" s="409">
        <v>1.70275</v>
      </c>
      <c r="DN453" s="82" t="s">
        <v>85</v>
      </c>
      <c r="DO453" s="82" t="s">
        <v>85</v>
      </c>
      <c r="DP453" s="410" t="s">
        <v>85</v>
      </c>
    </row>
    <row r="454" spans="1:120" x14ac:dyDescent="0.25">
      <c r="A454" s="16" t="s">
        <v>6912</v>
      </c>
      <c r="B454" s="16" t="s">
        <v>6913</v>
      </c>
      <c r="C454" s="16" t="s">
        <v>6914</v>
      </c>
      <c r="D454" s="16" t="s">
        <v>6883</v>
      </c>
      <c r="E454" s="16" t="s">
        <v>6915</v>
      </c>
      <c r="F454" s="16" t="s">
        <v>6916</v>
      </c>
      <c r="G454" s="16" t="s">
        <v>6917</v>
      </c>
      <c r="H454" s="16" t="s">
        <v>6916</v>
      </c>
      <c r="I454" s="16" t="s">
        <v>1728</v>
      </c>
      <c r="J454" s="16" t="s">
        <v>943</v>
      </c>
      <c r="K454" s="16" t="s">
        <v>1729</v>
      </c>
      <c r="L454" s="16" t="s">
        <v>85</v>
      </c>
      <c r="M454" s="16" t="s">
        <v>984</v>
      </c>
      <c r="N454" s="16" t="s">
        <v>914</v>
      </c>
      <c r="O454" s="16" t="s">
        <v>985</v>
      </c>
      <c r="P454" s="16" t="s">
        <v>914</v>
      </c>
      <c r="Q454" s="16" t="s">
        <v>985</v>
      </c>
      <c r="R454" s="16" t="s">
        <v>915</v>
      </c>
      <c r="S454" s="16" t="s">
        <v>915</v>
      </c>
      <c r="T454" s="16" t="s">
        <v>986</v>
      </c>
      <c r="U454" s="16" t="s">
        <v>987</v>
      </c>
      <c r="V454" s="16" t="s">
        <v>916</v>
      </c>
      <c r="W454" s="16" t="s">
        <v>987</v>
      </c>
      <c r="X454" s="16" t="s">
        <v>934</v>
      </c>
      <c r="Y454" s="16" t="s">
        <v>934</v>
      </c>
      <c r="Z454" s="16" t="s">
        <v>935</v>
      </c>
      <c r="DA454" s="405" t="s">
        <v>5</v>
      </c>
      <c r="DB454" s="405" t="s">
        <v>363</v>
      </c>
      <c r="DC454" s="406" t="s">
        <v>85</v>
      </c>
      <c r="DD454" s="405" t="s">
        <v>917</v>
      </c>
      <c r="DE454" s="405" t="s">
        <v>5</v>
      </c>
      <c r="DF454" s="406" t="s">
        <v>85</v>
      </c>
      <c r="DG454" s="407">
        <v>45848</v>
      </c>
      <c r="DH454" s="405" t="s">
        <v>6915</v>
      </c>
      <c r="DI454" s="406">
        <v>465455</v>
      </c>
      <c r="DJ454" s="408">
        <v>5</v>
      </c>
      <c r="DK454" s="405">
        <v>1</v>
      </c>
      <c r="DL454" s="82">
        <v>340.55</v>
      </c>
      <c r="DM454" s="409">
        <v>1.70275</v>
      </c>
      <c r="DN454" s="82" t="s">
        <v>85</v>
      </c>
      <c r="DO454" s="82" t="s">
        <v>85</v>
      </c>
      <c r="DP454" s="410" t="s">
        <v>85</v>
      </c>
    </row>
    <row r="455" spans="1:120" x14ac:dyDescent="0.25">
      <c r="A455" s="16" t="s">
        <v>6912</v>
      </c>
      <c r="B455" s="16" t="s">
        <v>6913</v>
      </c>
      <c r="C455" s="16" t="s">
        <v>6914</v>
      </c>
      <c r="D455" s="16" t="s">
        <v>6883</v>
      </c>
      <c r="E455" s="16" t="s">
        <v>6915</v>
      </c>
      <c r="F455" s="16" t="s">
        <v>6916</v>
      </c>
      <c r="G455" s="16" t="s">
        <v>6917</v>
      </c>
      <c r="H455" s="16" t="s">
        <v>6916</v>
      </c>
      <c r="I455" s="16" t="s">
        <v>2958</v>
      </c>
      <c r="J455" s="16" t="s">
        <v>943</v>
      </c>
      <c r="K455" s="16" t="s">
        <v>2959</v>
      </c>
      <c r="L455" s="16" t="s">
        <v>85</v>
      </c>
      <c r="M455" s="16" t="s">
        <v>984</v>
      </c>
      <c r="N455" s="16" t="s">
        <v>914</v>
      </c>
      <c r="O455" s="16" t="s">
        <v>985</v>
      </c>
      <c r="P455" s="16" t="s">
        <v>914</v>
      </c>
      <c r="Q455" s="16" t="s">
        <v>985</v>
      </c>
      <c r="R455" s="16" t="s">
        <v>915</v>
      </c>
      <c r="S455" s="16" t="s">
        <v>915</v>
      </c>
      <c r="T455" s="16" t="s">
        <v>986</v>
      </c>
      <c r="U455" s="16" t="s">
        <v>987</v>
      </c>
      <c r="V455" s="16" t="s">
        <v>916</v>
      </c>
      <c r="W455" s="16" t="s">
        <v>987</v>
      </c>
      <c r="X455" s="16" t="s">
        <v>934</v>
      </c>
      <c r="Y455" s="16" t="s">
        <v>934</v>
      </c>
      <c r="Z455" s="16" t="s">
        <v>935</v>
      </c>
      <c r="DA455" s="405" t="s">
        <v>5</v>
      </c>
      <c r="DB455" s="405" t="s">
        <v>363</v>
      </c>
      <c r="DC455" s="406" t="s">
        <v>85</v>
      </c>
      <c r="DD455" s="405" t="s">
        <v>917</v>
      </c>
      <c r="DE455" s="405" t="s">
        <v>5</v>
      </c>
      <c r="DF455" s="406" t="s">
        <v>85</v>
      </c>
      <c r="DG455" s="407">
        <v>45848</v>
      </c>
      <c r="DH455" s="405" t="s">
        <v>6915</v>
      </c>
      <c r="DI455" s="406">
        <v>465455</v>
      </c>
      <c r="DJ455" s="408">
        <v>5</v>
      </c>
      <c r="DK455" s="405">
        <v>1</v>
      </c>
      <c r="DL455" s="82">
        <v>340.55</v>
      </c>
      <c r="DM455" s="409">
        <v>1.70275</v>
      </c>
      <c r="DN455" s="82" t="s">
        <v>85</v>
      </c>
      <c r="DO455" s="82" t="s">
        <v>85</v>
      </c>
      <c r="DP455" s="410" t="s">
        <v>85</v>
      </c>
    </row>
    <row r="456" spans="1:120" x14ac:dyDescent="0.25">
      <c r="A456" s="16" t="s">
        <v>6918</v>
      </c>
      <c r="B456" s="16" t="s">
        <v>6919</v>
      </c>
      <c r="C456" s="16" t="s">
        <v>6920</v>
      </c>
      <c r="D456" s="16" t="s">
        <v>6883</v>
      </c>
      <c r="E456" s="16" t="s">
        <v>6921</v>
      </c>
      <c r="F456" s="16" t="s">
        <v>6922</v>
      </c>
      <c r="G456" s="16" t="s">
        <v>6923</v>
      </c>
      <c r="H456" s="16" t="s">
        <v>6924</v>
      </c>
      <c r="I456" s="16" t="s">
        <v>1248</v>
      </c>
      <c r="J456" s="16" t="s">
        <v>995</v>
      </c>
      <c r="K456" s="16" t="s">
        <v>1249</v>
      </c>
      <c r="L456" s="16" t="s">
        <v>85</v>
      </c>
      <c r="M456" s="16" t="s">
        <v>1165</v>
      </c>
      <c r="N456" s="16" t="s">
        <v>914</v>
      </c>
      <c r="O456" s="16" t="s">
        <v>1166</v>
      </c>
      <c r="P456" s="16" t="s">
        <v>914</v>
      </c>
      <c r="Q456" s="16" t="s">
        <v>1166</v>
      </c>
      <c r="R456" s="16" t="s">
        <v>915</v>
      </c>
      <c r="S456" s="16" t="s">
        <v>915</v>
      </c>
      <c r="T456" s="16" t="s">
        <v>1167</v>
      </c>
      <c r="U456" s="16" t="s">
        <v>1168</v>
      </c>
      <c r="V456" s="16" t="s">
        <v>916</v>
      </c>
      <c r="W456" s="16" t="s">
        <v>1168</v>
      </c>
      <c r="X456" s="16" t="s">
        <v>934</v>
      </c>
      <c r="Y456" s="16" t="s">
        <v>934</v>
      </c>
      <c r="Z456" s="16" t="s">
        <v>935</v>
      </c>
      <c r="DA456" s="405" t="s">
        <v>5</v>
      </c>
      <c r="DB456" s="405" t="s">
        <v>363</v>
      </c>
      <c r="DC456" s="406" t="s">
        <v>85</v>
      </c>
      <c r="DD456" s="405" t="s">
        <v>917</v>
      </c>
      <c r="DE456" s="405" t="s">
        <v>5</v>
      </c>
      <c r="DF456" s="406" t="s">
        <v>85</v>
      </c>
      <c r="DG456" s="407">
        <v>45848</v>
      </c>
      <c r="DH456" s="405" t="s">
        <v>6921</v>
      </c>
      <c r="DI456" s="406">
        <v>465455</v>
      </c>
      <c r="DJ456" s="408">
        <v>5</v>
      </c>
      <c r="DK456" s="405">
        <v>1</v>
      </c>
      <c r="DL456" s="82">
        <v>468.28</v>
      </c>
      <c r="DM456" s="409">
        <v>2.3413999999999997</v>
      </c>
      <c r="DN456" s="82" t="s">
        <v>85</v>
      </c>
      <c r="DO456" s="82" t="s">
        <v>85</v>
      </c>
      <c r="DP456" s="410" t="s">
        <v>85</v>
      </c>
    </row>
    <row r="457" spans="1:120" x14ac:dyDescent="0.25">
      <c r="A457" s="16" t="s">
        <v>6925</v>
      </c>
      <c r="B457" s="16" t="s">
        <v>6926</v>
      </c>
      <c r="C457" s="16" t="s">
        <v>6927</v>
      </c>
      <c r="D457" s="16" t="s">
        <v>6883</v>
      </c>
      <c r="E457" s="16" t="s">
        <v>6928</v>
      </c>
      <c r="F457" s="16" t="s">
        <v>6929</v>
      </c>
      <c r="G457" s="16" t="s">
        <v>6930</v>
      </c>
      <c r="H457" s="16" t="s">
        <v>6929</v>
      </c>
      <c r="I457" s="16" t="s">
        <v>1979</v>
      </c>
      <c r="J457" s="16" t="s">
        <v>1123</v>
      </c>
      <c r="K457" s="16" t="s">
        <v>1980</v>
      </c>
      <c r="L457" s="16" t="s">
        <v>85</v>
      </c>
      <c r="M457" s="16" t="s">
        <v>1238</v>
      </c>
      <c r="N457" s="16" t="s">
        <v>914</v>
      </c>
      <c r="O457" s="16" t="s">
        <v>1239</v>
      </c>
      <c r="P457" s="16" t="s">
        <v>914</v>
      </c>
      <c r="Q457" s="16" t="s">
        <v>1239</v>
      </c>
      <c r="R457" s="16" t="s">
        <v>915</v>
      </c>
      <c r="S457" s="16" t="s">
        <v>915</v>
      </c>
      <c r="T457" s="16" t="s">
        <v>1238</v>
      </c>
      <c r="U457" s="16" t="s">
        <v>1240</v>
      </c>
      <c r="V457" s="16" t="s">
        <v>916</v>
      </c>
      <c r="W457" s="16" t="s">
        <v>1240</v>
      </c>
      <c r="X457" s="16" t="s">
        <v>934</v>
      </c>
      <c r="Y457" s="16" t="s">
        <v>934</v>
      </c>
      <c r="Z457" s="16" t="s">
        <v>935</v>
      </c>
      <c r="DA457" s="405" t="s">
        <v>5</v>
      </c>
      <c r="DB457" s="405" t="s">
        <v>363</v>
      </c>
      <c r="DC457" s="406" t="s">
        <v>85</v>
      </c>
      <c r="DD457" s="405" t="s">
        <v>917</v>
      </c>
      <c r="DE457" s="405" t="s">
        <v>5</v>
      </c>
      <c r="DF457" s="406" t="s">
        <v>85</v>
      </c>
      <c r="DG457" s="407">
        <v>45848</v>
      </c>
      <c r="DH457" s="405" t="s">
        <v>6928</v>
      </c>
      <c r="DI457" s="406">
        <v>465455</v>
      </c>
      <c r="DJ457" s="408">
        <v>5</v>
      </c>
      <c r="DK457" s="405">
        <v>1</v>
      </c>
      <c r="DL457" s="82">
        <v>383.16</v>
      </c>
      <c r="DM457" s="409">
        <v>1.9158000000000002</v>
      </c>
      <c r="DN457" s="82" t="s">
        <v>85</v>
      </c>
      <c r="DO457" s="82" t="s">
        <v>85</v>
      </c>
      <c r="DP457" s="410" t="s">
        <v>85</v>
      </c>
    </row>
    <row r="458" spans="1:120" x14ac:dyDescent="0.25">
      <c r="A458" s="16" t="s">
        <v>6931</v>
      </c>
      <c r="B458" s="16" t="s">
        <v>6932</v>
      </c>
      <c r="C458" s="16" t="s">
        <v>6933</v>
      </c>
      <c r="D458" s="16" t="s">
        <v>6883</v>
      </c>
      <c r="E458" s="16" t="s">
        <v>6934</v>
      </c>
      <c r="F458" s="16" t="s">
        <v>6935</v>
      </c>
      <c r="G458" s="16" t="s">
        <v>6936</v>
      </c>
      <c r="H458" s="16" t="s">
        <v>6937</v>
      </c>
      <c r="I458" s="16" t="s">
        <v>1150</v>
      </c>
      <c r="J458" s="16" t="s">
        <v>943</v>
      </c>
      <c r="K458" s="16" t="s">
        <v>1151</v>
      </c>
      <c r="L458" s="16" t="s">
        <v>85</v>
      </c>
      <c r="M458" s="16" t="s">
        <v>984</v>
      </c>
      <c r="N458" s="16" t="s">
        <v>914</v>
      </c>
      <c r="O458" s="16" t="s">
        <v>985</v>
      </c>
      <c r="P458" s="16" t="s">
        <v>914</v>
      </c>
      <c r="Q458" s="16" t="s">
        <v>985</v>
      </c>
      <c r="R458" s="16" t="s">
        <v>915</v>
      </c>
      <c r="S458" s="16" t="s">
        <v>915</v>
      </c>
      <c r="T458" s="16" t="s">
        <v>986</v>
      </c>
      <c r="U458" s="16" t="s">
        <v>987</v>
      </c>
      <c r="V458" s="16" t="s">
        <v>916</v>
      </c>
      <c r="W458" s="16" t="s">
        <v>987</v>
      </c>
      <c r="X458" s="16" t="s">
        <v>934</v>
      </c>
      <c r="Y458" s="16" t="s">
        <v>934</v>
      </c>
      <c r="Z458" s="16" t="s">
        <v>935</v>
      </c>
      <c r="DA458" s="405" t="s">
        <v>5</v>
      </c>
      <c r="DB458" s="405" t="s">
        <v>363</v>
      </c>
      <c r="DC458" s="406" t="s">
        <v>85</v>
      </c>
      <c r="DD458" s="405" t="s">
        <v>917</v>
      </c>
      <c r="DE458" s="405" t="s">
        <v>5</v>
      </c>
      <c r="DF458" s="406" t="s">
        <v>85</v>
      </c>
      <c r="DG458" s="407">
        <v>45848</v>
      </c>
      <c r="DH458" s="405" t="s">
        <v>6934</v>
      </c>
      <c r="DI458" s="406">
        <v>465455</v>
      </c>
      <c r="DJ458" s="408">
        <v>5</v>
      </c>
      <c r="DK458" s="405">
        <v>1</v>
      </c>
      <c r="DL458" s="82">
        <v>340.55</v>
      </c>
      <c r="DM458" s="409">
        <v>1.70275</v>
      </c>
      <c r="DN458" s="82" t="s">
        <v>85</v>
      </c>
      <c r="DO458" s="82" t="s">
        <v>85</v>
      </c>
      <c r="DP458" s="410" t="s">
        <v>85</v>
      </c>
    </row>
    <row r="459" spans="1:120" x14ac:dyDescent="0.25">
      <c r="A459" s="16" t="s">
        <v>6931</v>
      </c>
      <c r="B459" s="16" t="s">
        <v>6932</v>
      </c>
      <c r="C459" s="16" t="s">
        <v>6933</v>
      </c>
      <c r="D459" s="16" t="s">
        <v>6883</v>
      </c>
      <c r="E459" s="16" t="s">
        <v>6934</v>
      </c>
      <c r="F459" s="16" t="s">
        <v>6935</v>
      </c>
      <c r="G459" s="16" t="s">
        <v>6936</v>
      </c>
      <c r="H459" s="16" t="s">
        <v>6937</v>
      </c>
      <c r="I459" s="16" t="s">
        <v>1090</v>
      </c>
      <c r="J459" s="16" t="s">
        <v>943</v>
      </c>
      <c r="K459" s="16" t="s">
        <v>1091</v>
      </c>
      <c r="L459" s="16" t="s">
        <v>85</v>
      </c>
      <c r="M459" s="16" t="s">
        <v>984</v>
      </c>
      <c r="N459" s="16" t="s">
        <v>914</v>
      </c>
      <c r="O459" s="16" t="s">
        <v>985</v>
      </c>
      <c r="P459" s="16" t="s">
        <v>914</v>
      </c>
      <c r="Q459" s="16" t="s">
        <v>985</v>
      </c>
      <c r="R459" s="16" t="s">
        <v>915</v>
      </c>
      <c r="S459" s="16" t="s">
        <v>915</v>
      </c>
      <c r="T459" s="16" t="s">
        <v>986</v>
      </c>
      <c r="U459" s="16" t="s">
        <v>987</v>
      </c>
      <c r="V459" s="16" t="s">
        <v>916</v>
      </c>
      <c r="W459" s="16" t="s">
        <v>987</v>
      </c>
      <c r="X459" s="16" t="s">
        <v>934</v>
      </c>
      <c r="Y459" s="16" t="s">
        <v>934</v>
      </c>
      <c r="Z459" s="16" t="s">
        <v>935</v>
      </c>
      <c r="DA459" s="405" t="s">
        <v>5</v>
      </c>
      <c r="DB459" s="405" t="s">
        <v>363</v>
      </c>
      <c r="DC459" s="406" t="s">
        <v>85</v>
      </c>
      <c r="DD459" s="405" t="s">
        <v>917</v>
      </c>
      <c r="DE459" s="405" t="s">
        <v>5</v>
      </c>
      <c r="DF459" s="406" t="s">
        <v>85</v>
      </c>
      <c r="DG459" s="407">
        <v>45848</v>
      </c>
      <c r="DH459" s="405" t="s">
        <v>6934</v>
      </c>
      <c r="DI459" s="406">
        <v>465455</v>
      </c>
      <c r="DJ459" s="408">
        <v>5</v>
      </c>
      <c r="DK459" s="405">
        <v>1</v>
      </c>
      <c r="DL459" s="82">
        <v>340.55</v>
      </c>
      <c r="DM459" s="409">
        <v>1.70275</v>
      </c>
      <c r="DN459" s="82" t="s">
        <v>85</v>
      </c>
      <c r="DO459" s="82" t="s">
        <v>85</v>
      </c>
      <c r="DP459" s="410" t="s">
        <v>85</v>
      </c>
    </row>
    <row r="460" spans="1:120" x14ac:dyDescent="0.25">
      <c r="A460" s="16" t="s">
        <v>6931</v>
      </c>
      <c r="B460" s="16" t="s">
        <v>6932</v>
      </c>
      <c r="C460" s="16" t="s">
        <v>6933</v>
      </c>
      <c r="D460" s="16" t="s">
        <v>6883</v>
      </c>
      <c r="E460" s="16" t="s">
        <v>6934</v>
      </c>
      <c r="F460" s="16" t="s">
        <v>6935</v>
      </c>
      <c r="G460" s="16" t="s">
        <v>6936</v>
      </c>
      <c r="H460" s="16" t="s">
        <v>6937</v>
      </c>
      <c r="I460" s="16" t="s">
        <v>5922</v>
      </c>
      <c r="J460" s="16" t="s">
        <v>943</v>
      </c>
      <c r="K460" s="16" t="s">
        <v>5923</v>
      </c>
      <c r="L460" s="16" t="s">
        <v>85</v>
      </c>
      <c r="M460" s="16" t="s">
        <v>984</v>
      </c>
      <c r="N460" s="16" t="s">
        <v>914</v>
      </c>
      <c r="O460" s="16" t="s">
        <v>985</v>
      </c>
      <c r="P460" s="16" t="s">
        <v>914</v>
      </c>
      <c r="Q460" s="16" t="s">
        <v>985</v>
      </c>
      <c r="R460" s="16" t="s">
        <v>915</v>
      </c>
      <c r="S460" s="16" t="s">
        <v>915</v>
      </c>
      <c r="T460" s="16" t="s">
        <v>986</v>
      </c>
      <c r="U460" s="16" t="s">
        <v>987</v>
      </c>
      <c r="V460" s="16" t="s">
        <v>916</v>
      </c>
      <c r="W460" s="16" t="s">
        <v>987</v>
      </c>
      <c r="X460" s="16" t="s">
        <v>934</v>
      </c>
      <c r="Y460" s="16" t="s">
        <v>934</v>
      </c>
      <c r="Z460" s="16" t="s">
        <v>935</v>
      </c>
      <c r="DA460" s="405" t="s">
        <v>5</v>
      </c>
      <c r="DB460" s="405" t="s">
        <v>363</v>
      </c>
      <c r="DC460" s="406" t="s">
        <v>85</v>
      </c>
      <c r="DD460" s="405" t="s">
        <v>917</v>
      </c>
      <c r="DE460" s="405" t="s">
        <v>5</v>
      </c>
      <c r="DF460" s="406" t="s">
        <v>85</v>
      </c>
      <c r="DG460" s="407">
        <v>45848</v>
      </c>
      <c r="DH460" s="405" t="s">
        <v>6934</v>
      </c>
      <c r="DI460" s="406">
        <v>465455</v>
      </c>
      <c r="DJ460" s="408">
        <v>5</v>
      </c>
      <c r="DK460" s="405">
        <v>1</v>
      </c>
      <c r="DL460" s="82">
        <v>340.55</v>
      </c>
      <c r="DM460" s="409">
        <v>1.70275</v>
      </c>
      <c r="DN460" s="82" t="s">
        <v>85</v>
      </c>
      <c r="DO460" s="82" t="s">
        <v>85</v>
      </c>
      <c r="DP460" s="410" t="s">
        <v>85</v>
      </c>
    </row>
    <row r="461" spans="1:120" x14ac:dyDescent="0.25">
      <c r="A461" s="16" t="s">
        <v>6938</v>
      </c>
      <c r="B461" s="16" t="s">
        <v>6939</v>
      </c>
      <c r="C461" s="16" t="s">
        <v>6940</v>
      </c>
      <c r="D461" s="16" t="s">
        <v>6883</v>
      </c>
      <c r="E461" s="16" t="s">
        <v>6941</v>
      </c>
      <c r="F461" s="16" t="s">
        <v>6942</v>
      </c>
      <c r="G461" s="16" t="s">
        <v>6943</v>
      </c>
      <c r="H461" s="16" t="s">
        <v>6944</v>
      </c>
      <c r="I461" s="16" t="s">
        <v>1386</v>
      </c>
      <c r="J461" s="16" t="s">
        <v>1109</v>
      </c>
      <c r="K461" s="16" t="s">
        <v>1387</v>
      </c>
      <c r="L461" s="16" t="s">
        <v>85</v>
      </c>
      <c r="M461" s="16" t="s">
        <v>1311</v>
      </c>
      <c r="N461" s="16" t="s">
        <v>914</v>
      </c>
      <c r="O461" s="16" t="s">
        <v>1312</v>
      </c>
      <c r="P461" s="16" t="s">
        <v>914</v>
      </c>
      <c r="Q461" s="16" t="s">
        <v>1312</v>
      </c>
      <c r="R461" s="16" t="s">
        <v>915</v>
      </c>
      <c r="S461" s="16" t="s">
        <v>915</v>
      </c>
      <c r="T461" s="16" t="s">
        <v>1311</v>
      </c>
      <c r="U461" s="16" t="s">
        <v>1313</v>
      </c>
      <c r="V461" s="16" t="s">
        <v>916</v>
      </c>
      <c r="W461" s="16" t="s">
        <v>1313</v>
      </c>
      <c r="X461" s="16" t="s">
        <v>934</v>
      </c>
      <c r="Y461" s="16" t="s">
        <v>934</v>
      </c>
      <c r="Z461" s="16" t="s">
        <v>935</v>
      </c>
      <c r="DA461" s="405" t="s">
        <v>5</v>
      </c>
      <c r="DB461" s="405" t="s">
        <v>363</v>
      </c>
      <c r="DC461" s="406" t="s">
        <v>85</v>
      </c>
      <c r="DD461" s="405" t="s">
        <v>917</v>
      </c>
      <c r="DE461" s="405" t="s">
        <v>5</v>
      </c>
      <c r="DF461" s="406" t="s">
        <v>85</v>
      </c>
      <c r="DG461" s="407">
        <v>45848</v>
      </c>
      <c r="DH461" s="405" t="s">
        <v>6941</v>
      </c>
      <c r="DI461" s="406">
        <v>465455</v>
      </c>
      <c r="DJ461" s="408">
        <v>5</v>
      </c>
      <c r="DK461" s="405">
        <v>1</v>
      </c>
      <c r="DL461" s="82">
        <v>531.54</v>
      </c>
      <c r="DM461" s="409">
        <v>2.6576999999999997</v>
      </c>
      <c r="DN461" s="82" t="s">
        <v>85</v>
      </c>
      <c r="DO461" s="82" t="s">
        <v>85</v>
      </c>
      <c r="DP461" s="410" t="s">
        <v>85</v>
      </c>
    </row>
    <row r="462" spans="1:120" x14ac:dyDescent="0.25">
      <c r="A462" s="16" t="s">
        <v>6945</v>
      </c>
      <c r="B462" s="16" t="s">
        <v>6946</v>
      </c>
      <c r="C462" s="16" t="s">
        <v>6947</v>
      </c>
      <c r="D462" s="16" t="s">
        <v>6883</v>
      </c>
      <c r="E462" s="16" t="s">
        <v>6948</v>
      </c>
      <c r="F462" s="16" t="s">
        <v>6949</v>
      </c>
      <c r="G462" s="16" t="s">
        <v>6950</v>
      </c>
      <c r="H462" s="16" t="s">
        <v>6951</v>
      </c>
      <c r="I462" s="16" t="s">
        <v>1017</v>
      </c>
      <c r="J462" s="16" t="s">
        <v>995</v>
      </c>
      <c r="K462" s="16" t="s">
        <v>1018</v>
      </c>
      <c r="L462" s="16" t="s">
        <v>85</v>
      </c>
      <c r="M462" s="16" t="s">
        <v>1165</v>
      </c>
      <c r="N462" s="16" t="s">
        <v>914</v>
      </c>
      <c r="O462" s="16" t="s">
        <v>1166</v>
      </c>
      <c r="P462" s="16" t="s">
        <v>914</v>
      </c>
      <c r="Q462" s="16" t="s">
        <v>1166</v>
      </c>
      <c r="R462" s="16" t="s">
        <v>915</v>
      </c>
      <c r="S462" s="16" t="s">
        <v>915</v>
      </c>
      <c r="T462" s="16" t="s">
        <v>1167</v>
      </c>
      <c r="U462" s="16" t="s">
        <v>1168</v>
      </c>
      <c r="V462" s="16" t="s">
        <v>916</v>
      </c>
      <c r="W462" s="16" t="s">
        <v>1168</v>
      </c>
      <c r="X462" s="16" t="s">
        <v>934</v>
      </c>
      <c r="Y462" s="16" t="s">
        <v>934</v>
      </c>
      <c r="Z462" s="16" t="s">
        <v>935</v>
      </c>
      <c r="DA462" s="405" t="s">
        <v>5</v>
      </c>
      <c r="DB462" s="405" t="s">
        <v>363</v>
      </c>
      <c r="DC462" s="406" t="s">
        <v>85</v>
      </c>
      <c r="DD462" s="405" t="s">
        <v>917</v>
      </c>
      <c r="DE462" s="405" t="s">
        <v>5</v>
      </c>
      <c r="DF462" s="406" t="s">
        <v>85</v>
      </c>
      <c r="DG462" s="407">
        <v>45848</v>
      </c>
      <c r="DH462" s="405" t="s">
        <v>6948</v>
      </c>
      <c r="DI462" s="406">
        <v>465455</v>
      </c>
      <c r="DJ462" s="408">
        <v>5</v>
      </c>
      <c r="DK462" s="405">
        <v>1</v>
      </c>
      <c r="DL462" s="82">
        <v>468.28</v>
      </c>
      <c r="DM462" s="409">
        <v>2.3413999999999997</v>
      </c>
      <c r="DN462" s="82" t="s">
        <v>85</v>
      </c>
      <c r="DO462" s="82" t="s">
        <v>85</v>
      </c>
      <c r="DP462" s="410" t="s">
        <v>85</v>
      </c>
    </row>
    <row r="463" spans="1:120" x14ac:dyDescent="0.25">
      <c r="A463" s="16" t="s">
        <v>6952</v>
      </c>
      <c r="B463" s="16" t="s">
        <v>6953</v>
      </c>
      <c r="C463" s="16" t="s">
        <v>6954</v>
      </c>
      <c r="D463" s="16" t="s">
        <v>6883</v>
      </c>
      <c r="E463" s="16" t="s">
        <v>6955</v>
      </c>
      <c r="F463" s="16" t="s">
        <v>6956</v>
      </c>
      <c r="G463" s="16" t="s">
        <v>6957</v>
      </c>
      <c r="H463" s="16" t="s">
        <v>6958</v>
      </c>
      <c r="I463" s="16" t="s">
        <v>2997</v>
      </c>
      <c r="J463" s="16" t="s">
        <v>943</v>
      </c>
      <c r="K463" s="16" t="s">
        <v>2998</v>
      </c>
      <c r="L463" s="16" t="s">
        <v>85</v>
      </c>
      <c r="M463" s="16" t="s">
        <v>984</v>
      </c>
      <c r="N463" s="16" t="s">
        <v>914</v>
      </c>
      <c r="O463" s="16" t="s">
        <v>985</v>
      </c>
      <c r="P463" s="16" t="s">
        <v>914</v>
      </c>
      <c r="Q463" s="16" t="s">
        <v>985</v>
      </c>
      <c r="R463" s="16" t="s">
        <v>915</v>
      </c>
      <c r="S463" s="16" t="s">
        <v>915</v>
      </c>
      <c r="T463" s="16" t="s">
        <v>986</v>
      </c>
      <c r="U463" s="16" t="s">
        <v>987</v>
      </c>
      <c r="V463" s="16" t="s">
        <v>916</v>
      </c>
      <c r="W463" s="16" t="s">
        <v>987</v>
      </c>
      <c r="X463" s="16" t="s">
        <v>934</v>
      </c>
      <c r="Y463" s="16" t="s">
        <v>934</v>
      </c>
      <c r="Z463" s="16" t="s">
        <v>935</v>
      </c>
      <c r="DA463" s="405" t="s">
        <v>5</v>
      </c>
      <c r="DB463" s="405" t="s">
        <v>363</v>
      </c>
      <c r="DC463" s="406" t="s">
        <v>85</v>
      </c>
      <c r="DD463" s="405" t="s">
        <v>917</v>
      </c>
      <c r="DE463" s="405" t="s">
        <v>5</v>
      </c>
      <c r="DF463" s="406" t="s">
        <v>85</v>
      </c>
      <c r="DG463" s="407">
        <v>45848</v>
      </c>
      <c r="DH463" s="405" t="s">
        <v>6955</v>
      </c>
      <c r="DI463" s="406">
        <v>465455</v>
      </c>
      <c r="DJ463" s="408">
        <v>5</v>
      </c>
      <c r="DK463" s="405">
        <v>1</v>
      </c>
      <c r="DL463" s="82">
        <v>340.55</v>
      </c>
      <c r="DM463" s="409">
        <v>1.70275</v>
      </c>
      <c r="DN463" s="82" t="s">
        <v>85</v>
      </c>
      <c r="DO463" s="82" t="s">
        <v>85</v>
      </c>
      <c r="DP463" s="410" t="s">
        <v>85</v>
      </c>
    </row>
    <row r="464" spans="1:120" x14ac:dyDescent="0.25">
      <c r="A464" s="16" t="s">
        <v>6959</v>
      </c>
      <c r="B464" s="16" t="s">
        <v>6960</v>
      </c>
      <c r="C464" s="16" t="s">
        <v>6961</v>
      </c>
      <c r="D464" s="16" t="s">
        <v>6883</v>
      </c>
      <c r="E464" s="16" t="s">
        <v>6962</v>
      </c>
      <c r="F464" s="16" t="s">
        <v>6963</v>
      </c>
      <c r="G464" s="16" t="s">
        <v>6964</v>
      </c>
      <c r="H464" s="16" t="s">
        <v>6963</v>
      </c>
      <c r="I464" s="16" t="s">
        <v>6965</v>
      </c>
      <c r="J464" s="16" t="s">
        <v>1123</v>
      </c>
      <c r="K464" s="16" t="s">
        <v>6966</v>
      </c>
      <c r="L464" s="16" t="s">
        <v>85</v>
      </c>
      <c r="M464" s="16" t="s">
        <v>1238</v>
      </c>
      <c r="N464" s="16" t="s">
        <v>914</v>
      </c>
      <c r="O464" s="16" t="s">
        <v>1239</v>
      </c>
      <c r="P464" s="16" t="s">
        <v>914</v>
      </c>
      <c r="Q464" s="16" t="s">
        <v>1239</v>
      </c>
      <c r="R464" s="16" t="s">
        <v>915</v>
      </c>
      <c r="S464" s="16" t="s">
        <v>915</v>
      </c>
      <c r="T464" s="16" t="s">
        <v>1238</v>
      </c>
      <c r="U464" s="16" t="s">
        <v>1240</v>
      </c>
      <c r="V464" s="16" t="s">
        <v>916</v>
      </c>
      <c r="W464" s="16" t="s">
        <v>1240</v>
      </c>
      <c r="X464" s="16" t="s">
        <v>934</v>
      </c>
      <c r="Y464" s="16" t="s">
        <v>934</v>
      </c>
      <c r="Z464" s="16" t="s">
        <v>935</v>
      </c>
      <c r="DA464" s="405" t="s">
        <v>5</v>
      </c>
      <c r="DB464" s="405" t="s">
        <v>363</v>
      </c>
      <c r="DC464" s="406" t="s">
        <v>85</v>
      </c>
      <c r="DD464" s="405" t="s">
        <v>917</v>
      </c>
      <c r="DE464" s="405" t="s">
        <v>5</v>
      </c>
      <c r="DF464" s="406" t="s">
        <v>85</v>
      </c>
      <c r="DG464" s="407">
        <v>45848</v>
      </c>
      <c r="DH464" s="405" t="s">
        <v>6962</v>
      </c>
      <c r="DI464" s="406">
        <v>465455</v>
      </c>
      <c r="DJ464" s="408">
        <v>5</v>
      </c>
      <c r="DK464" s="405">
        <v>1</v>
      </c>
      <c r="DL464" s="82">
        <v>383.16</v>
      </c>
      <c r="DM464" s="409">
        <v>1.9158000000000002</v>
      </c>
      <c r="DN464" s="82" t="s">
        <v>85</v>
      </c>
      <c r="DO464" s="82" t="s">
        <v>85</v>
      </c>
      <c r="DP464" s="410" t="s">
        <v>85</v>
      </c>
    </row>
    <row r="465" spans="1:120" x14ac:dyDescent="0.25">
      <c r="A465" s="16" t="s">
        <v>6967</v>
      </c>
      <c r="B465" s="16" t="s">
        <v>6968</v>
      </c>
      <c r="C465" s="16" t="s">
        <v>6969</v>
      </c>
      <c r="D465" s="16" t="s">
        <v>6883</v>
      </c>
      <c r="E465" s="16" t="s">
        <v>6970</v>
      </c>
      <c r="F465" s="16" t="s">
        <v>6971</v>
      </c>
      <c r="G465" s="16" t="s">
        <v>6972</v>
      </c>
      <c r="H465" s="16" t="s">
        <v>6973</v>
      </c>
      <c r="I465" s="16" t="s">
        <v>6974</v>
      </c>
      <c r="J465" s="16" t="s">
        <v>1847</v>
      </c>
      <c r="K465" s="16" t="s">
        <v>6975</v>
      </c>
      <c r="L465" s="16" t="s">
        <v>85</v>
      </c>
      <c r="M465" s="16" t="s">
        <v>1849</v>
      </c>
      <c r="N465" s="16" t="s">
        <v>914</v>
      </c>
      <c r="O465" s="16" t="s">
        <v>1850</v>
      </c>
      <c r="P465" s="16" t="s">
        <v>914</v>
      </c>
      <c r="Q465" s="16" t="s">
        <v>1850</v>
      </c>
      <c r="R465" s="16" t="s">
        <v>915</v>
      </c>
      <c r="S465" s="16" t="s">
        <v>915</v>
      </c>
      <c r="T465" s="16" t="s">
        <v>1851</v>
      </c>
      <c r="U465" s="16" t="s">
        <v>1852</v>
      </c>
      <c r="V465" s="16" t="s">
        <v>916</v>
      </c>
      <c r="W465" s="16" t="s">
        <v>1852</v>
      </c>
      <c r="X465" s="16" t="s">
        <v>934</v>
      </c>
      <c r="Y465" s="16" t="s">
        <v>934</v>
      </c>
      <c r="Z465" s="16" t="s">
        <v>935</v>
      </c>
      <c r="DA465" s="405" t="s">
        <v>5</v>
      </c>
      <c r="DB465" s="405" t="s">
        <v>363</v>
      </c>
      <c r="DC465" s="406" t="s">
        <v>85</v>
      </c>
      <c r="DD465" s="405" t="s">
        <v>917</v>
      </c>
      <c r="DE465" s="405" t="s">
        <v>5</v>
      </c>
      <c r="DF465" s="406" t="s">
        <v>85</v>
      </c>
      <c r="DG465" s="407">
        <v>45848</v>
      </c>
      <c r="DH465" s="405" t="s">
        <v>6970</v>
      </c>
      <c r="DI465" s="406">
        <v>465455</v>
      </c>
      <c r="DJ465" s="408">
        <v>5</v>
      </c>
      <c r="DK465" s="405">
        <v>1</v>
      </c>
      <c r="DL465" s="82">
        <v>447.02</v>
      </c>
      <c r="DM465" s="409">
        <v>2.2351000000000001</v>
      </c>
      <c r="DN465" s="82" t="s">
        <v>85</v>
      </c>
      <c r="DO465" s="82" t="s">
        <v>85</v>
      </c>
      <c r="DP465" s="410" t="s">
        <v>85</v>
      </c>
    </row>
    <row r="466" spans="1:120" x14ac:dyDescent="0.25">
      <c r="A466" s="16" t="s">
        <v>6976</v>
      </c>
      <c r="B466" s="16" t="s">
        <v>6977</v>
      </c>
      <c r="C466" s="16" t="s">
        <v>6978</v>
      </c>
      <c r="D466" s="16" t="s">
        <v>6883</v>
      </c>
      <c r="E466" s="16" t="s">
        <v>6979</v>
      </c>
      <c r="F466" s="16" t="s">
        <v>6980</v>
      </c>
      <c r="G466" s="16" t="s">
        <v>6981</v>
      </c>
      <c r="H466" s="16" t="s">
        <v>6982</v>
      </c>
      <c r="I466" s="16" t="s">
        <v>1494</v>
      </c>
      <c r="J466" s="16" t="s">
        <v>943</v>
      </c>
      <c r="K466" s="16" t="s">
        <v>1495</v>
      </c>
      <c r="L466" s="16" t="s">
        <v>85</v>
      </c>
      <c r="M466" s="16" t="s">
        <v>3454</v>
      </c>
      <c r="N466" s="16" t="s">
        <v>914</v>
      </c>
      <c r="O466" s="16" t="s">
        <v>985</v>
      </c>
      <c r="P466" s="16" t="s">
        <v>914</v>
      </c>
      <c r="Q466" s="16" t="s">
        <v>985</v>
      </c>
      <c r="R466" s="16" t="s">
        <v>915</v>
      </c>
      <c r="S466" s="16" t="s">
        <v>915</v>
      </c>
      <c r="T466" s="16" t="s">
        <v>986</v>
      </c>
      <c r="U466" s="16" t="s">
        <v>987</v>
      </c>
      <c r="V466" s="16" t="s">
        <v>1763</v>
      </c>
      <c r="W466" s="16" t="s">
        <v>3455</v>
      </c>
      <c r="X466" s="16" t="s">
        <v>934</v>
      </c>
      <c r="Y466" s="16" t="s">
        <v>934</v>
      </c>
      <c r="Z466" s="16" t="s">
        <v>935</v>
      </c>
      <c r="DA466" s="405" t="s">
        <v>5</v>
      </c>
      <c r="DB466" s="405" t="s">
        <v>363</v>
      </c>
      <c r="DC466" s="406" t="s">
        <v>85</v>
      </c>
      <c r="DD466" s="405" t="s">
        <v>917</v>
      </c>
      <c r="DE466" s="405" t="s">
        <v>5</v>
      </c>
      <c r="DF466" s="406" t="s">
        <v>85</v>
      </c>
      <c r="DG466" s="407">
        <v>45848</v>
      </c>
      <c r="DH466" s="405" t="s">
        <v>6979</v>
      </c>
      <c r="DI466" s="406">
        <v>465455</v>
      </c>
      <c r="DJ466" s="408">
        <v>5</v>
      </c>
      <c r="DK466" s="405">
        <v>2</v>
      </c>
      <c r="DL466" s="82">
        <v>340.55</v>
      </c>
      <c r="DM466" s="409">
        <v>1.70275</v>
      </c>
      <c r="DN466" s="82" t="s">
        <v>85</v>
      </c>
      <c r="DO466" s="82" t="s">
        <v>85</v>
      </c>
      <c r="DP466" s="410" t="s">
        <v>85</v>
      </c>
    </row>
    <row r="467" spans="1:120" x14ac:dyDescent="0.25">
      <c r="A467" s="16" t="s">
        <v>6983</v>
      </c>
      <c r="B467" s="16" t="s">
        <v>6984</v>
      </c>
      <c r="C467" s="16" t="s">
        <v>6985</v>
      </c>
      <c r="D467" s="16" t="s">
        <v>6883</v>
      </c>
      <c r="E467" s="16" t="s">
        <v>6986</v>
      </c>
      <c r="F467" s="16" t="s">
        <v>6987</v>
      </c>
      <c r="G467" s="16" t="s">
        <v>6988</v>
      </c>
      <c r="H467" s="16" t="s">
        <v>6989</v>
      </c>
      <c r="I467" s="16" t="s">
        <v>6990</v>
      </c>
      <c r="J467" s="16" t="s">
        <v>2600</v>
      </c>
      <c r="K467" s="16" t="s">
        <v>6991</v>
      </c>
      <c r="L467" s="16" t="s">
        <v>85</v>
      </c>
      <c r="M467" s="16" t="s">
        <v>1955</v>
      </c>
      <c r="N467" s="16" t="s">
        <v>914</v>
      </c>
      <c r="O467" s="16" t="s">
        <v>1039</v>
      </c>
      <c r="P467" s="16" t="s">
        <v>914</v>
      </c>
      <c r="Q467" s="16" t="s">
        <v>1039</v>
      </c>
      <c r="R467" s="16" t="s">
        <v>915</v>
      </c>
      <c r="S467" s="16" t="s">
        <v>915</v>
      </c>
      <c r="T467" s="16" t="s">
        <v>1955</v>
      </c>
      <c r="U467" s="16" t="s">
        <v>1956</v>
      </c>
      <c r="V467" s="16" t="s">
        <v>916</v>
      </c>
      <c r="W467" s="16" t="s">
        <v>1956</v>
      </c>
      <c r="X467" s="16" t="s">
        <v>934</v>
      </c>
      <c r="Y467" s="16" t="s">
        <v>934</v>
      </c>
      <c r="Z467" s="16" t="s">
        <v>935</v>
      </c>
      <c r="DA467" s="405" t="s">
        <v>5</v>
      </c>
      <c r="DB467" s="405" t="s">
        <v>363</v>
      </c>
      <c r="DC467" s="406" t="s">
        <v>85</v>
      </c>
      <c r="DD467" s="405" t="s">
        <v>917</v>
      </c>
      <c r="DE467" s="405" t="s">
        <v>5</v>
      </c>
      <c r="DF467" s="406" t="s">
        <v>85</v>
      </c>
      <c r="DG467" s="407">
        <v>45848</v>
      </c>
      <c r="DH467" s="405" t="s">
        <v>6986</v>
      </c>
      <c r="DI467" s="406">
        <v>465455</v>
      </c>
      <c r="DJ467" s="408">
        <v>5</v>
      </c>
      <c r="DK467" s="405">
        <v>1</v>
      </c>
      <c r="DL467" s="82">
        <v>311.2</v>
      </c>
      <c r="DM467" s="409">
        <v>1.556</v>
      </c>
      <c r="DN467" s="82" t="s">
        <v>85</v>
      </c>
      <c r="DO467" s="82" t="s">
        <v>85</v>
      </c>
      <c r="DP467" s="410" t="s">
        <v>85</v>
      </c>
    </row>
    <row r="468" spans="1:120" x14ac:dyDescent="0.25">
      <c r="A468" s="16" t="s">
        <v>6992</v>
      </c>
      <c r="B468" s="16" t="s">
        <v>6993</v>
      </c>
      <c r="C468" s="16" t="s">
        <v>6994</v>
      </c>
      <c r="D468" s="16" t="s">
        <v>6883</v>
      </c>
      <c r="E468" s="16" t="s">
        <v>6995</v>
      </c>
      <c r="F468" s="16" t="s">
        <v>6996</v>
      </c>
      <c r="G468" s="16" t="s">
        <v>6997</v>
      </c>
      <c r="H468" s="16" t="s">
        <v>6996</v>
      </c>
      <c r="I468" s="16" t="s">
        <v>2690</v>
      </c>
      <c r="J468" s="16" t="s">
        <v>1123</v>
      </c>
      <c r="K468" s="16" t="s">
        <v>2691</v>
      </c>
      <c r="L468" s="16" t="s">
        <v>85</v>
      </c>
      <c r="M468" s="16" t="s">
        <v>1238</v>
      </c>
      <c r="N468" s="16" t="s">
        <v>914</v>
      </c>
      <c r="O468" s="16" t="s">
        <v>1239</v>
      </c>
      <c r="P468" s="16" t="s">
        <v>914</v>
      </c>
      <c r="Q468" s="16" t="s">
        <v>1239</v>
      </c>
      <c r="R468" s="16" t="s">
        <v>915</v>
      </c>
      <c r="S468" s="16" t="s">
        <v>915</v>
      </c>
      <c r="T468" s="16" t="s">
        <v>1238</v>
      </c>
      <c r="U468" s="16" t="s">
        <v>1240</v>
      </c>
      <c r="V468" s="16" t="s">
        <v>916</v>
      </c>
      <c r="W468" s="16" t="s">
        <v>1240</v>
      </c>
      <c r="X468" s="16" t="s">
        <v>934</v>
      </c>
      <c r="Y468" s="16" t="s">
        <v>934</v>
      </c>
      <c r="Z468" s="16" t="s">
        <v>935</v>
      </c>
      <c r="DA468" s="405" t="s">
        <v>5</v>
      </c>
      <c r="DB468" s="405" t="s">
        <v>363</v>
      </c>
      <c r="DC468" s="406" t="s">
        <v>85</v>
      </c>
      <c r="DD468" s="405" t="s">
        <v>917</v>
      </c>
      <c r="DE468" s="405" t="s">
        <v>5</v>
      </c>
      <c r="DF468" s="406" t="s">
        <v>85</v>
      </c>
      <c r="DG468" s="407">
        <v>45848</v>
      </c>
      <c r="DH468" s="405" t="s">
        <v>6995</v>
      </c>
      <c r="DI468" s="406">
        <v>465455</v>
      </c>
      <c r="DJ468" s="408">
        <v>5</v>
      </c>
      <c r="DK468" s="405">
        <v>1</v>
      </c>
      <c r="DL468" s="82">
        <v>383.16</v>
      </c>
      <c r="DM468" s="409">
        <v>1.9158000000000002</v>
      </c>
      <c r="DN468" s="82" t="s">
        <v>85</v>
      </c>
      <c r="DO468" s="82" t="s">
        <v>85</v>
      </c>
      <c r="DP468" s="410" t="s">
        <v>85</v>
      </c>
    </row>
    <row r="469" spans="1:120" x14ac:dyDescent="0.25">
      <c r="A469" s="16" t="s">
        <v>6998</v>
      </c>
      <c r="B469" s="16" t="s">
        <v>6999</v>
      </c>
      <c r="C469" s="16" t="s">
        <v>7000</v>
      </c>
      <c r="D469" s="16" t="s">
        <v>6883</v>
      </c>
      <c r="E469" s="16" t="s">
        <v>7001</v>
      </c>
      <c r="F469" s="16" t="s">
        <v>7002</v>
      </c>
      <c r="G469" s="16" t="s">
        <v>7003</v>
      </c>
      <c r="H469" s="16" t="s">
        <v>7004</v>
      </c>
      <c r="I469" s="16" t="s">
        <v>1386</v>
      </c>
      <c r="J469" s="16" t="s">
        <v>1109</v>
      </c>
      <c r="K469" s="16" t="s">
        <v>1387</v>
      </c>
      <c r="L469" s="16" t="s">
        <v>85</v>
      </c>
      <c r="M469" s="16" t="s">
        <v>1311</v>
      </c>
      <c r="N469" s="16" t="s">
        <v>914</v>
      </c>
      <c r="O469" s="16" t="s">
        <v>1312</v>
      </c>
      <c r="P469" s="16" t="s">
        <v>914</v>
      </c>
      <c r="Q469" s="16" t="s">
        <v>1312</v>
      </c>
      <c r="R469" s="16" t="s">
        <v>915</v>
      </c>
      <c r="S469" s="16" t="s">
        <v>915</v>
      </c>
      <c r="T469" s="16" t="s">
        <v>1311</v>
      </c>
      <c r="U469" s="16" t="s">
        <v>1313</v>
      </c>
      <c r="V469" s="16" t="s">
        <v>916</v>
      </c>
      <c r="W469" s="16" t="s">
        <v>1313</v>
      </c>
      <c r="X469" s="16" t="s">
        <v>934</v>
      </c>
      <c r="Y469" s="16" t="s">
        <v>934</v>
      </c>
      <c r="Z469" s="16" t="s">
        <v>935</v>
      </c>
      <c r="DA469" s="405" t="s">
        <v>5</v>
      </c>
      <c r="DB469" s="405" t="s">
        <v>363</v>
      </c>
      <c r="DC469" s="406" t="s">
        <v>85</v>
      </c>
      <c r="DD469" s="405" t="s">
        <v>917</v>
      </c>
      <c r="DE469" s="405" t="s">
        <v>5</v>
      </c>
      <c r="DF469" s="406" t="s">
        <v>85</v>
      </c>
      <c r="DG469" s="407">
        <v>45848</v>
      </c>
      <c r="DH469" s="405" t="s">
        <v>7001</v>
      </c>
      <c r="DI469" s="406">
        <v>465455</v>
      </c>
      <c r="DJ469" s="408">
        <v>5</v>
      </c>
      <c r="DK469" s="405">
        <v>1</v>
      </c>
      <c r="DL469" s="82">
        <v>531.54</v>
      </c>
      <c r="DM469" s="409">
        <v>2.6576999999999997</v>
      </c>
      <c r="DN469" s="82" t="s">
        <v>85</v>
      </c>
      <c r="DO469" s="82" t="s">
        <v>85</v>
      </c>
      <c r="DP469" s="410" t="s">
        <v>85</v>
      </c>
    </row>
    <row r="470" spans="1:120" x14ac:dyDescent="0.25">
      <c r="A470" s="16" t="s">
        <v>7005</v>
      </c>
      <c r="B470" s="16" t="s">
        <v>7006</v>
      </c>
      <c r="C470" s="16" t="s">
        <v>7007</v>
      </c>
      <c r="D470" s="16" t="s">
        <v>6883</v>
      </c>
      <c r="E470" s="16" t="s">
        <v>7008</v>
      </c>
      <c r="F470" s="16" t="s">
        <v>7009</v>
      </c>
      <c r="G470" s="16" t="s">
        <v>7010</v>
      </c>
      <c r="H470" s="16" t="s">
        <v>7009</v>
      </c>
      <c r="I470" s="16" t="s">
        <v>1278</v>
      </c>
      <c r="J470" s="16" t="s">
        <v>1109</v>
      </c>
      <c r="K470" s="16" t="s">
        <v>1279</v>
      </c>
      <c r="L470" s="16" t="s">
        <v>85</v>
      </c>
      <c r="M470" s="16" t="s">
        <v>1311</v>
      </c>
      <c r="N470" s="16" t="s">
        <v>914</v>
      </c>
      <c r="O470" s="16" t="s">
        <v>1312</v>
      </c>
      <c r="P470" s="16" t="s">
        <v>914</v>
      </c>
      <c r="Q470" s="16" t="s">
        <v>1312</v>
      </c>
      <c r="R470" s="16" t="s">
        <v>915</v>
      </c>
      <c r="S470" s="16" t="s">
        <v>915</v>
      </c>
      <c r="T470" s="16" t="s">
        <v>1311</v>
      </c>
      <c r="U470" s="16" t="s">
        <v>1313</v>
      </c>
      <c r="V470" s="16" t="s">
        <v>916</v>
      </c>
      <c r="W470" s="16" t="s">
        <v>1313</v>
      </c>
      <c r="X470" s="16" t="s">
        <v>934</v>
      </c>
      <c r="Y470" s="16" t="s">
        <v>934</v>
      </c>
      <c r="Z470" s="16" t="s">
        <v>935</v>
      </c>
      <c r="DA470" s="405" t="s">
        <v>5</v>
      </c>
      <c r="DB470" s="405" t="s">
        <v>363</v>
      </c>
      <c r="DC470" s="406" t="s">
        <v>85</v>
      </c>
      <c r="DD470" s="405" t="s">
        <v>917</v>
      </c>
      <c r="DE470" s="405" t="s">
        <v>5</v>
      </c>
      <c r="DF470" s="406" t="s">
        <v>85</v>
      </c>
      <c r="DG470" s="407">
        <v>45848</v>
      </c>
      <c r="DH470" s="405" t="s">
        <v>7008</v>
      </c>
      <c r="DI470" s="406">
        <v>465455</v>
      </c>
      <c r="DJ470" s="408">
        <v>5</v>
      </c>
      <c r="DK470" s="405">
        <v>1</v>
      </c>
      <c r="DL470" s="82">
        <v>531.54</v>
      </c>
      <c r="DM470" s="409">
        <v>2.6576999999999997</v>
      </c>
      <c r="DN470" s="82" t="s">
        <v>85</v>
      </c>
      <c r="DO470" s="82" t="s">
        <v>85</v>
      </c>
      <c r="DP470" s="410" t="s">
        <v>85</v>
      </c>
    </row>
    <row r="471" spans="1:120" x14ac:dyDescent="0.25">
      <c r="A471" s="16" t="s">
        <v>7011</v>
      </c>
      <c r="B471" s="16" t="s">
        <v>7012</v>
      </c>
      <c r="C471" s="16" t="s">
        <v>7013</v>
      </c>
      <c r="D471" s="16" t="s">
        <v>6883</v>
      </c>
      <c r="E471" s="16" t="s">
        <v>7014</v>
      </c>
      <c r="F471" s="16" t="s">
        <v>7015</v>
      </c>
      <c r="G471" s="16" t="s">
        <v>7016</v>
      </c>
      <c r="H471" s="16" t="s">
        <v>7015</v>
      </c>
      <c r="I471" s="16" t="s">
        <v>1737</v>
      </c>
      <c r="J471" s="16" t="s">
        <v>1123</v>
      </c>
      <c r="K471" s="16" t="s">
        <v>1738</v>
      </c>
      <c r="L471" s="16" t="s">
        <v>85</v>
      </c>
      <c r="M471" s="16" t="s">
        <v>1238</v>
      </c>
      <c r="N471" s="16" t="s">
        <v>914</v>
      </c>
      <c r="O471" s="16" t="s">
        <v>1239</v>
      </c>
      <c r="P471" s="16" t="s">
        <v>914</v>
      </c>
      <c r="Q471" s="16" t="s">
        <v>1239</v>
      </c>
      <c r="R471" s="16" t="s">
        <v>915</v>
      </c>
      <c r="S471" s="16" t="s">
        <v>915</v>
      </c>
      <c r="T471" s="16" t="s">
        <v>1238</v>
      </c>
      <c r="U471" s="16" t="s">
        <v>1240</v>
      </c>
      <c r="V471" s="16" t="s">
        <v>916</v>
      </c>
      <c r="W471" s="16" t="s">
        <v>1240</v>
      </c>
      <c r="X471" s="16" t="s">
        <v>934</v>
      </c>
      <c r="Y471" s="16" t="s">
        <v>934</v>
      </c>
      <c r="Z471" s="16" t="s">
        <v>935</v>
      </c>
      <c r="DA471" s="405" t="s">
        <v>5</v>
      </c>
      <c r="DB471" s="405" t="s">
        <v>363</v>
      </c>
      <c r="DC471" s="406" t="s">
        <v>85</v>
      </c>
      <c r="DD471" s="405" t="s">
        <v>917</v>
      </c>
      <c r="DE471" s="405" t="s">
        <v>5</v>
      </c>
      <c r="DF471" s="406" t="s">
        <v>85</v>
      </c>
      <c r="DG471" s="407">
        <v>45848</v>
      </c>
      <c r="DH471" s="405" t="s">
        <v>7014</v>
      </c>
      <c r="DI471" s="406">
        <v>465455</v>
      </c>
      <c r="DJ471" s="408">
        <v>5</v>
      </c>
      <c r="DK471" s="405">
        <v>1</v>
      </c>
      <c r="DL471" s="82">
        <v>383.16</v>
      </c>
      <c r="DM471" s="409">
        <v>1.9158000000000002</v>
      </c>
      <c r="DN471" s="82" t="s">
        <v>85</v>
      </c>
      <c r="DO471" s="82" t="s">
        <v>85</v>
      </c>
      <c r="DP471" s="410" t="s">
        <v>85</v>
      </c>
    </row>
    <row r="472" spans="1:120" x14ac:dyDescent="0.25">
      <c r="A472" s="16" t="s">
        <v>7017</v>
      </c>
      <c r="B472" s="16" t="s">
        <v>7018</v>
      </c>
      <c r="C472" s="16" t="s">
        <v>7019</v>
      </c>
      <c r="D472" s="16" t="s">
        <v>6883</v>
      </c>
      <c r="E472" s="16" t="s">
        <v>7020</v>
      </c>
      <c r="F472" s="16" t="s">
        <v>7021</v>
      </c>
      <c r="G472" s="16" t="s">
        <v>7022</v>
      </c>
      <c r="H472" s="16" t="s">
        <v>7023</v>
      </c>
      <c r="I472" s="16" t="s">
        <v>1937</v>
      </c>
      <c r="J472" s="16" t="s">
        <v>1036</v>
      </c>
      <c r="K472" s="16" t="s">
        <v>1938</v>
      </c>
      <c r="L472" s="16" t="s">
        <v>85</v>
      </c>
      <c r="M472" s="16" t="s">
        <v>1216</v>
      </c>
      <c r="N472" s="16" t="s">
        <v>914</v>
      </c>
      <c r="O472" s="16" t="s">
        <v>946</v>
      </c>
      <c r="P472" s="16" t="s">
        <v>914</v>
      </c>
      <c r="Q472" s="16" t="s">
        <v>946</v>
      </c>
      <c r="R472" s="16" t="s">
        <v>915</v>
      </c>
      <c r="S472" s="16" t="s">
        <v>915</v>
      </c>
      <c r="T472" s="16" t="s">
        <v>1216</v>
      </c>
      <c r="U472" s="16" t="s">
        <v>1217</v>
      </c>
      <c r="V472" s="16" t="s">
        <v>916</v>
      </c>
      <c r="W472" s="16" t="s">
        <v>1217</v>
      </c>
      <c r="X472" s="16" t="s">
        <v>934</v>
      </c>
      <c r="Y472" s="16" t="s">
        <v>934</v>
      </c>
      <c r="Z472" s="16" t="s">
        <v>935</v>
      </c>
      <c r="DA472" s="405" t="s">
        <v>5</v>
      </c>
      <c r="DB472" s="405" t="s">
        <v>363</v>
      </c>
      <c r="DC472" s="406" t="s">
        <v>85</v>
      </c>
      <c r="DD472" s="405" t="s">
        <v>917</v>
      </c>
      <c r="DE472" s="405" t="s">
        <v>5</v>
      </c>
      <c r="DF472" s="406" t="s">
        <v>85</v>
      </c>
      <c r="DG472" s="407">
        <v>45848</v>
      </c>
      <c r="DH472" s="405" t="s">
        <v>7020</v>
      </c>
      <c r="DI472" s="406">
        <v>465455</v>
      </c>
      <c r="DJ472" s="408">
        <v>5</v>
      </c>
      <c r="DK472" s="405">
        <v>1</v>
      </c>
      <c r="DL472" s="82">
        <v>319.22000000000003</v>
      </c>
      <c r="DM472" s="409">
        <v>1.5961000000000001</v>
      </c>
      <c r="DN472" s="82" t="s">
        <v>85</v>
      </c>
      <c r="DO472" s="82" t="s">
        <v>85</v>
      </c>
      <c r="DP472" s="410" t="s">
        <v>85</v>
      </c>
    </row>
    <row r="473" spans="1:120" x14ac:dyDescent="0.25">
      <c r="A473" s="16" t="s">
        <v>7024</v>
      </c>
      <c r="B473" s="16" t="s">
        <v>7025</v>
      </c>
      <c r="C473" s="16" t="s">
        <v>7026</v>
      </c>
      <c r="D473" s="16" t="s">
        <v>6883</v>
      </c>
      <c r="E473" s="16" t="s">
        <v>7027</v>
      </c>
      <c r="F473" s="16" t="s">
        <v>7028</v>
      </c>
      <c r="G473" s="16" t="s">
        <v>7029</v>
      </c>
      <c r="H473" s="16" t="s">
        <v>7028</v>
      </c>
      <c r="I473" s="16" t="s">
        <v>1547</v>
      </c>
      <c r="J473" s="16" t="s">
        <v>943</v>
      </c>
      <c r="K473" s="16" t="s">
        <v>1548</v>
      </c>
      <c r="L473" s="16" t="s">
        <v>85</v>
      </c>
      <c r="M473" s="16" t="s">
        <v>984</v>
      </c>
      <c r="N473" s="16" t="s">
        <v>914</v>
      </c>
      <c r="O473" s="16" t="s">
        <v>985</v>
      </c>
      <c r="P473" s="16" t="s">
        <v>914</v>
      </c>
      <c r="Q473" s="16" t="s">
        <v>985</v>
      </c>
      <c r="R473" s="16" t="s">
        <v>915</v>
      </c>
      <c r="S473" s="16" t="s">
        <v>915</v>
      </c>
      <c r="T473" s="16" t="s">
        <v>986</v>
      </c>
      <c r="U473" s="16" t="s">
        <v>987</v>
      </c>
      <c r="V473" s="16" t="s">
        <v>916</v>
      </c>
      <c r="W473" s="16" t="s">
        <v>987</v>
      </c>
      <c r="X473" s="16" t="s">
        <v>934</v>
      </c>
      <c r="Y473" s="16" t="s">
        <v>934</v>
      </c>
      <c r="Z473" s="16" t="s">
        <v>935</v>
      </c>
      <c r="DA473" s="405" t="s">
        <v>5</v>
      </c>
      <c r="DB473" s="405" t="s">
        <v>363</v>
      </c>
      <c r="DC473" s="406" t="s">
        <v>85</v>
      </c>
      <c r="DD473" s="405" t="s">
        <v>917</v>
      </c>
      <c r="DE473" s="405" t="s">
        <v>5</v>
      </c>
      <c r="DF473" s="406" t="s">
        <v>85</v>
      </c>
      <c r="DG473" s="407">
        <v>45848</v>
      </c>
      <c r="DH473" s="405" t="s">
        <v>7027</v>
      </c>
      <c r="DI473" s="406">
        <v>465455</v>
      </c>
      <c r="DJ473" s="408">
        <v>5</v>
      </c>
      <c r="DK473" s="405">
        <v>1</v>
      </c>
      <c r="DL473" s="82">
        <v>340.55</v>
      </c>
      <c r="DM473" s="409">
        <v>1.70275</v>
      </c>
      <c r="DN473" s="82" t="s">
        <v>85</v>
      </c>
      <c r="DO473" s="82" t="s">
        <v>85</v>
      </c>
      <c r="DP473" s="410" t="s">
        <v>85</v>
      </c>
    </row>
    <row r="474" spans="1:120" x14ac:dyDescent="0.25">
      <c r="A474" s="16" t="s">
        <v>7030</v>
      </c>
      <c r="B474" s="16" t="s">
        <v>7031</v>
      </c>
      <c r="C474" s="16" t="s">
        <v>7032</v>
      </c>
      <c r="D474" s="16" t="s">
        <v>6883</v>
      </c>
      <c r="E474" s="16" t="s">
        <v>7033</v>
      </c>
      <c r="F474" s="16" t="s">
        <v>7034</v>
      </c>
      <c r="G474" s="16" t="s">
        <v>7035</v>
      </c>
      <c r="H474" s="16" t="s">
        <v>7034</v>
      </c>
      <c r="I474" s="16" t="s">
        <v>1547</v>
      </c>
      <c r="J474" s="16" t="s">
        <v>943</v>
      </c>
      <c r="K474" s="16" t="s">
        <v>1548</v>
      </c>
      <c r="L474" s="16" t="s">
        <v>85</v>
      </c>
      <c r="M474" s="16" t="s">
        <v>984</v>
      </c>
      <c r="N474" s="16" t="s">
        <v>914</v>
      </c>
      <c r="O474" s="16" t="s">
        <v>985</v>
      </c>
      <c r="P474" s="16" t="s">
        <v>914</v>
      </c>
      <c r="Q474" s="16" t="s">
        <v>985</v>
      </c>
      <c r="R474" s="16" t="s">
        <v>915</v>
      </c>
      <c r="S474" s="16" t="s">
        <v>915</v>
      </c>
      <c r="T474" s="16" t="s">
        <v>986</v>
      </c>
      <c r="U474" s="16" t="s">
        <v>987</v>
      </c>
      <c r="V474" s="16" t="s">
        <v>916</v>
      </c>
      <c r="W474" s="16" t="s">
        <v>987</v>
      </c>
      <c r="X474" s="16" t="s">
        <v>934</v>
      </c>
      <c r="Y474" s="16" t="s">
        <v>934</v>
      </c>
      <c r="Z474" s="16" t="s">
        <v>935</v>
      </c>
      <c r="DA474" s="405" t="s">
        <v>5</v>
      </c>
      <c r="DB474" s="405" t="s">
        <v>363</v>
      </c>
      <c r="DC474" s="406" t="s">
        <v>85</v>
      </c>
      <c r="DD474" s="405" t="s">
        <v>917</v>
      </c>
      <c r="DE474" s="405" t="s">
        <v>5</v>
      </c>
      <c r="DF474" s="406" t="s">
        <v>85</v>
      </c>
      <c r="DG474" s="407">
        <v>45848</v>
      </c>
      <c r="DH474" s="405" t="s">
        <v>7033</v>
      </c>
      <c r="DI474" s="406">
        <v>465455</v>
      </c>
      <c r="DJ474" s="408">
        <v>5</v>
      </c>
      <c r="DK474" s="405">
        <v>1</v>
      </c>
      <c r="DL474" s="82">
        <v>340.55</v>
      </c>
      <c r="DM474" s="409">
        <v>1.70275</v>
      </c>
      <c r="DN474" s="82" t="s">
        <v>85</v>
      </c>
      <c r="DO474" s="82" t="s">
        <v>85</v>
      </c>
      <c r="DP474" s="410" t="s">
        <v>85</v>
      </c>
    </row>
    <row r="475" spans="1:120" x14ac:dyDescent="0.25">
      <c r="A475" s="16" t="s">
        <v>7036</v>
      </c>
      <c r="B475" s="16" t="s">
        <v>7037</v>
      </c>
      <c r="C475" s="16" t="s">
        <v>7038</v>
      </c>
      <c r="D475" s="16" t="s">
        <v>6883</v>
      </c>
      <c r="E475" s="16" t="s">
        <v>7039</v>
      </c>
      <c r="F475" s="16" t="s">
        <v>7040</v>
      </c>
      <c r="G475" s="16" t="s">
        <v>7041</v>
      </c>
      <c r="H475" s="16" t="s">
        <v>7040</v>
      </c>
      <c r="I475" s="16" t="s">
        <v>2556</v>
      </c>
      <c r="J475" s="16" t="s">
        <v>928</v>
      </c>
      <c r="K475" s="16" t="s">
        <v>2557</v>
      </c>
      <c r="L475" s="16" t="s">
        <v>85</v>
      </c>
      <c r="M475" s="16" t="s">
        <v>1322</v>
      </c>
      <c r="N475" s="16" t="s">
        <v>914</v>
      </c>
      <c r="O475" s="16" t="s">
        <v>1323</v>
      </c>
      <c r="P475" s="16" t="s">
        <v>914</v>
      </c>
      <c r="Q475" s="16" t="s">
        <v>1323</v>
      </c>
      <c r="R475" s="16" t="s">
        <v>915</v>
      </c>
      <c r="S475" s="16" t="s">
        <v>915</v>
      </c>
      <c r="T475" s="16" t="s">
        <v>1322</v>
      </c>
      <c r="U475" s="16" t="s">
        <v>1324</v>
      </c>
      <c r="V475" s="16" t="s">
        <v>916</v>
      </c>
      <c r="W475" s="16" t="s">
        <v>1324</v>
      </c>
      <c r="X475" s="16" t="s">
        <v>934</v>
      </c>
      <c r="Y475" s="16" t="s">
        <v>934</v>
      </c>
      <c r="Z475" s="16" t="s">
        <v>935</v>
      </c>
      <c r="DA475" s="405" t="s">
        <v>5</v>
      </c>
      <c r="DB475" s="405" t="s">
        <v>363</v>
      </c>
      <c r="DC475" s="406" t="s">
        <v>85</v>
      </c>
      <c r="DD475" s="405" t="s">
        <v>917</v>
      </c>
      <c r="DE475" s="405" t="s">
        <v>5</v>
      </c>
      <c r="DF475" s="406" t="s">
        <v>85</v>
      </c>
      <c r="DG475" s="407">
        <v>45848</v>
      </c>
      <c r="DH475" s="405" t="s">
        <v>7039</v>
      </c>
      <c r="DI475" s="406">
        <v>465455</v>
      </c>
      <c r="DJ475" s="408">
        <v>5</v>
      </c>
      <c r="DK475" s="405">
        <v>1</v>
      </c>
      <c r="DL475" s="82">
        <v>332.47</v>
      </c>
      <c r="DM475" s="409">
        <v>1.6623500000000002</v>
      </c>
      <c r="DN475" s="82" t="s">
        <v>85</v>
      </c>
      <c r="DO475" s="82" t="s">
        <v>85</v>
      </c>
      <c r="DP475" s="410" t="s">
        <v>85</v>
      </c>
    </row>
    <row r="476" spans="1:120" x14ac:dyDescent="0.25">
      <c r="A476" s="16" t="s">
        <v>7042</v>
      </c>
      <c r="B476" s="16" t="s">
        <v>7043</v>
      </c>
      <c r="C476" s="16" t="s">
        <v>7044</v>
      </c>
      <c r="D476" s="16" t="s">
        <v>6883</v>
      </c>
      <c r="E476" s="16" t="s">
        <v>7045</v>
      </c>
      <c r="F476" s="16" t="s">
        <v>7046</v>
      </c>
      <c r="G476" s="16" t="s">
        <v>7047</v>
      </c>
      <c r="H476" s="16" t="s">
        <v>7046</v>
      </c>
      <c r="I476" s="16" t="s">
        <v>1494</v>
      </c>
      <c r="J476" s="16" t="s">
        <v>943</v>
      </c>
      <c r="K476" s="16" t="s">
        <v>1495</v>
      </c>
      <c r="L476" s="16" t="s">
        <v>85</v>
      </c>
      <c r="M476" s="16" t="s">
        <v>984</v>
      </c>
      <c r="N476" s="16" t="s">
        <v>914</v>
      </c>
      <c r="O476" s="16" t="s">
        <v>985</v>
      </c>
      <c r="P476" s="16" t="s">
        <v>914</v>
      </c>
      <c r="Q476" s="16" t="s">
        <v>985</v>
      </c>
      <c r="R476" s="16" t="s">
        <v>915</v>
      </c>
      <c r="S476" s="16" t="s">
        <v>915</v>
      </c>
      <c r="T476" s="16" t="s">
        <v>986</v>
      </c>
      <c r="U476" s="16" t="s">
        <v>987</v>
      </c>
      <c r="V476" s="16" t="s">
        <v>916</v>
      </c>
      <c r="W476" s="16" t="s">
        <v>987</v>
      </c>
      <c r="X476" s="16" t="s">
        <v>934</v>
      </c>
      <c r="Y476" s="16" t="s">
        <v>934</v>
      </c>
      <c r="Z476" s="16" t="s">
        <v>935</v>
      </c>
      <c r="DA476" s="405" t="s">
        <v>5</v>
      </c>
      <c r="DB476" s="405" t="s">
        <v>363</v>
      </c>
      <c r="DC476" s="406" t="s">
        <v>85</v>
      </c>
      <c r="DD476" s="405" t="s">
        <v>917</v>
      </c>
      <c r="DE476" s="405" t="s">
        <v>5</v>
      </c>
      <c r="DF476" s="406" t="s">
        <v>85</v>
      </c>
      <c r="DG476" s="407">
        <v>45848</v>
      </c>
      <c r="DH476" s="405" t="s">
        <v>7045</v>
      </c>
      <c r="DI476" s="406">
        <v>465455</v>
      </c>
      <c r="DJ476" s="408">
        <v>5</v>
      </c>
      <c r="DK476" s="405">
        <v>1</v>
      </c>
      <c r="DL476" s="82">
        <v>340.55</v>
      </c>
      <c r="DM476" s="409">
        <v>1.70275</v>
      </c>
      <c r="DN476" s="82" t="s">
        <v>85</v>
      </c>
      <c r="DO476" s="82" t="s">
        <v>85</v>
      </c>
      <c r="DP476" s="410" t="s">
        <v>85</v>
      </c>
    </row>
    <row r="477" spans="1:120" x14ac:dyDescent="0.25">
      <c r="A477" s="16" t="s">
        <v>7048</v>
      </c>
      <c r="B477" s="16" t="s">
        <v>7049</v>
      </c>
      <c r="C477" s="16" t="s">
        <v>7050</v>
      </c>
      <c r="D477" s="16" t="s">
        <v>6883</v>
      </c>
      <c r="E477" s="16" t="s">
        <v>7051</v>
      </c>
      <c r="F477" s="16" t="s">
        <v>7052</v>
      </c>
      <c r="G477" s="16" t="s">
        <v>7053</v>
      </c>
      <c r="H477" s="16" t="s">
        <v>7052</v>
      </c>
      <c r="I477" s="16" t="s">
        <v>7054</v>
      </c>
      <c r="J477" s="16" t="s">
        <v>1520</v>
      </c>
      <c r="K477" s="16" t="s">
        <v>7055</v>
      </c>
      <c r="L477" s="16" t="s">
        <v>85</v>
      </c>
      <c r="M477" s="16" t="s">
        <v>1522</v>
      </c>
      <c r="N477" s="16" t="s">
        <v>914</v>
      </c>
      <c r="O477" s="16" t="s">
        <v>1523</v>
      </c>
      <c r="P477" s="16" t="s">
        <v>914</v>
      </c>
      <c r="Q477" s="16" t="s">
        <v>1523</v>
      </c>
      <c r="R477" s="16" t="s">
        <v>915</v>
      </c>
      <c r="S477" s="16" t="s">
        <v>915</v>
      </c>
      <c r="T477" s="16" t="s">
        <v>1524</v>
      </c>
      <c r="U477" s="16" t="s">
        <v>1525</v>
      </c>
      <c r="V477" s="16" t="s">
        <v>916</v>
      </c>
      <c r="W477" s="16" t="s">
        <v>1525</v>
      </c>
      <c r="X477" s="16" t="s">
        <v>934</v>
      </c>
      <c r="Y477" s="16" t="s">
        <v>934</v>
      </c>
      <c r="Z477" s="16" t="s">
        <v>935</v>
      </c>
      <c r="DA477" s="405" t="s">
        <v>5</v>
      </c>
      <c r="DB477" s="405" t="s">
        <v>363</v>
      </c>
      <c r="DC477" s="406" t="s">
        <v>85</v>
      </c>
      <c r="DD477" s="405" t="s">
        <v>917</v>
      </c>
      <c r="DE477" s="405" t="s">
        <v>5</v>
      </c>
      <c r="DF477" s="406" t="s">
        <v>85</v>
      </c>
      <c r="DG477" s="407">
        <v>45848</v>
      </c>
      <c r="DH477" s="405" t="s">
        <v>7051</v>
      </c>
      <c r="DI477" s="406">
        <v>465455</v>
      </c>
      <c r="DJ477" s="408">
        <v>5</v>
      </c>
      <c r="DK477" s="405">
        <v>1</v>
      </c>
      <c r="DL477" s="82">
        <v>186.15</v>
      </c>
      <c r="DM477" s="409">
        <v>0.93075000000000008</v>
      </c>
      <c r="DN477" s="82" t="s">
        <v>85</v>
      </c>
      <c r="DO477" s="82" t="s">
        <v>85</v>
      </c>
      <c r="DP477" s="410" t="s">
        <v>85</v>
      </c>
    </row>
    <row r="478" spans="1:120" x14ac:dyDescent="0.25">
      <c r="A478" s="16" t="s">
        <v>7056</v>
      </c>
      <c r="B478" s="16" t="s">
        <v>7057</v>
      </c>
      <c r="C478" s="16" t="s">
        <v>7058</v>
      </c>
      <c r="D478" s="16" t="s">
        <v>6883</v>
      </c>
      <c r="E478" s="16" t="s">
        <v>7059</v>
      </c>
      <c r="F478" s="16" t="s">
        <v>7060</v>
      </c>
      <c r="G478" s="16" t="s">
        <v>7061</v>
      </c>
      <c r="H478" s="16" t="s">
        <v>7062</v>
      </c>
      <c r="I478" s="16" t="s">
        <v>1937</v>
      </c>
      <c r="J478" s="16" t="s">
        <v>1036</v>
      </c>
      <c r="K478" s="16" t="s">
        <v>1938</v>
      </c>
      <c r="L478" s="16" t="s">
        <v>85</v>
      </c>
      <c r="M478" s="16" t="s">
        <v>1216</v>
      </c>
      <c r="N478" s="16" t="s">
        <v>914</v>
      </c>
      <c r="O478" s="16" t="s">
        <v>946</v>
      </c>
      <c r="P478" s="16" t="s">
        <v>914</v>
      </c>
      <c r="Q478" s="16" t="s">
        <v>946</v>
      </c>
      <c r="R478" s="16" t="s">
        <v>915</v>
      </c>
      <c r="S478" s="16" t="s">
        <v>915</v>
      </c>
      <c r="T478" s="16" t="s">
        <v>1216</v>
      </c>
      <c r="U478" s="16" t="s">
        <v>1217</v>
      </c>
      <c r="V478" s="16" t="s">
        <v>916</v>
      </c>
      <c r="W478" s="16" t="s">
        <v>1217</v>
      </c>
      <c r="X478" s="16" t="s">
        <v>934</v>
      </c>
      <c r="Y478" s="16" t="s">
        <v>934</v>
      </c>
      <c r="Z478" s="16" t="s">
        <v>935</v>
      </c>
      <c r="DA478" s="405" t="s">
        <v>5</v>
      </c>
      <c r="DB478" s="405" t="s">
        <v>363</v>
      </c>
      <c r="DC478" s="406" t="s">
        <v>85</v>
      </c>
      <c r="DD478" s="405" t="s">
        <v>917</v>
      </c>
      <c r="DE478" s="405" t="s">
        <v>5</v>
      </c>
      <c r="DF478" s="406" t="s">
        <v>85</v>
      </c>
      <c r="DG478" s="407">
        <v>45848</v>
      </c>
      <c r="DH478" s="405" t="s">
        <v>7059</v>
      </c>
      <c r="DI478" s="406">
        <v>465455</v>
      </c>
      <c r="DJ478" s="408">
        <v>5</v>
      </c>
      <c r="DK478" s="405">
        <v>1</v>
      </c>
      <c r="DL478" s="82">
        <v>319.22000000000003</v>
      </c>
      <c r="DM478" s="409">
        <v>1.5961000000000001</v>
      </c>
      <c r="DN478" s="82" t="s">
        <v>85</v>
      </c>
      <c r="DO478" s="82" t="s">
        <v>85</v>
      </c>
      <c r="DP478" s="410" t="s">
        <v>85</v>
      </c>
    </row>
    <row r="479" spans="1:120" x14ac:dyDescent="0.25">
      <c r="A479" s="16" t="s">
        <v>7063</v>
      </c>
      <c r="B479" s="16" t="s">
        <v>7064</v>
      </c>
      <c r="C479" s="16" t="s">
        <v>7065</v>
      </c>
      <c r="D479" s="16" t="s">
        <v>6883</v>
      </c>
      <c r="E479" s="16" t="s">
        <v>7066</v>
      </c>
      <c r="F479" s="16" t="s">
        <v>7067</v>
      </c>
      <c r="G479" s="16" t="s">
        <v>7068</v>
      </c>
      <c r="H479" s="16" t="s">
        <v>7067</v>
      </c>
      <c r="I479" s="16" t="s">
        <v>1108</v>
      </c>
      <c r="J479" s="16" t="s">
        <v>1109</v>
      </c>
      <c r="K479" s="16" t="s">
        <v>1110</v>
      </c>
      <c r="L479" s="16" t="s">
        <v>85</v>
      </c>
      <c r="M479" s="16" t="s">
        <v>1311</v>
      </c>
      <c r="N479" s="16" t="s">
        <v>914</v>
      </c>
      <c r="O479" s="16" t="s">
        <v>1312</v>
      </c>
      <c r="P479" s="16" t="s">
        <v>914</v>
      </c>
      <c r="Q479" s="16" t="s">
        <v>1312</v>
      </c>
      <c r="R479" s="16" t="s">
        <v>915</v>
      </c>
      <c r="S479" s="16" t="s">
        <v>915</v>
      </c>
      <c r="T479" s="16" t="s">
        <v>1311</v>
      </c>
      <c r="U479" s="16" t="s">
        <v>1313</v>
      </c>
      <c r="V479" s="16" t="s">
        <v>916</v>
      </c>
      <c r="W479" s="16" t="s">
        <v>1313</v>
      </c>
      <c r="X479" s="16" t="s">
        <v>934</v>
      </c>
      <c r="Y479" s="16" t="s">
        <v>934</v>
      </c>
      <c r="Z479" s="16" t="s">
        <v>935</v>
      </c>
      <c r="DA479" s="405" t="s">
        <v>5</v>
      </c>
      <c r="DB479" s="405" t="s">
        <v>363</v>
      </c>
      <c r="DC479" s="406" t="s">
        <v>85</v>
      </c>
      <c r="DD479" s="405" t="s">
        <v>917</v>
      </c>
      <c r="DE479" s="405" t="s">
        <v>5</v>
      </c>
      <c r="DF479" s="406" t="s">
        <v>85</v>
      </c>
      <c r="DG479" s="407">
        <v>45848</v>
      </c>
      <c r="DH479" s="405" t="s">
        <v>7066</v>
      </c>
      <c r="DI479" s="406">
        <v>465455</v>
      </c>
      <c r="DJ479" s="408">
        <v>5</v>
      </c>
      <c r="DK479" s="405">
        <v>1</v>
      </c>
      <c r="DL479" s="82">
        <v>531.54</v>
      </c>
      <c r="DM479" s="409">
        <v>2.6576999999999997</v>
      </c>
      <c r="DN479" s="82" t="s">
        <v>85</v>
      </c>
      <c r="DO479" s="82" t="s">
        <v>85</v>
      </c>
      <c r="DP479" s="410" t="s">
        <v>85</v>
      </c>
    </row>
    <row r="480" spans="1:120" x14ac:dyDescent="0.25">
      <c r="A480" s="16" t="s">
        <v>7069</v>
      </c>
      <c r="B480" s="16" t="s">
        <v>7070</v>
      </c>
      <c r="C480" s="16" t="s">
        <v>7071</v>
      </c>
      <c r="D480" s="16" t="s">
        <v>6883</v>
      </c>
      <c r="E480" s="16" t="s">
        <v>7072</v>
      </c>
      <c r="F480" s="16" t="s">
        <v>7073</v>
      </c>
      <c r="G480" s="16" t="s">
        <v>7074</v>
      </c>
      <c r="H480" s="16" t="s">
        <v>7075</v>
      </c>
      <c r="I480" s="16" t="s">
        <v>1638</v>
      </c>
      <c r="J480" s="16" t="s">
        <v>943</v>
      </c>
      <c r="K480" s="16" t="s">
        <v>1639</v>
      </c>
      <c r="L480" s="16" t="s">
        <v>85</v>
      </c>
      <c r="M480" s="16" t="s">
        <v>984</v>
      </c>
      <c r="N480" s="16" t="s">
        <v>914</v>
      </c>
      <c r="O480" s="16" t="s">
        <v>985</v>
      </c>
      <c r="P480" s="16" t="s">
        <v>914</v>
      </c>
      <c r="Q480" s="16" t="s">
        <v>985</v>
      </c>
      <c r="R480" s="16" t="s">
        <v>915</v>
      </c>
      <c r="S480" s="16" t="s">
        <v>915</v>
      </c>
      <c r="T480" s="16" t="s">
        <v>986</v>
      </c>
      <c r="U480" s="16" t="s">
        <v>987</v>
      </c>
      <c r="V480" s="16" t="s">
        <v>916</v>
      </c>
      <c r="W480" s="16" t="s">
        <v>987</v>
      </c>
      <c r="X480" s="16" t="s">
        <v>934</v>
      </c>
      <c r="Y480" s="16" t="s">
        <v>934</v>
      </c>
      <c r="Z480" s="16" t="s">
        <v>935</v>
      </c>
      <c r="DA480" s="405" t="s">
        <v>5</v>
      </c>
      <c r="DB480" s="405" t="s">
        <v>363</v>
      </c>
      <c r="DC480" s="406" t="s">
        <v>85</v>
      </c>
      <c r="DD480" s="405" t="s">
        <v>917</v>
      </c>
      <c r="DE480" s="405" t="s">
        <v>5</v>
      </c>
      <c r="DF480" s="406" t="s">
        <v>85</v>
      </c>
      <c r="DG480" s="407">
        <v>45848</v>
      </c>
      <c r="DH480" s="405" t="s">
        <v>7072</v>
      </c>
      <c r="DI480" s="406">
        <v>465455</v>
      </c>
      <c r="DJ480" s="408">
        <v>5</v>
      </c>
      <c r="DK480" s="405">
        <v>1</v>
      </c>
      <c r="DL480" s="82">
        <v>340.55</v>
      </c>
      <c r="DM480" s="409">
        <v>1.70275</v>
      </c>
      <c r="DN480" s="82" t="s">
        <v>85</v>
      </c>
      <c r="DO480" s="82" t="s">
        <v>85</v>
      </c>
      <c r="DP480" s="410" t="s">
        <v>85</v>
      </c>
    </row>
    <row r="481" spans="1:120" x14ac:dyDescent="0.25">
      <c r="A481" s="16" t="s">
        <v>7076</v>
      </c>
      <c r="B481" s="16" t="s">
        <v>7077</v>
      </c>
      <c r="C481" s="16" t="s">
        <v>7078</v>
      </c>
      <c r="D481" s="16" t="s">
        <v>6883</v>
      </c>
      <c r="E481" s="16" t="s">
        <v>7079</v>
      </c>
      <c r="F481" s="16" t="s">
        <v>7080</v>
      </c>
      <c r="G481" s="16" t="s">
        <v>7081</v>
      </c>
      <c r="H481" s="16" t="s">
        <v>7082</v>
      </c>
      <c r="I481" s="16" t="s">
        <v>3164</v>
      </c>
      <c r="J481" s="16" t="s">
        <v>995</v>
      </c>
      <c r="K481" s="16" t="s">
        <v>3165</v>
      </c>
      <c r="L481" s="16" t="s">
        <v>85</v>
      </c>
      <c r="M481" s="16" t="s">
        <v>1165</v>
      </c>
      <c r="N481" s="16" t="s">
        <v>914</v>
      </c>
      <c r="O481" s="16" t="s">
        <v>1166</v>
      </c>
      <c r="P481" s="16" t="s">
        <v>914</v>
      </c>
      <c r="Q481" s="16" t="s">
        <v>1166</v>
      </c>
      <c r="R481" s="16" t="s">
        <v>915</v>
      </c>
      <c r="S481" s="16" t="s">
        <v>915</v>
      </c>
      <c r="T481" s="16" t="s">
        <v>1167</v>
      </c>
      <c r="U481" s="16" t="s">
        <v>1168</v>
      </c>
      <c r="V481" s="16" t="s">
        <v>916</v>
      </c>
      <c r="W481" s="16" t="s">
        <v>1168</v>
      </c>
      <c r="X481" s="16" t="s">
        <v>934</v>
      </c>
      <c r="Y481" s="16" t="s">
        <v>934</v>
      </c>
      <c r="Z481" s="16" t="s">
        <v>935</v>
      </c>
      <c r="DA481" s="405" t="s">
        <v>5</v>
      </c>
      <c r="DB481" s="405" t="s">
        <v>363</v>
      </c>
      <c r="DC481" s="406" t="s">
        <v>85</v>
      </c>
      <c r="DD481" s="405" t="s">
        <v>917</v>
      </c>
      <c r="DE481" s="405" t="s">
        <v>5</v>
      </c>
      <c r="DF481" s="406" t="s">
        <v>85</v>
      </c>
      <c r="DG481" s="407">
        <v>45848</v>
      </c>
      <c r="DH481" s="405" t="s">
        <v>7079</v>
      </c>
      <c r="DI481" s="406">
        <v>465455</v>
      </c>
      <c r="DJ481" s="408">
        <v>5</v>
      </c>
      <c r="DK481" s="405">
        <v>1</v>
      </c>
      <c r="DL481" s="82">
        <v>468.28</v>
      </c>
      <c r="DM481" s="409">
        <v>2.3413999999999997</v>
      </c>
      <c r="DN481" s="82" t="s">
        <v>85</v>
      </c>
      <c r="DO481" s="82" t="s">
        <v>85</v>
      </c>
      <c r="DP481" s="410" t="s">
        <v>85</v>
      </c>
    </row>
    <row r="482" spans="1:120" x14ac:dyDescent="0.25">
      <c r="A482" s="16" t="s">
        <v>7083</v>
      </c>
      <c r="B482" s="16" t="s">
        <v>7084</v>
      </c>
      <c r="C482" s="16" t="s">
        <v>7085</v>
      </c>
      <c r="D482" s="16" t="s">
        <v>6883</v>
      </c>
      <c r="E482" s="16" t="s">
        <v>7086</v>
      </c>
      <c r="F482" s="16" t="s">
        <v>7087</v>
      </c>
      <c r="G482" s="16" t="s">
        <v>7088</v>
      </c>
      <c r="H482" s="16" t="s">
        <v>7089</v>
      </c>
      <c r="I482" s="16" t="s">
        <v>2425</v>
      </c>
      <c r="J482" s="16" t="s">
        <v>928</v>
      </c>
      <c r="K482" s="16" t="s">
        <v>2426</v>
      </c>
      <c r="L482" s="16" t="s">
        <v>85</v>
      </c>
      <c r="M482" s="16" t="s">
        <v>1322</v>
      </c>
      <c r="N482" s="16" t="s">
        <v>914</v>
      </c>
      <c r="O482" s="16" t="s">
        <v>1323</v>
      </c>
      <c r="P482" s="16" t="s">
        <v>914</v>
      </c>
      <c r="Q482" s="16" t="s">
        <v>1323</v>
      </c>
      <c r="R482" s="16" t="s">
        <v>915</v>
      </c>
      <c r="S482" s="16" t="s">
        <v>915</v>
      </c>
      <c r="T482" s="16" t="s">
        <v>1322</v>
      </c>
      <c r="U482" s="16" t="s">
        <v>1324</v>
      </c>
      <c r="V482" s="16" t="s">
        <v>916</v>
      </c>
      <c r="W482" s="16" t="s">
        <v>1324</v>
      </c>
      <c r="X482" s="16" t="s">
        <v>934</v>
      </c>
      <c r="Y482" s="16" t="s">
        <v>934</v>
      </c>
      <c r="Z482" s="16" t="s">
        <v>935</v>
      </c>
      <c r="DA482" s="405" t="s">
        <v>5</v>
      </c>
      <c r="DB482" s="405" t="s">
        <v>363</v>
      </c>
      <c r="DC482" s="406" t="s">
        <v>85</v>
      </c>
      <c r="DD482" s="405" t="s">
        <v>917</v>
      </c>
      <c r="DE482" s="405" t="s">
        <v>5</v>
      </c>
      <c r="DF482" s="406" t="s">
        <v>85</v>
      </c>
      <c r="DG482" s="407">
        <v>45848</v>
      </c>
      <c r="DH482" s="405" t="s">
        <v>7086</v>
      </c>
      <c r="DI482" s="406">
        <v>465455</v>
      </c>
      <c r="DJ482" s="408">
        <v>5</v>
      </c>
      <c r="DK482" s="405">
        <v>1</v>
      </c>
      <c r="DL482" s="82">
        <v>332.47</v>
      </c>
      <c r="DM482" s="409">
        <v>1.6623500000000002</v>
      </c>
      <c r="DN482" s="82" t="s">
        <v>85</v>
      </c>
      <c r="DO482" s="82" t="s">
        <v>85</v>
      </c>
      <c r="DP482" s="410" t="s">
        <v>85</v>
      </c>
    </row>
    <row r="483" spans="1:120" x14ac:dyDescent="0.25">
      <c r="A483" s="16" t="s">
        <v>7090</v>
      </c>
      <c r="B483" s="16" t="s">
        <v>7091</v>
      </c>
      <c r="C483" s="16" t="s">
        <v>7092</v>
      </c>
      <c r="D483" s="16" t="s">
        <v>6883</v>
      </c>
      <c r="E483" s="16" t="s">
        <v>7093</v>
      </c>
      <c r="F483" s="16" t="s">
        <v>7094</v>
      </c>
      <c r="G483" s="16" t="s">
        <v>7095</v>
      </c>
      <c r="H483" s="16" t="s">
        <v>7096</v>
      </c>
      <c r="I483" s="16" t="s">
        <v>1456</v>
      </c>
      <c r="J483" s="16" t="s">
        <v>928</v>
      </c>
      <c r="K483" s="16" t="s">
        <v>1457</v>
      </c>
      <c r="L483" s="16" t="s">
        <v>85</v>
      </c>
      <c r="M483" s="16" t="s">
        <v>1322</v>
      </c>
      <c r="N483" s="16" t="s">
        <v>914</v>
      </c>
      <c r="O483" s="16" t="s">
        <v>1323</v>
      </c>
      <c r="P483" s="16" t="s">
        <v>914</v>
      </c>
      <c r="Q483" s="16" t="s">
        <v>1323</v>
      </c>
      <c r="R483" s="16" t="s">
        <v>915</v>
      </c>
      <c r="S483" s="16" t="s">
        <v>915</v>
      </c>
      <c r="T483" s="16" t="s">
        <v>1322</v>
      </c>
      <c r="U483" s="16" t="s">
        <v>1324</v>
      </c>
      <c r="V483" s="16" t="s">
        <v>916</v>
      </c>
      <c r="W483" s="16" t="s">
        <v>1324</v>
      </c>
      <c r="X483" s="16" t="s">
        <v>934</v>
      </c>
      <c r="Y483" s="16" t="s">
        <v>934</v>
      </c>
      <c r="Z483" s="16" t="s">
        <v>935</v>
      </c>
      <c r="DA483" s="405" t="s">
        <v>5</v>
      </c>
      <c r="DB483" s="405" t="s">
        <v>363</v>
      </c>
      <c r="DC483" s="406" t="s">
        <v>85</v>
      </c>
      <c r="DD483" s="405" t="s">
        <v>917</v>
      </c>
      <c r="DE483" s="405" t="s">
        <v>5</v>
      </c>
      <c r="DF483" s="406" t="s">
        <v>85</v>
      </c>
      <c r="DG483" s="407">
        <v>45848</v>
      </c>
      <c r="DH483" s="405" t="s">
        <v>7093</v>
      </c>
      <c r="DI483" s="406">
        <v>465455</v>
      </c>
      <c r="DJ483" s="408">
        <v>5</v>
      </c>
      <c r="DK483" s="405">
        <v>1</v>
      </c>
      <c r="DL483" s="82">
        <v>332.47</v>
      </c>
      <c r="DM483" s="409">
        <v>1.6623500000000002</v>
      </c>
      <c r="DN483" s="82" t="s">
        <v>85</v>
      </c>
      <c r="DO483" s="82" t="s">
        <v>85</v>
      </c>
      <c r="DP483" s="410" t="s">
        <v>85</v>
      </c>
    </row>
    <row r="484" spans="1:120" x14ac:dyDescent="0.25">
      <c r="A484" s="16" t="s">
        <v>7097</v>
      </c>
      <c r="B484" s="16" t="s">
        <v>7098</v>
      </c>
      <c r="C484" s="16" t="s">
        <v>7099</v>
      </c>
      <c r="D484" s="16" t="s">
        <v>6883</v>
      </c>
      <c r="E484" s="16" t="s">
        <v>7100</v>
      </c>
      <c r="F484" s="16" t="s">
        <v>7101</v>
      </c>
      <c r="G484" s="16" t="s">
        <v>7102</v>
      </c>
      <c r="H484" s="16" t="s">
        <v>7094</v>
      </c>
      <c r="I484" s="16" t="s">
        <v>2118</v>
      </c>
      <c r="J484" s="16" t="s">
        <v>928</v>
      </c>
      <c r="K484" s="16" t="s">
        <v>2119</v>
      </c>
      <c r="L484" s="16" t="s">
        <v>85</v>
      </c>
      <c r="M484" s="16" t="s">
        <v>1322</v>
      </c>
      <c r="N484" s="16" t="s">
        <v>914</v>
      </c>
      <c r="O484" s="16" t="s">
        <v>1323</v>
      </c>
      <c r="P484" s="16" t="s">
        <v>914</v>
      </c>
      <c r="Q484" s="16" t="s">
        <v>1323</v>
      </c>
      <c r="R484" s="16" t="s">
        <v>915</v>
      </c>
      <c r="S484" s="16" t="s">
        <v>915</v>
      </c>
      <c r="T484" s="16" t="s">
        <v>1322</v>
      </c>
      <c r="U484" s="16" t="s">
        <v>1324</v>
      </c>
      <c r="V484" s="16" t="s">
        <v>916</v>
      </c>
      <c r="W484" s="16" t="s">
        <v>1324</v>
      </c>
      <c r="X484" s="16" t="s">
        <v>934</v>
      </c>
      <c r="Y484" s="16" t="s">
        <v>934</v>
      </c>
      <c r="Z484" s="16" t="s">
        <v>935</v>
      </c>
      <c r="DA484" s="405" t="s">
        <v>5</v>
      </c>
      <c r="DB484" s="405" t="s">
        <v>363</v>
      </c>
      <c r="DC484" s="406" t="s">
        <v>85</v>
      </c>
      <c r="DD484" s="405" t="s">
        <v>917</v>
      </c>
      <c r="DE484" s="405" t="s">
        <v>5</v>
      </c>
      <c r="DF484" s="406" t="s">
        <v>85</v>
      </c>
      <c r="DG484" s="407">
        <v>45848</v>
      </c>
      <c r="DH484" s="405" t="s">
        <v>7100</v>
      </c>
      <c r="DI484" s="406">
        <v>465455</v>
      </c>
      <c r="DJ484" s="408">
        <v>5</v>
      </c>
      <c r="DK484" s="405">
        <v>1</v>
      </c>
      <c r="DL484" s="82">
        <v>332.47</v>
      </c>
      <c r="DM484" s="409">
        <v>1.6623500000000002</v>
      </c>
      <c r="DN484" s="82" t="s">
        <v>85</v>
      </c>
      <c r="DO484" s="82" t="s">
        <v>85</v>
      </c>
      <c r="DP484" s="410" t="s">
        <v>85</v>
      </c>
    </row>
    <row r="485" spans="1:120" x14ac:dyDescent="0.25">
      <c r="A485" s="16" t="s">
        <v>7103</v>
      </c>
      <c r="B485" s="16" t="s">
        <v>7104</v>
      </c>
      <c r="C485" s="16" t="s">
        <v>7105</v>
      </c>
      <c r="D485" s="16" t="s">
        <v>6883</v>
      </c>
      <c r="E485" s="16" t="s">
        <v>7106</v>
      </c>
      <c r="F485" s="16" t="s">
        <v>7107</v>
      </c>
      <c r="G485" s="16" t="s">
        <v>7108</v>
      </c>
      <c r="H485" s="16" t="s">
        <v>7109</v>
      </c>
      <c r="I485" s="16" t="s">
        <v>1269</v>
      </c>
      <c r="J485" s="16" t="s">
        <v>943</v>
      </c>
      <c r="K485" s="16" t="s">
        <v>1270</v>
      </c>
      <c r="L485" s="16" t="s">
        <v>85</v>
      </c>
      <c r="M485" s="16" t="s">
        <v>984</v>
      </c>
      <c r="N485" s="16" t="s">
        <v>914</v>
      </c>
      <c r="O485" s="16" t="s">
        <v>985</v>
      </c>
      <c r="P485" s="16" t="s">
        <v>914</v>
      </c>
      <c r="Q485" s="16" t="s">
        <v>985</v>
      </c>
      <c r="R485" s="16" t="s">
        <v>915</v>
      </c>
      <c r="S485" s="16" t="s">
        <v>915</v>
      </c>
      <c r="T485" s="16" t="s">
        <v>986</v>
      </c>
      <c r="U485" s="16" t="s">
        <v>987</v>
      </c>
      <c r="V485" s="16" t="s">
        <v>916</v>
      </c>
      <c r="W485" s="16" t="s">
        <v>987</v>
      </c>
      <c r="X485" s="16" t="s">
        <v>934</v>
      </c>
      <c r="Y485" s="16" t="s">
        <v>934</v>
      </c>
      <c r="Z485" s="16" t="s">
        <v>935</v>
      </c>
      <c r="DA485" s="405" t="s">
        <v>5</v>
      </c>
      <c r="DB485" s="405" t="s">
        <v>363</v>
      </c>
      <c r="DC485" s="406" t="s">
        <v>85</v>
      </c>
      <c r="DD485" s="405" t="s">
        <v>917</v>
      </c>
      <c r="DE485" s="405" t="s">
        <v>5</v>
      </c>
      <c r="DF485" s="406" t="s">
        <v>85</v>
      </c>
      <c r="DG485" s="407">
        <v>45848</v>
      </c>
      <c r="DH485" s="405" t="s">
        <v>7106</v>
      </c>
      <c r="DI485" s="406">
        <v>465455</v>
      </c>
      <c r="DJ485" s="408">
        <v>5</v>
      </c>
      <c r="DK485" s="405">
        <v>1</v>
      </c>
      <c r="DL485" s="82">
        <v>340.55</v>
      </c>
      <c r="DM485" s="409">
        <v>1.70275</v>
      </c>
      <c r="DN485" s="82" t="s">
        <v>85</v>
      </c>
      <c r="DO485" s="82" t="s">
        <v>85</v>
      </c>
      <c r="DP485" s="410" t="s">
        <v>85</v>
      </c>
    </row>
    <row r="486" spans="1:120" x14ac:dyDescent="0.25">
      <c r="A486" s="16" t="s">
        <v>7110</v>
      </c>
      <c r="B486" s="16" t="s">
        <v>7111</v>
      </c>
      <c r="C486" s="16" t="s">
        <v>7112</v>
      </c>
      <c r="D486" s="16" t="s">
        <v>6883</v>
      </c>
      <c r="E486" s="16" t="s">
        <v>7113</v>
      </c>
      <c r="F486" s="16" t="s">
        <v>7114</v>
      </c>
      <c r="G486" s="16" t="s">
        <v>7115</v>
      </c>
      <c r="H486" s="16" t="s">
        <v>7109</v>
      </c>
      <c r="I486" s="16" t="s">
        <v>1638</v>
      </c>
      <c r="J486" s="16" t="s">
        <v>943</v>
      </c>
      <c r="K486" s="16" t="s">
        <v>1639</v>
      </c>
      <c r="L486" s="16" t="s">
        <v>85</v>
      </c>
      <c r="M486" s="16" t="s">
        <v>984</v>
      </c>
      <c r="N486" s="16" t="s">
        <v>914</v>
      </c>
      <c r="O486" s="16" t="s">
        <v>985</v>
      </c>
      <c r="P486" s="16" t="s">
        <v>914</v>
      </c>
      <c r="Q486" s="16" t="s">
        <v>985</v>
      </c>
      <c r="R486" s="16" t="s">
        <v>915</v>
      </c>
      <c r="S486" s="16" t="s">
        <v>915</v>
      </c>
      <c r="T486" s="16" t="s">
        <v>986</v>
      </c>
      <c r="U486" s="16" t="s">
        <v>987</v>
      </c>
      <c r="V486" s="16" t="s">
        <v>916</v>
      </c>
      <c r="W486" s="16" t="s">
        <v>987</v>
      </c>
      <c r="X486" s="16" t="s">
        <v>934</v>
      </c>
      <c r="Y486" s="16" t="s">
        <v>934</v>
      </c>
      <c r="Z486" s="16" t="s">
        <v>935</v>
      </c>
      <c r="DA486" s="405" t="s">
        <v>5</v>
      </c>
      <c r="DB486" s="405" t="s">
        <v>363</v>
      </c>
      <c r="DC486" s="406" t="s">
        <v>85</v>
      </c>
      <c r="DD486" s="405" t="s">
        <v>917</v>
      </c>
      <c r="DE486" s="405" t="s">
        <v>5</v>
      </c>
      <c r="DF486" s="406" t="s">
        <v>85</v>
      </c>
      <c r="DG486" s="407">
        <v>45848</v>
      </c>
      <c r="DH486" s="405" t="s">
        <v>7113</v>
      </c>
      <c r="DI486" s="406">
        <v>465455</v>
      </c>
      <c r="DJ486" s="408">
        <v>5</v>
      </c>
      <c r="DK486" s="405">
        <v>1</v>
      </c>
      <c r="DL486" s="82">
        <v>340.55</v>
      </c>
      <c r="DM486" s="409">
        <v>1.70275</v>
      </c>
      <c r="DN486" s="82" t="s">
        <v>85</v>
      </c>
      <c r="DO486" s="82" t="s">
        <v>85</v>
      </c>
      <c r="DP486" s="410" t="s">
        <v>85</v>
      </c>
    </row>
    <row r="487" spans="1:120" x14ac:dyDescent="0.25">
      <c r="A487" s="16" t="s">
        <v>7116</v>
      </c>
      <c r="B487" s="16" t="s">
        <v>7117</v>
      </c>
      <c r="C487" s="16" t="s">
        <v>7118</v>
      </c>
      <c r="D487" s="16" t="s">
        <v>6883</v>
      </c>
      <c r="E487" s="16" t="s">
        <v>7119</v>
      </c>
      <c r="F487" s="16" t="s">
        <v>7120</v>
      </c>
      <c r="G487" s="16" t="s">
        <v>7121</v>
      </c>
      <c r="H487" s="16" t="s">
        <v>7122</v>
      </c>
      <c r="I487" s="16" t="s">
        <v>1377</v>
      </c>
      <c r="J487" s="16" t="s">
        <v>943</v>
      </c>
      <c r="K487" s="16" t="s">
        <v>1378</v>
      </c>
      <c r="L487" s="16" t="s">
        <v>85</v>
      </c>
      <c r="M487" s="16" t="s">
        <v>984</v>
      </c>
      <c r="N487" s="16" t="s">
        <v>914</v>
      </c>
      <c r="O487" s="16" t="s">
        <v>985</v>
      </c>
      <c r="P487" s="16" t="s">
        <v>914</v>
      </c>
      <c r="Q487" s="16" t="s">
        <v>985</v>
      </c>
      <c r="R487" s="16" t="s">
        <v>915</v>
      </c>
      <c r="S487" s="16" t="s">
        <v>915</v>
      </c>
      <c r="T487" s="16" t="s">
        <v>986</v>
      </c>
      <c r="U487" s="16" t="s">
        <v>987</v>
      </c>
      <c r="V487" s="16" t="s">
        <v>916</v>
      </c>
      <c r="W487" s="16" t="s">
        <v>987</v>
      </c>
      <c r="X487" s="16" t="s">
        <v>934</v>
      </c>
      <c r="Y487" s="16" t="s">
        <v>934</v>
      </c>
      <c r="Z487" s="16" t="s">
        <v>935</v>
      </c>
      <c r="DA487" s="405" t="s">
        <v>5</v>
      </c>
      <c r="DB487" s="405" t="s">
        <v>363</v>
      </c>
      <c r="DC487" s="406" t="s">
        <v>85</v>
      </c>
      <c r="DD487" s="405" t="s">
        <v>917</v>
      </c>
      <c r="DE487" s="405" t="s">
        <v>5</v>
      </c>
      <c r="DF487" s="406" t="s">
        <v>85</v>
      </c>
      <c r="DG487" s="407">
        <v>45848</v>
      </c>
      <c r="DH487" s="405" t="s">
        <v>7119</v>
      </c>
      <c r="DI487" s="406">
        <v>465455</v>
      </c>
      <c r="DJ487" s="408">
        <v>5</v>
      </c>
      <c r="DK487" s="405">
        <v>1</v>
      </c>
      <c r="DL487" s="82">
        <v>340.55</v>
      </c>
      <c r="DM487" s="409">
        <v>1.70275</v>
      </c>
      <c r="DN487" s="82" t="s">
        <v>85</v>
      </c>
      <c r="DO487" s="82" t="s">
        <v>85</v>
      </c>
      <c r="DP487" s="410" t="s">
        <v>85</v>
      </c>
    </row>
    <row r="488" spans="1:120" x14ac:dyDescent="0.25">
      <c r="A488" s="16" t="s">
        <v>7123</v>
      </c>
      <c r="B488" s="16" t="s">
        <v>7124</v>
      </c>
      <c r="C488" s="16" t="s">
        <v>7125</v>
      </c>
      <c r="D488" s="16" t="s">
        <v>6883</v>
      </c>
      <c r="E488" s="16" t="s">
        <v>7126</v>
      </c>
      <c r="F488" s="16" t="s">
        <v>7127</v>
      </c>
      <c r="G488" s="16" t="s">
        <v>7128</v>
      </c>
      <c r="H488" s="16" t="s">
        <v>7129</v>
      </c>
      <c r="I488" s="16" t="s">
        <v>1377</v>
      </c>
      <c r="J488" s="16" t="s">
        <v>943</v>
      </c>
      <c r="K488" s="16" t="s">
        <v>1378</v>
      </c>
      <c r="L488" s="16" t="s">
        <v>85</v>
      </c>
      <c r="M488" s="16" t="s">
        <v>984</v>
      </c>
      <c r="N488" s="16" t="s">
        <v>914</v>
      </c>
      <c r="O488" s="16" t="s">
        <v>985</v>
      </c>
      <c r="P488" s="16" t="s">
        <v>914</v>
      </c>
      <c r="Q488" s="16" t="s">
        <v>985</v>
      </c>
      <c r="R488" s="16" t="s">
        <v>915</v>
      </c>
      <c r="S488" s="16" t="s">
        <v>915</v>
      </c>
      <c r="T488" s="16" t="s">
        <v>986</v>
      </c>
      <c r="U488" s="16" t="s">
        <v>987</v>
      </c>
      <c r="V488" s="16" t="s">
        <v>916</v>
      </c>
      <c r="W488" s="16" t="s">
        <v>987</v>
      </c>
      <c r="X488" s="16" t="s">
        <v>934</v>
      </c>
      <c r="Y488" s="16" t="s">
        <v>934</v>
      </c>
      <c r="Z488" s="16" t="s">
        <v>935</v>
      </c>
      <c r="DA488" s="405" t="s">
        <v>5</v>
      </c>
      <c r="DB488" s="405" t="s">
        <v>363</v>
      </c>
      <c r="DC488" s="406" t="s">
        <v>85</v>
      </c>
      <c r="DD488" s="405" t="s">
        <v>917</v>
      </c>
      <c r="DE488" s="405" t="s">
        <v>5</v>
      </c>
      <c r="DF488" s="406" t="s">
        <v>85</v>
      </c>
      <c r="DG488" s="407">
        <v>45848</v>
      </c>
      <c r="DH488" s="405" t="s">
        <v>7126</v>
      </c>
      <c r="DI488" s="406">
        <v>465455</v>
      </c>
      <c r="DJ488" s="408">
        <v>5</v>
      </c>
      <c r="DK488" s="405">
        <v>1</v>
      </c>
      <c r="DL488" s="82">
        <v>340.55</v>
      </c>
      <c r="DM488" s="409">
        <v>1.70275</v>
      </c>
      <c r="DN488" s="82" t="s">
        <v>85</v>
      </c>
      <c r="DO488" s="82" t="s">
        <v>85</v>
      </c>
      <c r="DP488" s="410" t="s">
        <v>85</v>
      </c>
    </row>
    <row r="489" spans="1:120" x14ac:dyDescent="0.25">
      <c r="A489" s="16" t="s">
        <v>7130</v>
      </c>
      <c r="B489" s="16" t="s">
        <v>7131</v>
      </c>
      <c r="C489" s="16" t="s">
        <v>7132</v>
      </c>
      <c r="D489" s="16" t="s">
        <v>6883</v>
      </c>
      <c r="E489" s="16" t="s">
        <v>7133</v>
      </c>
      <c r="F489" s="16" t="s">
        <v>7134</v>
      </c>
      <c r="G489" s="16" t="s">
        <v>7135</v>
      </c>
      <c r="H489" s="16" t="s">
        <v>7136</v>
      </c>
      <c r="I489" s="16" t="s">
        <v>5221</v>
      </c>
      <c r="J489" s="16" t="s">
        <v>2699</v>
      </c>
      <c r="K489" s="16" t="s">
        <v>5222</v>
      </c>
      <c r="L489" s="16" t="s">
        <v>85</v>
      </c>
      <c r="M489" s="16" t="s">
        <v>2701</v>
      </c>
      <c r="N489" s="16" t="s">
        <v>914</v>
      </c>
      <c r="O489" s="16" t="s">
        <v>2702</v>
      </c>
      <c r="P489" s="16" t="s">
        <v>914</v>
      </c>
      <c r="Q489" s="16" t="s">
        <v>2702</v>
      </c>
      <c r="R489" s="16" t="s">
        <v>915</v>
      </c>
      <c r="S489" s="16" t="s">
        <v>915</v>
      </c>
      <c r="T489" s="16" t="s">
        <v>2703</v>
      </c>
      <c r="U489" s="16" t="s">
        <v>2704</v>
      </c>
      <c r="V489" s="16" t="s">
        <v>916</v>
      </c>
      <c r="W489" s="16" t="s">
        <v>2704</v>
      </c>
      <c r="X489" s="16" t="s">
        <v>934</v>
      </c>
      <c r="Y489" s="16" t="s">
        <v>934</v>
      </c>
      <c r="Z489" s="16" t="s">
        <v>935</v>
      </c>
      <c r="DA489" s="405" t="s">
        <v>5</v>
      </c>
      <c r="DB489" s="405" t="s">
        <v>363</v>
      </c>
      <c r="DC489" s="406" t="s">
        <v>85</v>
      </c>
      <c r="DD489" s="405" t="s">
        <v>917</v>
      </c>
      <c r="DE489" s="405" t="s">
        <v>5</v>
      </c>
      <c r="DF489" s="406" t="s">
        <v>85</v>
      </c>
      <c r="DG489" s="407">
        <v>45848</v>
      </c>
      <c r="DH489" s="405" t="s">
        <v>7133</v>
      </c>
      <c r="DI489" s="406">
        <v>465455</v>
      </c>
      <c r="DJ489" s="408">
        <v>5</v>
      </c>
      <c r="DK489" s="405">
        <v>1</v>
      </c>
      <c r="DL489" s="82">
        <v>478.9</v>
      </c>
      <c r="DM489" s="409">
        <v>2.3944999999999999</v>
      </c>
      <c r="DN489" s="82" t="s">
        <v>85</v>
      </c>
      <c r="DO489" s="82" t="s">
        <v>85</v>
      </c>
      <c r="DP489" s="410" t="s">
        <v>85</v>
      </c>
    </row>
    <row r="490" spans="1:120" x14ac:dyDescent="0.25">
      <c r="A490" s="16" t="s">
        <v>7137</v>
      </c>
      <c r="B490" s="16" t="s">
        <v>7138</v>
      </c>
      <c r="C490" s="16" t="s">
        <v>7139</v>
      </c>
      <c r="D490" s="16" t="s">
        <v>6883</v>
      </c>
      <c r="E490" s="16" t="s">
        <v>7140</v>
      </c>
      <c r="F490" s="16" t="s">
        <v>7141</v>
      </c>
      <c r="G490" s="16" t="s">
        <v>7142</v>
      </c>
      <c r="H490" s="16" t="s">
        <v>7141</v>
      </c>
      <c r="I490" s="16" t="s">
        <v>7143</v>
      </c>
      <c r="J490" s="16" t="s">
        <v>1123</v>
      </c>
      <c r="K490" s="16" t="s">
        <v>7144</v>
      </c>
      <c r="L490" s="16" t="s">
        <v>85</v>
      </c>
      <c r="M490" s="16" t="s">
        <v>1238</v>
      </c>
      <c r="N490" s="16" t="s">
        <v>914</v>
      </c>
      <c r="O490" s="16" t="s">
        <v>1239</v>
      </c>
      <c r="P490" s="16" t="s">
        <v>914</v>
      </c>
      <c r="Q490" s="16" t="s">
        <v>1239</v>
      </c>
      <c r="R490" s="16" t="s">
        <v>915</v>
      </c>
      <c r="S490" s="16" t="s">
        <v>915</v>
      </c>
      <c r="T490" s="16" t="s">
        <v>1238</v>
      </c>
      <c r="U490" s="16" t="s">
        <v>1240</v>
      </c>
      <c r="V490" s="16" t="s">
        <v>916</v>
      </c>
      <c r="W490" s="16" t="s">
        <v>1240</v>
      </c>
      <c r="X490" s="16" t="s">
        <v>934</v>
      </c>
      <c r="Y490" s="16" t="s">
        <v>934</v>
      </c>
      <c r="Z490" s="16" t="s">
        <v>935</v>
      </c>
      <c r="DA490" s="405" t="s">
        <v>5</v>
      </c>
      <c r="DB490" s="405" t="s">
        <v>363</v>
      </c>
      <c r="DC490" s="406" t="s">
        <v>85</v>
      </c>
      <c r="DD490" s="405" t="s">
        <v>917</v>
      </c>
      <c r="DE490" s="405" t="s">
        <v>5</v>
      </c>
      <c r="DF490" s="406" t="s">
        <v>85</v>
      </c>
      <c r="DG490" s="407">
        <v>45848</v>
      </c>
      <c r="DH490" s="405" t="s">
        <v>7140</v>
      </c>
      <c r="DI490" s="406">
        <v>465455</v>
      </c>
      <c r="DJ490" s="408">
        <v>5</v>
      </c>
      <c r="DK490" s="405">
        <v>1</v>
      </c>
      <c r="DL490" s="82">
        <v>383.16</v>
      </c>
      <c r="DM490" s="409">
        <v>1.9158000000000002</v>
      </c>
      <c r="DN490" s="82" t="s">
        <v>85</v>
      </c>
      <c r="DO490" s="82" t="s">
        <v>85</v>
      </c>
      <c r="DP490" s="410" t="s">
        <v>85</v>
      </c>
    </row>
    <row r="491" spans="1:120" x14ac:dyDescent="0.25">
      <c r="A491" s="16" t="s">
        <v>7145</v>
      </c>
      <c r="B491" s="16" t="s">
        <v>7146</v>
      </c>
      <c r="C491" s="16" t="s">
        <v>7147</v>
      </c>
      <c r="D491" s="16" t="s">
        <v>6883</v>
      </c>
      <c r="E491" s="16" t="s">
        <v>7148</v>
      </c>
      <c r="F491" s="16" t="s">
        <v>7149</v>
      </c>
      <c r="G491" s="16" t="s">
        <v>7150</v>
      </c>
      <c r="H491" s="16" t="s">
        <v>7149</v>
      </c>
      <c r="I491" s="16" t="s">
        <v>4858</v>
      </c>
      <c r="J491" s="16" t="s">
        <v>2600</v>
      </c>
      <c r="K491" s="16" t="s">
        <v>4859</v>
      </c>
      <c r="L491" s="16" t="s">
        <v>85</v>
      </c>
      <c r="M491" s="16" t="s">
        <v>1955</v>
      </c>
      <c r="N491" s="16" t="s">
        <v>914</v>
      </c>
      <c r="O491" s="16" t="s">
        <v>1039</v>
      </c>
      <c r="P491" s="16" t="s">
        <v>914</v>
      </c>
      <c r="Q491" s="16" t="s">
        <v>1039</v>
      </c>
      <c r="R491" s="16" t="s">
        <v>915</v>
      </c>
      <c r="S491" s="16" t="s">
        <v>915</v>
      </c>
      <c r="T491" s="16" t="s">
        <v>1955</v>
      </c>
      <c r="U491" s="16" t="s">
        <v>1956</v>
      </c>
      <c r="V491" s="16" t="s">
        <v>916</v>
      </c>
      <c r="W491" s="16" t="s">
        <v>1956</v>
      </c>
      <c r="X491" s="16" t="s">
        <v>934</v>
      </c>
      <c r="Y491" s="16" t="s">
        <v>934</v>
      </c>
      <c r="Z491" s="16" t="s">
        <v>935</v>
      </c>
      <c r="DA491" s="405" t="s">
        <v>5</v>
      </c>
      <c r="DB491" s="405" t="s">
        <v>363</v>
      </c>
      <c r="DC491" s="406" t="s">
        <v>85</v>
      </c>
      <c r="DD491" s="405" t="s">
        <v>917</v>
      </c>
      <c r="DE491" s="405" t="s">
        <v>5</v>
      </c>
      <c r="DF491" s="406" t="s">
        <v>85</v>
      </c>
      <c r="DG491" s="407">
        <v>45848</v>
      </c>
      <c r="DH491" s="405" t="s">
        <v>7148</v>
      </c>
      <c r="DI491" s="406">
        <v>465455</v>
      </c>
      <c r="DJ491" s="408">
        <v>5</v>
      </c>
      <c r="DK491" s="405">
        <v>1</v>
      </c>
      <c r="DL491" s="82">
        <v>311.2</v>
      </c>
      <c r="DM491" s="409">
        <v>1.556</v>
      </c>
      <c r="DN491" s="82" t="s">
        <v>85</v>
      </c>
      <c r="DO491" s="82" t="s">
        <v>85</v>
      </c>
      <c r="DP491" s="410" t="s">
        <v>85</v>
      </c>
    </row>
    <row r="492" spans="1:120" x14ac:dyDescent="0.25">
      <c r="A492" s="16" t="s">
        <v>7151</v>
      </c>
      <c r="B492" s="16" t="s">
        <v>7152</v>
      </c>
      <c r="C492" s="16" t="s">
        <v>7153</v>
      </c>
      <c r="D492" s="16" t="s">
        <v>6883</v>
      </c>
      <c r="E492" s="16" t="s">
        <v>7154</v>
      </c>
      <c r="F492" s="16" t="s">
        <v>7155</v>
      </c>
      <c r="G492" s="16" t="s">
        <v>7156</v>
      </c>
      <c r="H492" s="16" t="s">
        <v>7155</v>
      </c>
      <c r="I492" s="16" t="s">
        <v>3832</v>
      </c>
      <c r="J492" s="16" t="s">
        <v>2699</v>
      </c>
      <c r="K492" s="16" t="s">
        <v>3833</v>
      </c>
      <c r="L492" s="16" t="s">
        <v>85</v>
      </c>
      <c r="M492" s="16" t="s">
        <v>2701</v>
      </c>
      <c r="N492" s="16" t="s">
        <v>914</v>
      </c>
      <c r="O492" s="16" t="s">
        <v>2702</v>
      </c>
      <c r="P492" s="16" t="s">
        <v>914</v>
      </c>
      <c r="Q492" s="16" t="s">
        <v>2702</v>
      </c>
      <c r="R492" s="16" t="s">
        <v>915</v>
      </c>
      <c r="S492" s="16" t="s">
        <v>915</v>
      </c>
      <c r="T492" s="16" t="s">
        <v>2703</v>
      </c>
      <c r="U492" s="16" t="s">
        <v>2704</v>
      </c>
      <c r="V492" s="16" t="s">
        <v>916</v>
      </c>
      <c r="W492" s="16" t="s">
        <v>2704</v>
      </c>
      <c r="X492" s="16" t="s">
        <v>934</v>
      </c>
      <c r="Y492" s="16" t="s">
        <v>934</v>
      </c>
      <c r="Z492" s="16" t="s">
        <v>935</v>
      </c>
      <c r="DA492" s="405" t="s">
        <v>5</v>
      </c>
      <c r="DB492" s="405" t="s">
        <v>363</v>
      </c>
      <c r="DC492" s="406" t="s">
        <v>85</v>
      </c>
      <c r="DD492" s="405" t="s">
        <v>917</v>
      </c>
      <c r="DE492" s="405" t="s">
        <v>5</v>
      </c>
      <c r="DF492" s="406" t="s">
        <v>85</v>
      </c>
      <c r="DG492" s="407">
        <v>45848</v>
      </c>
      <c r="DH492" s="405" t="s">
        <v>7154</v>
      </c>
      <c r="DI492" s="406">
        <v>465455</v>
      </c>
      <c r="DJ492" s="408">
        <v>5</v>
      </c>
      <c r="DK492" s="405">
        <v>1</v>
      </c>
      <c r="DL492" s="82">
        <v>478.9</v>
      </c>
      <c r="DM492" s="409">
        <v>2.3944999999999999</v>
      </c>
      <c r="DN492" s="82" t="s">
        <v>85</v>
      </c>
      <c r="DO492" s="82" t="s">
        <v>85</v>
      </c>
      <c r="DP492" s="410" t="s">
        <v>85</v>
      </c>
    </row>
    <row r="493" spans="1:120" x14ac:dyDescent="0.25">
      <c r="A493" s="16" t="s">
        <v>7157</v>
      </c>
      <c r="B493" s="16" t="s">
        <v>7158</v>
      </c>
      <c r="C493" s="16" t="s">
        <v>7159</v>
      </c>
      <c r="D493" s="16" t="s">
        <v>6883</v>
      </c>
      <c r="E493" s="16" t="s">
        <v>7160</v>
      </c>
      <c r="F493" s="16" t="s">
        <v>7161</v>
      </c>
      <c r="G493" s="16" t="s">
        <v>7162</v>
      </c>
      <c r="H493" s="16" t="s">
        <v>7163</v>
      </c>
      <c r="I493" s="16" t="s">
        <v>1781</v>
      </c>
      <c r="J493" s="16" t="s">
        <v>995</v>
      </c>
      <c r="K493" s="16" t="s">
        <v>1782</v>
      </c>
      <c r="L493" s="16" t="s">
        <v>85</v>
      </c>
      <c r="M493" s="16" t="s">
        <v>1165</v>
      </c>
      <c r="N493" s="16" t="s">
        <v>914</v>
      </c>
      <c r="O493" s="16" t="s">
        <v>1166</v>
      </c>
      <c r="P493" s="16" t="s">
        <v>914</v>
      </c>
      <c r="Q493" s="16" t="s">
        <v>1166</v>
      </c>
      <c r="R493" s="16" t="s">
        <v>915</v>
      </c>
      <c r="S493" s="16" t="s">
        <v>915</v>
      </c>
      <c r="T493" s="16" t="s">
        <v>1167</v>
      </c>
      <c r="U493" s="16" t="s">
        <v>1168</v>
      </c>
      <c r="V493" s="16" t="s">
        <v>916</v>
      </c>
      <c r="W493" s="16" t="s">
        <v>1168</v>
      </c>
      <c r="X493" s="16" t="s">
        <v>934</v>
      </c>
      <c r="Y493" s="16" t="s">
        <v>934</v>
      </c>
      <c r="Z493" s="16" t="s">
        <v>935</v>
      </c>
      <c r="DA493" s="405" t="s">
        <v>5</v>
      </c>
      <c r="DB493" s="405" t="s">
        <v>363</v>
      </c>
      <c r="DC493" s="406" t="s">
        <v>85</v>
      </c>
      <c r="DD493" s="405" t="s">
        <v>917</v>
      </c>
      <c r="DE493" s="405" t="s">
        <v>5</v>
      </c>
      <c r="DF493" s="406" t="s">
        <v>85</v>
      </c>
      <c r="DG493" s="407">
        <v>45848</v>
      </c>
      <c r="DH493" s="405" t="s">
        <v>7160</v>
      </c>
      <c r="DI493" s="406">
        <v>465455</v>
      </c>
      <c r="DJ493" s="408">
        <v>5</v>
      </c>
      <c r="DK493" s="405">
        <v>1</v>
      </c>
      <c r="DL493" s="82">
        <v>468.28</v>
      </c>
      <c r="DM493" s="409">
        <v>2.3413999999999997</v>
      </c>
      <c r="DN493" s="82" t="s">
        <v>85</v>
      </c>
      <c r="DO493" s="82" t="s">
        <v>85</v>
      </c>
      <c r="DP493" s="410" t="s">
        <v>85</v>
      </c>
    </row>
    <row r="494" spans="1:120" x14ac:dyDescent="0.25">
      <c r="A494" s="16" t="s">
        <v>7164</v>
      </c>
      <c r="B494" s="16" t="s">
        <v>7165</v>
      </c>
      <c r="C494" s="16" t="s">
        <v>7166</v>
      </c>
      <c r="D494" s="16" t="s">
        <v>6883</v>
      </c>
      <c r="E494" s="16" t="s">
        <v>7167</v>
      </c>
      <c r="F494" s="16" t="s">
        <v>7168</v>
      </c>
      <c r="G494" s="16" t="s">
        <v>7169</v>
      </c>
      <c r="H494" s="16" t="s">
        <v>7170</v>
      </c>
      <c r="I494" s="16" t="s">
        <v>1781</v>
      </c>
      <c r="J494" s="16" t="s">
        <v>995</v>
      </c>
      <c r="K494" s="16" t="s">
        <v>1782</v>
      </c>
      <c r="L494" s="16" t="s">
        <v>85</v>
      </c>
      <c r="M494" s="16" t="s">
        <v>1165</v>
      </c>
      <c r="N494" s="16" t="s">
        <v>914</v>
      </c>
      <c r="O494" s="16" t="s">
        <v>1166</v>
      </c>
      <c r="P494" s="16" t="s">
        <v>914</v>
      </c>
      <c r="Q494" s="16" t="s">
        <v>1166</v>
      </c>
      <c r="R494" s="16" t="s">
        <v>915</v>
      </c>
      <c r="S494" s="16" t="s">
        <v>915</v>
      </c>
      <c r="T494" s="16" t="s">
        <v>1167</v>
      </c>
      <c r="U494" s="16" t="s">
        <v>1168</v>
      </c>
      <c r="V494" s="16" t="s">
        <v>916</v>
      </c>
      <c r="W494" s="16" t="s">
        <v>1168</v>
      </c>
      <c r="X494" s="16" t="s">
        <v>934</v>
      </c>
      <c r="Y494" s="16" t="s">
        <v>934</v>
      </c>
      <c r="Z494" s="16" t="s">
        <v>935</v>
      </c>
      <c r="DA494" s="405" t="s">
        <v>5</v>
      </c>
      <c r="DB494" s="405" t="s">
        <v>363</v>
      </c>
      <c r="DC494" s="406" t="s">
        <v>85</v>
      </c>
      <c r="DD494" s="405" t="s">
        <v>917</v>
      </c>
      <c r="DE494" s="405" t="s">
        <v>5</v>
      </c>
      <c r="DF494" s="406" t="s">
        <v>85</v>
      </c>
      <c r="DG494" s="407">
        <v>45848</v>
      </c>
      <c r="DH494" s="405" t="s">
        <v>7167</v>
      </c>
      <c r="DI494" s="406">
        <v>465455</v>
      </c>
      <c r="DJ494" s="408">
        <v>5</v>
      </c>
      <c r="DK494" s="405">
        <v>1</v>
      </c>
      <c r="DL494" s="82">
        <v>468.28</v>
      </c>
      <c r="DM494" s="409">
        <v>2.3413999999999997</v>
      </c>
      <c r="DN494" s="82" t="s">
        <v>85</v>
      </c>
      <c r="DO494" s="82" t="s">
        <v>85</v>
      </c>
      <c r="DP494" s="410" t="s">
        <v>85</v>
      </c>
    </row>
    <row r="495" spans="1:120" x14ac:dyDescent="0.25">
      <c r="A495" s="16" t="s">
        <v>7171</v>
      </c>
      <c r="B495" s="16" t="s">
        <v>7172</v>
      </c>
      <c r="C495" s="16" t="s">
        <v>7173</v>
      </c>
      <c r="D495" s="16" t="s">
        <v>7174</v>
      </c>
      <c r="E495" s="16" t="s">
        <v>7175</v>
      </c>
      <c r="F495" s="16" t="s">
        <v>7176</v>
      </c>
      <c r="G495" s="16" t="s">
        <v>7177</v>
      </c>
      <c r="H495" s="16" t="s">
        <v>7176</v>
      </c>
      <c r="I495" s="16" t="s">
        <v>1248</v>
      </c>
      <c r="J495" s="16" t="s">
        <v>995</v>
      </c>
      <c r="K495" s="16" t="s">
        <v>1249</v>
      </c>
      <c r="L495" s="16" t="s">
        <v>85</v>
      </c>
      <c r="M495" s="16" t="s">
        <v>1165</v>
      </c>
      <c r="N495" s="16" t="s">
        <v>914</v>
      </c>
      <c r="O495" s="16" t="s">
        <v>1166</v>
      </c>
      <c r="P495" s="16" t="s">
        <v>914</v>
      </c>
      <c r="Q495" s="16" t="s">
        <v>1166</v>
      </c>
      <c r="R495" s="16" t="s">
        <v>915</v>
      </c>
      <c r="S495" s="16" t="s">
        <v>915</v>
      </c>
      <c r="T495" s="16" t="s">
        <v>1167</v>
      </c>
      <c r="U495" s="16" t="s">
        <v>1168</v>
      </c>
      <c r="V495" s="16" t="s">
        <v>916</v>
      </c>
      <c r="W495" s="16" t="s">
        <v>1168</v>
      </c>
      <c r="X495" s="16" t="s">
        <v>934</v>
      </c>
      <c r="Y495" s="16" t="s">
        <v>934</v>
      </c>
      <c r="Z495" s="16" t="s">
        <v>935</v>
      </c>
      <c r="DA495" s="405" t="s">
        <v>5</v>
      </c>
      <c r="DB495" s="405" t="s">
        <v>363</v>
      </c>
      <c r="DC495" s="406" t="s">
        <v>85</v>
      </c>
      <c r="DD495" s="405" t="s">
        <v>917</v>
      </c>
      <c r="DE495" s="405" t="s">
        <v>5</v>
      </c>
      <c r="DF495" s="406" t="s">
        <v>85</v>
      </c>
      <c r="DG495" s="407">
        <v>45848</v>
      </c>
      <c r="DH495" s="405" t="s">
        <v>7175</v>
      </c>
      <c r="DI495" s="406">
        <v>465455</v>
      </c>
      <c r="DJ495" s="408">
        <v>5</v>
      </c>
      <c r="DK495" s="405">
        <v>1</v>
      </c>
      <c r="DL495" s="82">
        <v>468.28</v>
      </c>
      <c r="DM495" s="409">
        <v>2.3413999999999997</v>
      </c>
      <c r="DN495" s="82" t="s">
        <v>85</v>
      </c>
      <c r="DO495" s="82" t="s">
        <v>85</v>
      </c>
      <c r="DP495" s="410" t="s">
        <v>85</v>
      </c>
    </row>
    <row r="496" spans="1:120" x14ac:dyDescent="0.25">
      <c r="A496" s="16" t="s">
        <v>6622</v>
      </c>
      <c r="B496" s="16" t="s">
        <v>6623</v>
      </c>
      <c r="C496" s="16" t="s">
        <v>6624</v>
      </c>
      <c r="D496" s="16" t="s">
        <v>6625</v>
      </c>
      <c r="E496" s="16" t="s">
        <v>6626</v>
      </c>
      <c r="F496" s="16" t="s">
        <v>6627</v>
      </c>
      <c r="G496" s="16" t="s">
        <v>6628</v>
      </c>
      <c r="H496" s="16" t="s">
        <v>6629</v>
      </c>
      <c r="I496" s="16" t="s">
        <v>1772</v>
      </c>
      <c r="J496" s="16" t="s">
        <v>1036</v>
      </c>
      <c r="K496" s="16" t="s">
        <v>1773</v>
      </c>
      <c r="L496" s="16" t="s">
        <v>85</v>
      </c>
      <c r="M496" s="16" t="s">
        <v>1216</v>
      </c>
      <c r="N496" s="16" t="s">
        <v>914</v>
      </c>
      <c r="O496" s="16" t="s">
        <v>946</v>
      </c>
      <c r="P496" s="16" t="s">
        <v>914</v>
      </c>
      <c r="Q496" s="16" t="s">
        <v>946</v>
      </c>
      <c r="R496" s="16" t="s">
        <v>915</v>
      </c>
      <c r="S496" s="16" t="s">
        <v>915</v>
      </c>
      <c r="T496" s="16" t="s">
        <v>1216</v>
      </c>
      <c r="U496" s="16" t="s">
        <v>1217</v>
      </c>
      <c r="V496" s="16" t="s">
        <v>916</v>
      </c>
      <c r="W496" s="16" t="s">
        <v>1217</v>
      </c>
      <c r="X496" s="16" t="s">
        <v>934</v>
      </c>
      <c r="Y496" s="16" t="s">
        <v>934</v>
      </c>
      <c r="Z496" s="16" t="s">
        <v>935</v>
      </c>
      <c r="DA496" s="405" t="s">
        <v>5</v>
      </c>
      <c r="DB496" s="405" t="s">
        <v>363</v>
      </c>
      <c r="DC496" s="406" t="s">
        <v>85</v>
      </c>
      <c r="DD496" s="405" t="s">
        <v>917</v>
      </c>
      <c r="DE496" s="405" t="s">
        <v>5</v>
      </c>
      <c r="DF496" s="406" t="s">
        <v>85</v>
      </c>
      <c r="DG496" s="407">
        <v>45849</v>
      </c>
      <c r="DH496" s="405" t="s">
        <v>6626</v>
      </c>
      <c r="DI496" s="406">
        <v>465455</v>
      </c>
      <c r="DJ496" s="408">
        <v>5</v>
      </c>
      <c r="DK496" s="405">
        <v>1</v>
      </c>
      <c r="DL496" s="82">
        <v>319.22000000000003</v>
      </c>
      <c r="DM496" s="409">
        <v>1.5961000000000001</v>
      </c>
      <c r="DN496" s="82" t="s">
        <v>85</v>
      </c>
      <c r="DO496" s="82" t="s">
        <v>85</v>
      </c>
      <c r="DP496" s="410" t="s">
        <v>85</v>
      </c>
    </row>
    <row r="497" spans="1:120" x14ac:dyDescent="0.25">
      <c r="A497" s="16" t="s">
        <v>6630</v>
      </c>
      <c r="B497" s="16" t="s">
        <v>6631</v>
      </c>
      <c r="C497" s="16" t="s">
        <v>6632</v>
      </c>
      <c r="D497" s="16" t="s">
        <v>6625</v>
      </c>
      <c r="E497" s="16" t="s">
        <v>6633</v>
      </c>
      <c r="F497" s="16" t="s">
        <v>6634</v>
      </c>
      <c r="G497" s="16" t="s">
        <v>6635</v>
      </c>
      <c r="H497" s="16" t="s">
        <v>6634</v>
      </c>
      <c r="I497" s="16" t="s">
        <v>1163</v>
      </c>
      <c r="J497" s="16" t="s">
        <v>995</v>
      </c>
      <c r="K497" s="16" t="s">
        <v>1164</v>
      </c>
      <c r="L497" s="16" t="s">
        <v>85</v>
      </c>
      <c r="M497" s="16" t="s">
        <v>1165</v>
      </c>
      <c r="N497" s="16" t="s">
        <v>914</v>
      </c>
      <c r="O497" s="16" t="s">
        <v>1166</v>
      </c>
      <c r="P497" s="16" t="s">
        <v>914</v>
      </c>
      <c r="Q497" s="16" t="s">
        <v>1166</v>
      </c>
      <c r="R497" s="16" t="s">
        <v>915</v>
      </c>
      <c r="S497" s="16" t="s">
        <v>915</v>
      </c>
      <c r="T497" s="16" t="s">
        <v>1167</v>
      </c>
      <c r="U497" s="16" t="s">
        <v>1168</v>
      </c>
      <c r="V497" s="16" t="s">
        <v>916</v>
      </c>
      <c r="W497" s="16" t="s">
        <v>1168</v>
      </c>
      <c r="X497" s="16" t="s">
        <v>934</v>
      </c>
      <c r="Y497" s="16" t="s">
        <v>934</v>
      </c>
      <c r="Z497" s="16" t="s">
        <v>935</v>
      </c>
      <c r="DA497" s="405" t="s">
        <v>5</v>
      </c>
      <c r="DB497" s="405" t="s">
        <v>363</v>
      </c>
      <c r="DC497" s="406" t="s">
        <v>85</v>
      </c>
      <c r="DD497" s="405" t="s">
        <v>917</v>
      </c>
      <c r="DE497" s="405" t="s">
        <v>5</v>
      </c>
      <c r="DF497" s="406" t="s">
        <v>85</v>
      </c>
      <c r="DG497" s="407">
        <v>45849</v>
      </c>
      <c r="DH497" s="405" t="s">
        <v>6633</v>
      </c>
      <c r="DI497" s="406">
        <v>465455</v>
      </c>
      <c r="DJ497" s="408">
        <v>5</v>
      </c>
      <c r="DK497" s="405">
        <v>1</v>
      </c>
      <c r="DL497" s="82">
        <v>468.28</v>
      </c>
      <c r="DM497" s="409">
        <v>2.3413999999999997</v>
      </c>
      <c r="DN497" s="82" t="s">
        <v>85</v>
      </c>
      <c r="DO497" s="82" t="s">
        <v>85</v>
      </c>
      <c r="DP497" s="410" t="s">
        <v>85</v>
      </c>
    </row>
    <row r="498" spans="1:120" x14ac:dyDescent="0.25">
      <c r="A498" s="16" t="s">
        <v>6636</v>
      </c>
      <c r="B498" s="16" t="s">
        <v>6637</v>
      </c>
      <c r="C498" s="16" t="s">
        <v>6638</v>
      </c>
      <c r="D498" s="16" t="s">
        <v>6625</v>
      </c>
      <c r="E498" s="16" t="s">
        <v>6639</v>
      </c>
      <c r="F498" s="16" t="s">
        <v>6640</v>
      </c>
      <c r="G498" s="16" t="s">
        <v>6641</v>
      </c>
      <c r="H498" s="16" t="s">
        <v>6640</v>
      </c>
      <c r="I498" s="16" t="s">
        <v>6642</v>
      </c>
      <c r="J498" s="16" t="s">
        <v>943</v>
      </c>
      <c r="K498" s="16" t="s">
        <v>6643</v>
      </c>
      <c r="L498" s="16" t="s">
        <v>85</v>
      </c>
      <c r="M498" s="16" t="s">
        <v>984</v>
      </c>
      <c r="N498" s="16" t="s">
        <v>914</v>
      </c>
      <c r="O498" s="16" t="s">
        <v>985</v>
      </c>
      <c r="P498" s="16" t="s">
        <v>914</v>
      </c>
      <c r="Q498" s="16" t="s">
        <v>985</v>
      </c>
      <c r="R498" s="16" t="s">
        <v>915</v>
      </c>
      <c r="S498" s="16" t="s">
        <v>915</v>
      </c>
      <c r="T498" s="16" t="s">
        <v>986</v>
      </c>
      <c r="U498" s="16" t="s">
        <v>987</v>
      </c>
      <c r="V498" s="16" t="s">
        <v>916</v>
      </c>
      <c r="W498" s="16" t="s">
        <v>987</v>
      </c>
      <c r="X498" s="16" t="s">
        <v>934</v>
      </c>
      <c r="Y498" s="16" t="s">
        <v>934</v>
      </c>
      <c r="Z498" s="16" t="s">
        <v>935</v>
      </c>
      <c r="DA498" s="405" t="s">
        <v>5</v>
      </c>
      <c r="DB498" s="405" t="s">
        <v>363</v>
      </c>
      <c r="DC498" s="406" t="s">
        <v>85</v>
      </c>
      <c r="DD498" s="405" t="s">
        <v>917</v>
      </c>
      <c r="DE498" s="405" t="s">
        <v>5</v>
      </c>
      <c r="DF498" s="406" t="s">
        <v>85</v>
      </c>
      <c r="DG498" s="407">
        <v>45849</v>
      </c>
      <c r="DH498" s="405" t="s">
        <v>6639</v>
      </c>
      <c r="DI498" s="406">
        <v>465455</v>
      </c>
      <c r="DJ498" s="408">
        <v>5</v>
      </c>
      <c r="DK498" s="405">
        <v>1</v>
      </c>
      <c r="DL498" s="82">
        <v>340.55</v>
      </c>
      <c r="DM498" s="409">
        <v>1.70275</v>
      </c>
      <c r="DN498" s="82" t="s">
        <v>85</v>
      </c>
      <c r="DO498" s="82" t="s">
        <v>85</v>
      </c>
      <c r="DP498" s="410" t="s">
        <v>85</v>
      </c>
    </row>
    <row r="499" spans="1:120" x14ac:dyDescent="0.25">
      <c r="A499" s="16" t="s">
        <v>6644</v>
      </c>
      <c r="B499" s="16" t="s">
        <v>6645</v>
      </c>
      <c r="C499" s="16" t="s">
        <v>6646</v>
      </c>
      <c r="D499" s="16" t="s">
        <v>6625</v>
      </c>
      <c r="E499" s="16" t="s">
        <v>6647</v>
      </c>
      <c r="F499" s="16" t="s">
        <v>6648</v>
      </c>
      <c r="G499" s="16" t="s">
        <v>6649</v>
      </c>
      <c r="H499" s="16" t="s">
        <v>6650</v>
      </c>
      <c r="I499" s="16" t="s">
        <v>2271</v>
      </c>
      <c r="J499" s="16" t="s">
        <v>995</v>
      </c>
      <c r="K499" s="16" t="s">
        <v>2272</v>
      </c>
      <c r="L499" s="16" t="s">
        <v>85</v>
      </c>
      <c r="M499" s="16" t="s">
        <v>1165</v>
      </c>
      <c r="N499" s="16" t="s">
        <v>914</v>
      </c>
      <c r="O499" s="16" t="s">
        <v>1166</v>
      </c>
      <c r="P499" s="16" t="s">
        <v>914</v>
      </c>
      <c r="Q499" s="16" t="s">
        <v>1166</v>
      </c>
      <c r="R499" s="16" t="s">
        <v>915</v>
      </c>
      <c r="S499" s="16" t="s">
        <v>915</v>
      </c>
      <c r="T499" s="16" t="s">
        <v>1167</v>
      </c>
      <c r="U499" s="16" t="s">
        <v>1168</v>
      </c>
      <c r="V499" s="16" t="s">
        <v>916</v>
      </c>
      <c r="W499" s="16" t="s">
        <v>1168</v>
      </c>
      <c r="X499" s="16" t="s">
        <v>934</v>
      </c>
      <c r="Y499" s="16" t="s">
        <v>934</v>
      </c>
      <c r="Z499" s="16" t="s">
        <v>935</v>
      </c>
      <c r="DA499" s="405" t="s">
        <v>5</v>
      </c>
      <c r="DB499" s="405" t="s">
        <v>363</v>
      </c>
      <c r="DC499" s="406" t="s">
        <v>85</v>
      </c>
      <c r="DD499" s="405" t="s">
        <v>917</v>
      </c>
      <c r="DE499" s="405" t="s">
        <v>5</v>
      </c>
      <c r="DF499" s="406" t="s">
        <v>85</v>
      </c>
      <c r="DG499" s="407">
        <v>45849</v>
      </c>
      <c r="DH499" s="405" t="s">
        <v>6647</v>
      </c>
      <c r="DI499" s="406">
        <v>465455</v>
      </c>
      <c r="DJ499" s="408">
        <v>5</v>
      </c>
      <c r="DK499" s="405">
        <v>1</v>
      </c>
      <c r="DL499" s="82">
        <v>468.28</v>
      </c>
      <c r="DM499" s="409">
        <v>2.3413999999999997</v>
      </c>
      <c r="DN499" s="82" t="s">
        <v>85</v>
      </c>
      <c r="DO499" s="82" t="s">
        <v>85</v>
      </c>
      <c r="DP499" s="410" t="s">
        <v>85</v>
      </c>
    </row>
    <row r="500" spans="1:120" x14ac:dyDescent="0.25">
      <c r="A500" s="16" t="s">
        <v>6651</v>
      </c>
      <c r="B500" s="16" t="s">
        <v>6652</v>
      </c>
      <c r="C500" s="16" t="s">
        <v>6653</v>
      </c>
      <c r="D500" s="16" t="s">
        <v>6625</v>
      </c>
      <c r="E500" s="16" t="s">
        <v>6654</v>
      </c>
      <c r="F500" s="16" t="s">
        <v>6655</v>
      </c>
      <c r="G500" s="16" t="s">
        <v>6656</v>
      </c>
      <c r="H500" s="16" t="s">
        <v>6655</v>
      </c>
      <c r="I500" s="16" t="s">
        <v>2271</v>
      </c>
      <c r="J500" s="16" t="s">
        <v>995</v>
      </c>
      <c r="K500" s="16" t="s">
        <v>2272</v>
      </c>
      <c r="L500" s="16" t="s">
        <v>85</v>
      </c>
      <c r="M500" s="16" t="s">
        <v>1165</v>
      </c>
      <c r="N500" s="16" t="s">
        <v>914</v>
      </c>
      <c r="O500" s="16" t="s">
        <v>1166</v>
      </c>
      <c r="P500" s="16" t="s">
        <v>914</v>
      </c>
      <c r="Q500" s="16" t="s">
        <v>1166</v>
      </c>
      <c r="R500" s="16" t="s">
        <v>915</v>
      </c>
      <c r="S500" s="16" t="s">
        <v>915</v>
      </c>
      <c r="T500" s="16" t="s">
        <v>1167</v>
      </c>
      <c r="U500" s="16" t="s">
        <v>1168</v>
      </c>
      <c r="V500" s="16" t="s">
        <v>916</v>
      </c>
      <c r="W500" s="16" t="s">
        <v>1168</v>
      </c>
      <c r="X500" s="16" t="s">
        <v>934</v>
      </c>
      <c r="Y500" s="16" t="s">
        <v>934</v>
      </c>
      <c r="Z500" s="16" t="s">
        <v>935</v>
      </c>
      <c r="DA500" s="405" t="s">
        <v>5</v>
      </c>
      <c r="DB500" s="405" t="s">
        <v>363</v>
      </c>
      <c r="DC500" s="406" t="s">
        <v>85</v>
      </c>
      <c r="DD500" s="405" t="s">
        <v>917</v>
      </c>
      <c r="DE500" s="405" t="s">
        <v>5</v>
      </c>
      <c r="DF500" s="406" t="s">
        <v>85</v>
      </c>
      <c r="DG500" s="407">
        <v>45849</v>
      </c>
      <c r="DH500" s="405" t="s">
        <v>6654</v>
      </c>
      <c r="DI500" s="406">
        <v>465455</v>
      </c>
      <c r="DJ500" s="408">
        <v>5</v>
      </c>
      <c r="DK500" s="405">
        <v>1</v>
      </c>
      <c r="DL500" s="82">
        <v>468.28</v>
      </c>
      <c r="DM500" s="409">
        <v>2.3413999999999997</v>
      </c>
      <c r="DN500" s="82" t="s">
        <v>85</v>
      </c>
      <c r="DO500" s="82" t="s">
        <v>85</v>
      </c>
      <c r="DP500" s="410" t="s">
        <v>85</v>
      </c>
    </row>
    <row r="501" spans="1:120" x14ac:dyDescent="0.25">
      <c r="A501" s="16" t="s">
        <v>6657</v>
      </c>
      <c r="B501" s="16" t="s">
        <v>6658</v>
      </c>
      <c r="C501" s="16" t="s">
        <v>6659</v>
      </c>
      <c r="D501" s="16" t="s">
        <v>6625</v>
      </c>
      <c r="E501" s="16" t="s">
        <v>6660</v>
      </c>
      <c r="F501" s="16" t="s">
        <v>6661</v>
      </c>
      <c r="G501" s="16" t="s">
        <v>6662</v>
      </c>
      <c r="H501" s="16" t="s">
        <v>6661</v>
      </c>
      <c r="I501" s="16" t="s">
        <v>1765</v>
      </c>
      <c r="J501" s="16" t="s">
        <v>943</v>
      </c>
      <c r="K501" s="16" t="s">
        <v>1766</v>
      </c>
      <c r="L501" s="16" t="s">
        <v>85</v>
      </c>
      <c r="M501" s="16" t="s">
        <v>984</v>
      </c>
      <c r="N501" s="16" t="s">
        <v>914</v>
      </c>
      <c r="O501" s="16" t="s">
        <v>985</v>
      </c>
      <c r="P501" s="16" t="s">
        <v>914</v>
      </c>
      <c r="Q501" s="16" t="s">
        <v>985</v>
      </c>
      <c r="R501" s="16" t="s">
        <v>915</v>
      </c>
      <c r="S501" s="16" t="s">
        <v>915</v>
      </c>
      <c r="T501" s="16" t="s">
        <v>986</v>
      </c>
      <c r="U501" s="16" t="s">
        <v>987</v>
      </c>
      <c r="V501" s="16" t="s">
        <v>916</v>
      </c>
      <c r="W501" s="16" t="s">
        <v>987</v>
      </c>
      <c r="X501" s="16" t="s">
        <v>934</v>
      </c>
      <c r="Y501" s="16" t="s">
        <v>934</v>
      </c>
      <c r="Z501" s="16" t="s">
        <v>935</v>
      </c>
      <c r="DA501" s="405" t="s">
        <v>5</v>
      </c>
      <c r="DB501" s="405" t="s">
        <v>363</v>
      </c>
      <c r="DC501" s="406" t="s">
        <v>85</v>
      </c>
      <c r="DD501" s="405" t="s">
        <v>917</v>
      </c>
      <c r="DE501" s="405" t="s">
        <v>5</v>
      </c>
      <c r="DF501" s="406" t="s">
        <v>85</v>
      </c>
      <c r="DG501" s="407">
        <v>45849</v>
      </c>
      <c r="DH501" s="405" t="s">
        <v>6660</v>
      </c>
      <c r="DI501" s="406">
        <v>465455</v>
      </c>
      <c r="DJ501" s="408">
        <v>5</v>
      </c>
      <c r="DK501" s="405">
        <v>1</v>
      </c>
      <c r="DL501" s="82">
        <v>340.55</v>
      </c>
      <c r="DM501" s="409">
        <v>1.70275</v>
      </c>
      <c r="DN501" s="82" t="s">
        <v>85</v>
      </c>
      <c r="DO501" s="82" t="s">
        <v>85</v>
      </c>
      <c r="DP501" s="410" t="s">
        <v>85</v>
      </c>
    </row>
    <row r="502" spans="1:120" x14ac:dyDescent="0.25">
      <c r="A502" s="16" t="s">
        <v>6663</v>
      </c>
      <c r="B502" s="16" t="s">
        <v>6664</v>
      </c>
      <c r="C502" s="16" t="s">
        <v>6665</v>
      </c>
      <c r="D502" s="16" t="s">
        <v>6625</v>
      </c>
      <c r="E502" s="16" t="s">
        <v>6666</v>
      </c>
      <c r="F502" s="16" t="s">
        <v>6667</v>
      </c>
      <c r="G502" s="16" t="s">
        <v>6668</v>
      </c>
      <c r="H502" s="16" t="s">
        <v>6669</v>
      </c>
      <c r="I502" s="16" t="s">
        <v>1598</v>
      </c>
      <c r="J502" s="16" t="s">
        <v>995</v>
      </c>
      <c r="K502" s="16" t="s">
        <v>1599</v>
      </c>
      <c r="L502" s="16" t="s">
        <v>85</v>
      </c>
      <c r="M502" s="16" t="s">
        <v>1165</v>
      </c>
      <c r="N502" s="16" t="s">
        <v>914</v>
      </c>
      <c r="O502" s="16" t="s">
        <v>1166</v>
      </c>
      <c r="P502" s="16" t="s">
        <v>914</v>
      </c>
      <c r="Q502" s="16" t="s">
        <v>1166</v>
      </c>
      <c r="R502" s="16" t="s">
        <v>915</v>
      </c>
      <c r="S502" s="16" t="s">
        <v>915</v>
      </c>
      <c r="T502" s="16" t="s">
        <v>1167</v>
      </c>
      <c r="U502" s="16" t="s">
        <v>1168</v>
      </c>
      <c r="V502" s="16" t="s">
        <v>916</v>
      </c>
      <c r="W502" s="16" t="s">
        <v>1168</v>
      </c>
      <c r="X502" s="16" t="s">
        <v>934</v>
      </c>
      <c r="Y502" s="16" t="s">
        <v>934</v>
      </c>
      <c r="Z502" s="16" t="s">
        <v>935</v>
      </c>
      <c r="DA502" s="405" t="s">
        <v>5</v>
      </c>
      <c r="DB502" s="405" t="s">
        <v>363</v>
      </c>
      <c r="DC502" s="406" t="s">
        <v>85</v>
      </c>
      <c r="DD502" s="405" t="s">
        <v>917</v>
      </c>
      <c r="DE502" s="405" t="s">
        <v>5</v>
      </c>
      <c r="DF502" s="406" t="s">
        <v>85</v>
      </c>
      <c r="DG502" s="407">
        <v>45849</v>
      </c>
      <c r="DH502" s="405" t="s">
        <v>6666</v>
      </c>
      <c r="DI502" s="406">
        <v>465455</v>
      </c>
      <c r="DJ502" s="408">
        <v>5</v>
      </c>
      <c r="DK502" s="405">
        <v>1</v>
      </c>
      <c r="DL502" s="82">
        <v>468.28</v>
      </c>
      <c r="DM502" s="409">
        <v>2.3413999999999997</v>
      </c>
      <c r="DN502" s="82" t="s">
        <v>85</v>
      </c>
      <c r="DO502" s="82" t="s">
        <v>85</v>
      </c>
      <c r="DP502" s="410" t="s">
        <v>85</v>
      </c>
    </row>
    <row r="503" spans="1:120" x14ac:dyDescent="0.25">
      <c r="A503" s="16" t="s">
        <v>6670</v>
      </c>
      <c r="B503" s="16" t="s">
        <v>6671</v>
      </c>
      <c r="C503" s="16" t="s">
        <v>6672</v>
      </c>
      <c r="D503" s="16" t="s">
        <v>6625</v>
      </c>
      <c r="E503" s="16" t="s">
        <v>6673</v>
      </c>
      <c r="F503" s="16" t="s">
        <v>6674</v>
      </c>
      <c r="G503" s="16" t="s">
        <v>6675</v>
      </c>
      <c r="H503" s="16" t="s">
        <v>6676</v>
      </c>
      <c r="I503" s="16" t="s">
        <v>1368</v>
      </c>
      <c r="J503" s="16" t="s">
        <v>1123</v>
      </c>
      <c r="K503" s="16" t="s">
        <v>1369</v>
      </c>
      <c r="L503" s="16" t="s">
        <v>85</v>
      </c>
      <c r="M503" s="16" t="s">
        <v>1238</v>
      </c>
      <c r="N503" s="16" t="s">
        <v>914</v>
      </c>
      <c r="O503" s="16" t="s">
        <v>1239</v>
      </c>
      <c r="P503" s="16" t="s">
        <v>914</v>
      </c>
      <c r="Q503" s="16" t="s">
        <v>1239</v>
      </c>
      <c r="R503" s="16" t="s">
        <v>915</v>
      </c>
      <c r="S503" s="16" t="s">
        <v>915</v>
      </c>
      <c r="T503" s="16" t="s">
        <v>1238</v>
      </c>
      <c r="U503" s="16" t="s">
        <v>1240</v>
      </c>
      <c r="V503" s="16" t="s">
        <v>916</v>
      </c>
      <c r="W503" s="16" t="s">
        <v>1240</v>
      </c>
      <c r="X503" s="16" t="s">
        <v>934</v>
      </c>
      <c r="Y503" s="16" t="s">
        <v>934</v>
      </c>
      <c r="Z503" s="16" t="s">
        <v>935</v>
      </c>
      <c r="DA503" s="405" t="s">
        <v>5</v>
      </c>
      <c r="DB503" s="405" t="s">
        <v>363</v>
      </c>
      <c r="DC503" s="406" t="s">
        <v>85</v>
      </c>
      <c r="DD503" s="405" t="s">
        <v>917</v>
      </c>
      <c r="DE503" s="405" t="s">
        <v>5</v>
      </c>
      <c r="DF503" s="406" t="s">
        <v>85</v>
      </c>
      <c r="DG503" s="407">
        <v>45849</v>
      </c>
      <c r="DH503" s="405" t="s">
        <v>6673</v>
      </c>
      <c r="DI503" s="406">
        <v>465455</v>
      </c>
      <c r="DJ503" s="408">
        <v>5</v>
      </c>
      <c r="DK503" s="405">
        <v>1</v>
      </c>
      <c r="DL503" s="82">
        <v>383.16</v>
      </c>
      <c r="DM503" s="409">
        <v>1.9158000000000002</v>
      </c>
      <c r="DN503" s="82" t="s">
        <v>85</v>
      </c>
      <c r="DO503" s="82" t="s">
        <v>85</v>
      </c>
      <c r="DP503" s="410" t="s">
        <v>85</v>
      </c>
    </row>
    <row r="504" spans="1:120" x14ac:dyDescent="0.25">
      <c r="A504" s="16" t="s">
        <v>6677</v>
      </c>
      <c r="B504" s="16" t="s">
        <v>6678</v>
      </c>
      <c r="C504" s="16" t="s">
        <v>6679</v>
      </c>
      <c r="D504" s="16" t="s">
        <v>6625</v>
      </c>
      <c r="E504" s="16" t="s">
        <v>6680</v>
      </c>
      <c r="F504" s="16" t="s">
        <v>6681</v>
      </c>
      <c r="G504" s="16" t="s">
        <v>6682</v>
      </c>
      <c r="H504" s="16" t="s">
        <v>6681</v>
      </c>
      <c r="I504" s="16" t="s">
        <v>3543</v>
      </c>
      <c r="J504" s="16" t="s">
        <v>943</v>
      </c>
      <c r="K504" s="16" t="s">
        <v>3544</v>
      </c>
      <c r="L504" s="16" t="s">
        <v>85</v>
      </c>
      <c r="M504" s="16" t="s">
        <v>984</v>
      </c>
      <c r="N504" s="16" t="s">
        <v>914</v>
      </c>
      <c r="O504" s="16" t="s">
        <v>985</v>
      </c>
      <c r="P504" s="16" t="s">
        <v>914</v>
      </c>
      <c r="Q504" s="16" t="s">
        <v>985</v>
      </c>
      <c r="R504" s="16" t="s">
        <v>915</v>
      </c>
      <c r="S504" s="16" t="s">
        <v>915</v>
      </c>
      <c r="T504" s="16" t="s">
        <v>986</v>
      </c>
      <c r="U504" s="16" t="s">
        <v>987</v>
      </c>
      <c r="V504" s="16" t="s">
        <v>916</v>
      </c>
      <c r="W504" s="16" t="s">
        <v>987</v>
      </c>
      <c r="X504" s="16" t="s">
        <v>934</v>
      </c>
      <c r="Y504" s="16" t="s">
        <v>934</v>
      </c>
      <c r="Z504" s="16" t="s">
        <v>935</v>
      </c>
      <c r="DA504" s="405" t="s">
        <v>5</v>
      </c>
      <c r="DB504" s="405" t="s">
        <v>363</v>
      </c>
      <c r="DC504" s="406" t="s">
        <v>85</v>
      </c>
      <c r="DD504" s="405" t="s">
        <v>917</v>
      </c>
      <c r="DE504" s="405" t="s">
        <v>5</v>
      </c>
      <c r="DF504" s="406" t="s">
        <v>85</v>
      </c>
      <c r="DG504" s="407">
        <v>45849</v>
      </c>
      <c r="DH504" s="405" t="s">
        <v>6680</v>
      </c>
      <c r="DI504" s="406">
        <v>465455</v>
      </c>
      <c r="DJ504" s="408">
        <v>5</v>
      </c>
      <c r="DK504" s="405">
        <v>1</v>
      </c>
      <c r="DL504" s="82">
        <v>340.55</v>
      </c>
      <c r="DM504" s="409">
        <v>1.70275</v>
      </c>
      <c r="DN504" s="82" t="s">
        <v>85</v>
      </c>
      <c r="DO504" s="82" t="s">
        <v>85</v>
      </c>
      <c r="DP504" s="410" t="s">
        <v>85</v>
      </c>
    </row>
    <row r="505" spans="1:120" x14ac:dyDescent="0.25">
      <c r="A505" s="16" t="s">
        <v>6683</v>
      </c>
      <c r="B505" s="16" t="s">
        <v>6684</v>
      </c>
      <c r="C505" s="16" t="s">
        <v>6685</v>
      </c>
      <c r="D505" s="16" t="s">
        <v>6625</v>
      </c>
      <c r="E505" s="16" t="s">
        <v>6686</v>
      </c>
      <c r="F505" s="16" t="s">
        <v>6687</v>
      </c>
      <c r="G505" s="16" t="s">
        <v>6688</v>
      </c>
      <c r="H505" s="16" t="s">
        <v>6687</v>
      </c>
      <c r="I505" s="16" t="s">
        <v>1719</v>
      </c>
      <c r="J505" s="16" t="s">
        <v>943</v>
      </c>
      <c r="K505" s="16" t="s">
        <v>1720</v>
      </c>
      <c r="L505" s="16" t="s">
        <v>85</v>
      </c>
      <c r="M505" s="16" t="s">
        <v>984</v>
      </c>
      <c r="N505" s="16" t="s">
        <v>914</v>
      </c>
      <c r="O505" s="16" t="s">
        <v>985</v>
      </c>
      <c r="P505" s="16" t="s">
        <v>914</v>
      </c>
      <c r="Q505" s="16" t="s">
        <v>985</v>
      </c>
      <c r="R505" s="16" t="s">
        <v>915</v>
      </c>
      <c r="S505" s="16" t="s">
        <v>915</v>
      </c>
      <c r="T505" s="16" t="s">
        <v>986</v>
      </c>
      <c r="U505" s="16" t="s">
        <v>987</v>
      </c>
      <c r="V505" s="16" t="s">
        <v>916</v>
      </c>
      <c r="W505" s="16" t="s">
        <v>987</v>
      </c>
      <c r="X505" s="16" t="s">
        <v>934</v>
      </c>
      <c r="Y505" s="16" t="s">
        <v>934</v>
      </c>
      <c r="Z505" s="16" t="s">
        <v>935</v>
      </c>
      <c r="DA505" s="405" t="s">
        <v>5</v>
      </c>
      <c r="DB505" s="405" t="s">
        <v>363</v>
      </c>
      <c r="DC505" s="406" t="s">
        <v>85</v>
      </c>
      <c r="DD505" s="405" t="s">
        <v>917</v>
      </c>
      <c r="DE505" s="405" t="s">
        <v>5</v>
      </c>
      <c r="DF505" s="406" t="s">
        <v>85</v>
      </c>
      <c r="DG505" s="407">
        <v>45849</v>
      </c>
      <c r="DH505" s="405" t="s">
        <v>6686</v>
      </c>
      <c r="DI505" s="406">
        <v>465455</v>
      </c>
      <c r="DJ505" s="408">
        <v>5</v>
      </c>
      <c r="DK505" s="405">
        <v>1</v>
      </c>
      <c r="DL505" s="82">
        <v>340.55</v>
      </c>
      <c r="DM505" s="409">
        <v>1.70275</v>
      </c>
      <c r="DN505" s="82" t="s">
        <v>85</v>
      </c>
      <c r="DO505" s="82" t="s">
        <v>85</v>
      </c>
      <c r="DP505" s="410" t="s">
        <v>85</v>
      </c>
    </row>
    <row r="506" spans="1:120" x14ac:dyDescent="0.25">
      <c r="A506" s="16" t="s">
        <v>6689</v>
      </c>
      <c r="B506" s="16" t="s">
        <v>6690</v>
      </c>
      <c r="C506" s="16" t="s">
        <v>6691</v>
      </c>
      <c r="D506" s="16" t="s">
        <v>6625</v>
      </c>
      <c r="E506" s="16" t="s">
        <v>6692</v>
      </c>
      <c r="F506" s="16" t="s">
        <v>6693</v>
      </c>
      <c r="G506" s="16" t="s">
        <v>6694</v>
      </c>
      <c r="H506" s="16" t="s">
        <v>6693</v>
      </c>
      <c r="I506" s="16" t="s">
        <v>1150</v>
      </c>
      <c r="J506" s="16" t="s">
        <v>943</v>
      </c>
      <c r="K506" s="16" t="s">
        <v>1151</v>
      </c>
      <c r="L506" s="16" t="s">
        <v>85</v>
      </c>
      <c r="M506" s="16" t="s">
        <v>984</v>
      </c>
      <c r="N506" s="16" t="s">
        <v>914</v>
      </c>
      <c r="O506" s="16" t="s">
        <v>985</v>
      </c>
      <c r="P506" s="16" t="s">
        <v>914</v>
      </c>
      <c r="Q506" s="16" t="s">
        <v>985</v>
      </c>
      <c r="R506" s="16" t="s">
        <v>915</v>
      </c>
      <c r="S506" s="16" t="s">
        <v>915</v>
      </c>
      <c r="T506" s="16" t="s">
        <v>986</v>
      </c>
      <c r="U506" s="16" t="s">
        <v>987</v>
      </c>
      <c r="V506" s="16" t="s">
        <v>916</v>
      </c>
      <c r="W506" s="16" t="s">
        <v>987</v>
      </c>
      <c r="X506" s="16" t="s">
        <v>934</v>
      </c>
      <c r="Y506" s="16" t="s">
        <v>934</v>
      </c>
      <c r="Z506" s="16" t="s">
        <v>935</v>
      </c>
      <c r="DA506" s="405" t="s">
        <v>5</v>
      </c>
      <c r="DB506" s="405" t="s">
        <v>363</v>
      </c>
      <c r="DC506" s="406" t="s">
        <v>85</v>
      </c>
      <c r="DD506" s="405" t="s">
        <v>917</v>
      </c>
      <c r="DE506" s="405" t="s">
        <v>5</v>
      </c>
      <c r="DF506" s="406" t="s">
        <v>85</v>
      </c>
      <c r="DG506" s="407">
        <v>45849</v>
      </c>
      <c r="DH506" s="405" t="s">
        <v>6692</v>
      </c>
      <c r="DI506" s="406">
        <v>465455</v>
      </c>
      <c r="DJ506" s="408">
        <v>5</v>
      </c>
      <c r="DK506" s="405">
        <v>1</v>
      </c>
      <c r="DL506" s="82">
        <v>340.55</v>
      </c>
      <c r="DM506" s="409">
        <v>1.70275</v>
      </c>
      <c r="DN506" s="82" t="s">
        <v>85</v>
      </c>
      <c r="DO506" s="82" t="s">
        <v>85</v>
      </c>
      <c r="DP506" s="410" t="s">
        <v>85</v>
      </c>
    </row>
    <row r="507" spans="1:120" x14ac:dyDescent="0.25">
      <c r="A507" s="16" t="s">
        <v>6689</v>
      </c>
      <c r="B507" s="16" t="s">
        <v>6690</v>
      </c>
      <c r="C507" s="16" t="s">
        <v>6691</v>
      </c>
      <c r="D507" s="16" t="s">
        <v>6625</v>
      </c>
      <c r="E507" s="16" t="s">
        <v>6692</v>
      </c>
      <c r="F507" s="16" t="s">
        <v>6693</v>
      </c>
      <c r="G507" s="16" t="s">
        <v>6694</v>
      </c>
      <c r="H507" s="16" t="s">
        <v>6693</v>
      </c>
      <c r="I507" s="16" t="s">
        <v>1090</v>
      </c>
      <c r="J507" s="16" t="s">
        <v>943</v>
      </c>
      <c r="K507" s="16" t="s">
        <v>1091</v>
      </c>
      <c r="L507" s="16" t="s">
        <v>85</v>
      </c>
      <c r="M507" s="16" t="s">
        <v>984</v>
      </c>
      <c r="N507" s="16" t="s">
        <v>914</v>
      </c>
      <c r="O507" s="16" t="s">
        <v>985</v>
      </c>
      <c r="P507" s="16" t="s">
        <v>914</v>
      </c>
      <c r="Q507" s="16" t="s">
        <v>985</v>
      </c>
      <c r="R507" s="16" t="s">
        <v>915</v>
      </c>
      <c r="S507" s="16" t="s">
        <v>915</v>
      </c>
      <c r="T507" s="16" t="s">
        <v>986</v>
      </c>
      <c r="U507" s="16" t="s">
        <v>987</v>
      </c>
      <c r="V507" s="16" t="s">
        <v>916</v>
      </c>
      <c r="W507" s="16" t="s">
        <v>987</v>
      </c>
      <c r="X507" s="16" t="s">
        <v>934</v>
      </c>
      <c r="Y507" s="16" t="s">
        <v>934</v>
      </c>
      <c r="Z507" s="16" t="s">
        <v>935</v>
      </c>
      <c r="DA507" s="405" t="s">
        <v>5</v>
      </c>
      <c r="DB507" s="405" t="s">
        <v>363</v>
      </c>
      <c r="DC507" s="406" t="s">
        <v>85</v>
      </c>
      <c r="DD507" s="405" t="s">
        <v>917</v>
      </c>
      <c r="DE507" s="405" t="s">
        <v>5</v>
      </c>
      <c r="DF507" s="406" t="s">
        <v>85</v>
      </c>
      <c r="DG507" s="407">
        <v>45849</v>
      </c>
      <c r="DH507" s="405" t="s">
        <v>6692</v>
      </c>
      <c r="DI507" s="406">
        <v>465455</v>
      </c>
      <c r="DJ507" s="408">
        <v>5</v>
      </c>
      <c r="DK507" s="405">
        <v>1</v>
      </c>
      <c r="DL507" s="82">
        <v>340.55</v>
      </c>
      <c r="DM507" s="409">
        <v>1.70275</v>
      </c>
      <c r="DN507" s="82" t="s">
        <v>85</v>
      </c>
      <c r="DO507" s="82" t="s">
        <v>85</v>
      </c>
      <c r="DP507" s="410" t="s">
        <v>85</v>
      </c>
    </row>
    <row r="508" spans="1:120" x14ac:dyDescent="0.25">
      <c r="A508" s="16" t="s">
        <v>6695</v>
      </c>
      <c r="B508" s="16" t="s">
        <v>6696</v>
      </c>
      <c r="C508" s="16" t="s">
        <v>6697</v>
      </c>
      <c r="D508" s="16" t="s">
        <v>6625</v>
      </c>
      <c r="E508" s="16" t="s">
        <v>6698</v>
      </c>
      <c r="F508" s="16" t="s">
        <v>6699</v>
      </c>
      <c r="G508" s="16" t="s">
        <v>6700</v>
      </c>
      <c r="H508" s="16" t="s">
        <v>6701</v>
      </c>
      <c r="I508" s="16" t="s">
        <v>1075</v>
      </c>
      <c r="J508" s="16" t="s">
        <v>1036</v>
      </c>
      <c r="K508" s="16" t="s">
        <v>1076</v>
      </c>
      <c r="L508" s="16" t="s">
        <v>85</v>
      </c>
      <c r="M508" s="16" t="s">
        <v>1216</v>
      </c>
      <c r="N508" s="16" t="s">
        <v>914</v>
      </c>
      <c r="O508" s="16" t="s">
        <v>946</v>
      </c>
      <c r="P508" s="16" t="s">
        <v>914</v>
      </c>
      <c r="Q508" s="16" t="s">
        <v>946</v>
      </c>
      <c r="R508" s="16" t="s">
        <v>915</v>
      </c>
      <c r="S508" s="16" t="s">
        <v>915</v>
      </c>
      <c r="T508" s="16" t="s">
        <v>1216</v>
      </c>
      <c r="U508" s="16" t="s">
        <v>1217</v>
      </c>
      <c r="V508" s="16" t="s">
        <v>916</v>
      </c>
      <c r="W508" s="16" t="s">
        <v>1217</v>
      </c>
      <c r="X508" s="16" t="s">
        <v>934</v>
      </c>
      <c r="Y508" s="16" t="s">
        <v>934</v>
      </c>
      <c r="Z508" s="16" t="s">
        <v>935</v>
      </c>
      <c r="DA508" s="405" t="s">
        <v>5</v>
      </c>
      <c r="DB508" s="405" t="s">
        <v>363</v>
      </c>
      <c r="DC508" s="406" t="s">
        <v>85</v>
      </c>
      <c r="DD508" s="405" t="s">
        <v>917</v>
      </c>
      <c r="DE508" s="405" t="s">
        <v>5</v>
      </c>
      <c r="DF508" s="406" t="s">
        <v>85</v>
      </c>
      <c r="DG508" s="407">
        <v>45849</v>
      </c>
      <c r="DH508" s="405" t="s">
        <v>6698</v>
      </c>
      <c r="DI508" s="406">
        <v>465455</v>
      </c>
      <c r="DJ508" s="408">
        <v>5</v>
      </c>
      <c r="DK508" s="405">
        <v>1</v>
      </c>
      <c r="DL508" s="82">
        <v>319.22000000000003</v>
      </c>
      <c r="DM508" s="409">
        <v>1.5961000000000001</v>
      </c>
      <c r="DN508" s="82" t="s">
        <v>85</v>
      </c>
      <c r="DO508" s="82" t="s">
        <v>85</v>
      </c>
      <c r="DP508" s="410" t="s">
        <v>85</v>
      </c>
    </row>
    <row r="509" spans="1:120" x14ac:dyDescent="0.25">
      <c r="A509" s="16" t="s">
        <v>6702</v>
      </c>
      <c r="B509" s="16" t="s">
        <v>6703</v>
      </c>
      <c r="C509" s="16" t="s">
        <v>6704</v>
      </c>
      <c r="D509" s="16" t="s">
        <v>6625</v>
      </c>
      <c r="E509" s="16" t="s">
        <v>6705</v>
      </c>
      <c r="F509" s="16" t="s">
        <v>6706</v>
      </c>
      <c r="G509" s="16" t="s">
        <v>6707</v>
      </c>
      <c r="H509" s="16" t="s">
        <v>6708</v>
      </c>
      <c r="I509" s="16" t="s">
        <v>1914</v>
      </c>
      <c r="J509" s="16" t="s">
        <v>928</v>
      </c>
      <c r="K509" s="16" t="s">
        <v>1915</v>
      </c>
      <c r="L509" s="16" t="s">
        <v>85</v>
      </c>
      <c r="M509" s="16" t="s">
        <v>1322</v>
      </c>
      <c r="N509" s="16" t="s">
        <v>914</v>
      </c>
      <c r="O509" s="16" t="s">
        <v>1323</v>
      </c>
      <c r="P509" s="16" t="s">
        <v>914</v>
      </c>
      <c r="Q509" s="16" t="s">
        <v>1323</v>
      </c>
      <c r="R509" s="16" t="s">
        <v>915</v>
      </c>
      <c r="S509" s="16" t="s">
        <v>915</v>
      </c>
      <c r="T509" s="16" t="s">
        <v>1322</v>
      </c>
      <c r="U509" s="16" t="s">
        <v>1324</v>
      </c>
      <c r="V509" s="16" t="s">
        <v>916</v>
      </c>
      <c r="W509" s="16" t="s">
        <v>1324</v>
      </c>
      <c r="X509" s="16" t="s">
        <v>934</v>
      </c>
      <c r="Y509" s="16" t="s">
        <v>934</v>
      </c>
      <c r="Z509" s="16" t="s">
        <v>935</v>
      </c>
      <c r="DA509" s="405" t="s">
        <v>5</v>
      </c>
      <c r="DB509" s="405" t="s">
        <v>363</v>
      </c>
      <c r="DC509" s="406" t="s">
        <v>85</v>
      </c>
      <c r="DD509" s="405" t="s">
        <v>917</v>
      </c>
      <c r="DE509" s="405" t="s">
        <v>5</v>
      </c>
      <c r="DF509" s="406" t="s">
        <v>85</v>
      </c>
      <c r="DG509" s="407">
        <v>45849</v>
      </c>
      <c r="DH509" s="405" t="s">
        <v>6705</v>
      </c>
      <c r="DI509" s="406">
        <v>465455</v>
      </c>
      <c r="DJ509" s="408">
        <v>5</v>
      </c>
      <c r="DK509" s="405">
        <v>1</v>
      </c>
      <c r="DL509" s="82">
        <v>332.47</v>
      </c>
      <c r="DM509" s="409">
        <v>1.6623500000000002</v>
      </c>
      <c r="DN509" s="82" t="s">
        <v>85</v>
      </c>
      <c r="DO509" s="82" t="s">
        <v>85</v>
      </c>
      <c r="DP509" s="410" t="s">
        <v>85</v>
      </c>
    </row>
    <row r="510" spans="1:120" x14ac:dyDescent="0.25">
      <c r="A510" s="16" t="s">
        <v>6709</v>
      </c>
      <c r="B510" s="16" t="s">
        <v>6710</v>
      </c>
      <c r="C510" s="16" t="s">
        <v>6711</v>
      </c>
      <c r="D510" s="16" t="s">
        <v>6625</v>
      </c>
      <c r="E510" s="16" t="s">
        <v>6712</v>
      </c>
      <c r="F510" s="16" t="s">
        <v>6713</v>
      </c>
      <c r="G510" s="16" t="s">
        <v>6714</v>
      </c>
      <c r="H510" s="16" t="s">
        <v>6713</v>
      </c>
      <c r="I510" s="16" t="s">
        <v>2653</v>
      </c>
      <c r="J510" s="16" t="s">
        <v>1123</v>
      </c>
      <c r="K510" s="16" t="s">
        <v>2654</v>
      </c>
      <c r="L510" s="16" t="s">
        <v>85</v>
      </c>
      <c r="M510" s="16" t="s">
        <v>1238</v>
      </c>
      <c r="N510" s="16" t="s">
        <v>914</v>
      </c>
      <c r="O510" s="16" t="s">
        <v>1239</v>
      </c>
      <c r="P510" s="16" t="s">
        <v>914</v>
      </c>
      <c r="Q510" s="16" t="s">
        <v>1239</v>
      </c>
      <c r="R510" s="16" t="s">
        <v>915</v>
      </c>
      <c r="S510" s="16" t="s">
        <v>915</v>
      </c>
      <c r="T510" s="16" t="s">
        <v>1238</v>
      </c>
      <c r="U510" s="16" t="s">
        <v>1240</v>
      </c>
      <c r="V510" s="16" t="s">
        <v>916</v>
      </c>
      <c r="W510" s="16" t="s">
        <v>1240</v>
      </c>
      <c r="X510" s="16" t="s">
        <v>934</v>
      </c>
      <c r="Y510" s="16" t="s">
        <v>934</v>
      </c>
      <c r="Z510" s="16" t="s">
        <v>935</v>
      </c>
      <c r="DA510" s="405" t="s">
        <v>5</v>
      </c>
      <c r="DB510" s="405" t="s">
        <v>363</v>
      </c>
      <c r="DC510" s="406" t="s">
        <v>85</v>
      </c>
      <c r="DD510" s="405" t="s">
        <v>917</v>
      </c>
      <c r="DE510" s="405" t="s">
        <v>5</v>
      </c>
      <c r="DF510" s="406" t="s">
        <v>85</v>
      </c>
      <c r="DG510" s="407">
        <v>45849</v>
      </c>
      <c r="DH510" s="405" t="s">
        <v>6712</v>
      </c>
      <c r="DI510" s="406">
        <v>465455</v>
      </c>
      <c r="DJ510" s="408">
        <v>5</v>
      </c>
      <c r="DK510" s="405">
        <v>1</v>
      </c>
      <c r="DL510" s="82">
        <v>383.16</v>
      </c>
      <c r="DM510" s="409">
        <v>1.9158000000000002</v>
      </c>
      <c r="DN510" s="82" t="s">
        <v>85</v>
      </c>
      <c r="DO510" s="82" t="s">
        <v>85</v>
      </c>
      <c r="DP510" s="410" t="s">
        <v>85</v>
      </c>
    </row>
    <row r="511" spans="1:120" x14ac:dyDescent="0.25">
      <c r="A511" s="16" t="s">
        <v>6715</v>
      </c>
      <c r="B511" s="16" t="s">
        <v>6716</v>
      </c>
      <c r="C511" s="16" t="s">
        <v>6717</v>
      </c>
      <c r="D511" s="16" t="s">
        <v>6625</v>
      </c>
      <c r="E511" s="16" t="s">
        <v>6718</v>
      </c>
      <c r="F511" s="16" t="s">
        <v>6719</v>
      </c>
      <c r="G511" s="16" t="s">
        <v>6720</v>
      </c>
      <c r="H511" s="16" t="s">
        <v>6719</v>
      </c>
      <c r="I511" s="16" t="s">
        <v>1287</v>
      </c>
      <c r="J511" s="16" t="s">
        <v>943</v>
      </c>
      <c r="K511" s="16" t="s">
        <v>1288</v>
      </c>
      <c r="L511" s="16" t="s">
        <v>85</v>
      </c>
      <c r="M511" s="16" t="s">
        <v>984</v>
      </c>
      <c r="N511" s="16" t="s">
        <v>914</v>
      </c>
      <c r="O511" s="16" t="s">
        <v>985</v>
      </c>
      <c r="P511" s="16" t="s">
        <v>914</v>
      </c>
      <c r="Q511" s="16" t="s">
        <v>985</v>
      </c>
      <c r="R511" s="16" t="s">
        <v>915</v>
      </c>
      <c r="S511" s="16" t="s">
        <v>915</v>
      </c>
      <c r="T511" s="16" t="s">
        <v>986</v>
      </c>
      <c r="U511" s="16" t="s">
        <v>987</v>
      </c>
      <c r="V511" s="16" t="s">
        <v>916</v>
      </c>
      <c r="W511" s="16" t="s">
        <v>987</v>
      </c>
      <c r="X511" s="16" t="s">
        <v>934</v>
      </c>
      <c r="Y511" s="16" t="s">
        <v>934</v>
      </c>
      <c r="Z511" s="16" t="s">
        <v>935</v>
      </c>
      <c r="DA511" s="405" t="s">
        <v>5</v>
      </c>
      <c r="DB511" s="405" t="s">
        <v>363</v>
      </c>
      <c r="DC511" s="406" t="s">
        <v>85</v>
      </c>
      <c r="DD511" s="405" t="s">
        <v>917</v>
      </c>
      <c r="DE511" s="405" t="s">
        <v>5</v>
      </c>
      <c r="DF511" s="406" t="s">
        <v>85</v>
      </c>
      <c r="DG511" s="407">
        <v>45849</v>
      </c>
      <c r="DH511" s="405" t="s">
        <v>6718</v>
      </c>
      <c r="DI511" s="406">
        <v>465455</v>
      </c>
      <c r="DJ511" s="408">
        <v>5</v>
      </c>
      <c r="DK511" s="405">
        <v>1</v>
      </c>
      <c r="DL511" s="82">
        <v>340.55</v>
      </c>
      <c r="DM511" s="409">
        <v>1.70275</v>
      </c>
      <c r="DN511" s="82" t="s">
        <v>85</v>
      </c>
      <c r="DO511" s="82" t="s">
        <v>85</v>
      </c>
      <c r="DP511" s="410" t="s">
        <v>85</v>
      </c>
    </row>
    <row r="512" spans="1:120" x14ac:dyDescent="0.25">
      <c r="A512" s="16" t="s">
        <v>6721</v>
      </c>
      <c r="B512" s="16" t="s">
        <v>6722</v>
      </c>
      <c r="C512" s="16" t="s">
        <v>6723</v>
      </c>
      <c r="D512" s="16" t="s">
        <v>6625</v>
      </c>
      <c r="E512" s="16" t="s">
        <v>6724</v>
      </c>
      <c r="F512" s="16" t="s">
        <v>6725</v>
      </c>
      <c r="G512" s="16" t="s">
        <v>6726</v>
      </c>
      <c r="H512" s="16" t="s">
        <v>6725</v>
      </c>
      <c r="I512" s="16" t="s">
        <v>2271</v>
      </c>
      <c r="J512" s="16" t="s">
        <v>995</v>
      </c>
      <c r="K512" s="16" t="s">
        <v>2272</v>
      </c>
      <c r="L512" s="16" t="s">
        <v>85</v>
      </c>
      <c r="M512" s="16" t="s">
        <v>1165</v>
      </c>
      <c r="N512" s="16" t="s">
        <v>914</v>
      </c>
      <c r="O512" s="16" t="s">
        <v>1166</v>
      </c>
      <c r="P512" s="16" t="s">
        <v>914</v>
      </c>
      <c r="Q512" s="16" t="s">
        <v>1166</v>
      </c>
      <c r="R512" s="16" t="s">
        <v>915</v>
      </c>
      <c r="S512" s="16" t="s">
        <v>915</v>
      </c>
      <c r="T512" s="16" t="s">
        <v>1167</v>
      </c>
      <c r="U512" s="16" t="s">
        <v>1168</v>
      </c>
      <c r="V512" s="16" t="s">
        <v>916</v>
      </c>
      <c r="W512" s="16" t="s">
        <v>1168</v>
      </c>
      <c r="X512" s="16" t="s">
        <v>934</v>
      </c>
      <c r="Y512" s="16" t="s">
        <v>934</v>
      </c>
      <c r="Z512" s="16" t="s">
        <v>935</v>
      </c>
      <c r="DA512" s="405" t="s">
        <v>5</v>
      </c>
      <c r="DB512" s="405" t="s">
        <v>363</v>
      </c>
      <c r="DC512" s="406" t="s">
        <v>85</v>
      </c>
      <c r="DD512" s="405" t="s">
        <v>917</v>
      </c>
      <c r="DE512" s="405" t="s">
        <v>5</v>
      </c>
      <c r="DF512" s="406" t="s">
        <v>85</v>
      </c>
      <c r="DG512" s="407">
        <v>45849</v>
      </c>
      <c r="DH512" s="405" t="s">
        <v>6724</v>
      </c>
      <c r="DI512" s="406">
        <v>465455</v>
      </c>
      <c r="DJ512" s="408">
        <v>5</v>
      </c>
      <c r="DK512" s="405">
        <v>1</v>
      </c>
      <c r="DL512" s="82">
        <v>468.28</v>
      </c>
      <c r="DM512" s="409">
        <v>2.3413999999999997</v>
      </c>
      <c r="DN512" s="82" t="s">
        <v>85</v>
      </c>
      <c r="DO512" s="82" t="s">
        <v>85</v>
      </c>
      <c r="DP512" s="410" t="s">
        <v>85</v>
      </c>
    </row>
    <row r="513" spans="1:120" x14ac:dyDescent="0.25">
      <c r="A513" s="16" t="s">
        <v>6727</v>
      </c>
      <c r="B513" s="16" t="s">
        <v>6728</v>
      </c>
      <c r="C513" s="16" t="s">
        <v>6729</v>
      </c>
      <c r="D513" s="16" t="s">
        <v>6625</v>
      </c>
      <c r="E513" s="16" t="s">
        <v>6730</v>
      </c>
      <c r="F513" s="16" t="s">
        <v>6731</v>
      </c>
      <c r="G513" s="16" t="s">
        <v>6732</v>
      </c>
      <c r="H513" s="16" t="s">
        <v>6731</v>
      </c>
      <c r="I513" s="16" t="s">
        <v>1456</v>
      </c>
      <c r="J513" s="16" t="s">
        <v>928</v>
      </c>
      <c r="K513" s="16" t="s">
        <v>1457</v>
      </c>
      <c r="L513" s="16" t="s">
        <v>85</v>
      </c>
      <c r="M513" s="16" t="s">
        <v>1322</v>
      </c>
      <c r="N513" s="16" t="s">
        <v>914</v>
      </c>
      <c r="O513" s="16" t="s">
        <v>1323</v>
      </c>
      <c r="P513" s="16" t="s">
        <v>914</v>
      </c>
      <c r="Q513" s="16" t="s">
        <v>1323</v>
      </c>
      <c r="R513" s="16" t="s">
        <v>915</v>
      </c>
      <c r="S513" s="16" t="s">
        <v>915</v>
      </c>
      <c r="T513" s="16" t="s">
        <v>1322</v>
      </c>
      <c r="U513" s="16" t="s">
        <v>1324</v>
      </c>
      <c r="V513" s="16" t="s">
        <v>916</v>
      </c>
      <c r="W513" s="16" t="s">
        <v>1324</v>
      </c>
      <c r="X513" s="16" t="s">
        <v>934</v>
      </c>
      <c r="Y513" s="16" t="s">
        <v>934</v>
      </c>
      <c r="Z513" s="16" t="s">
        <v>935</v>
      </c>
      <c r="DA513" s="405" t="s">
        <v>5</v>
      </c>
      <c r="DB513" s="405" t="s">
        <v>363</v>
      </c>
      <c r="DC513" s="406" t="s">
        <v>85</v>
      </c>
      <c r="DD513" s="405" t="s">
        <v>917</v>
      </c>
      <c r="DE513" s="405" t="s">
        <v>5</v>
      </c>
      <c r="DF513" s="406" t="s">
        <v>85</v>
      </c>
      <c r="DG513" s="407">
        <v>45849</v>
      </c>
      <c r="DH513" s="405" t="s">
        <v>6730</v>
      </c>
      <c r="DI513" s="406">
        <v>465455</v>
      </c>
      <c r="DJ513" s="408">
        <v>5</v>
      </c>
      <c r="DK513" s="405">
        <v>1</v>
      </c>
      <c r="DL513" s="82">
        <v>332.47</v>
      </c>
      <c r="DM513" s="409">
        <v>1.6623500000000002</v>
      </c>
      <c r="DN513" s="82" t="s">
        <v>85</v>
      </c>
      <c r="DO513" s="82" t="s">
        <v>85</v>
      </c>
      <c r="DP513" s="410" t="s">
        <v>85</v>
      </c>
    </row>
    <row r="514" spans="1:120" x14ac:dyDescent="0.25">
      <c r="A514" s="16" t="s">
        <v>6733</v>
      </c>
      <c r="B514" s="16" t="s">
        <v>6734</v>
      </c>
      <c r="C514" s="16" t="s">
        <v>6735</v>
      </c>
      <c r="D514" s="16" t="s">
        <v>6625</v>
      </c>
      <c r="E514" s="16" t="s">
        <v>6736</v>
      </c>
      <c r="F514" s="16" t="s">
        <v>6737</v>
      </c>
      <c r="G514" s="16" t="s">
        <v>6738</v>
      </c>
      <c r="H514" s="16" t="s">
        <v>6737</v>
      </c>
      <c r="I514" s="16" t="s">
        <v>1048</v>
      </c>
      <c r="J514" s="16" t="s">
        <v>1036</v>
      </c>
      <c r="K514" s="16" t="s">
        <v>1049</v>
      </c>
      <c r="L514" s="16" t="s">
        <v>85</v>
      </c>
      <c r="M514" s="16" t="s">
        <v>1216</v>
      </c>
      <c r="N514" s="16" t="s">
        <v>914</v>
      </c>
      <c r="O514" s="16" t="s">
        <v>946</v>
      </c>
      <c r="P514" s="16" t="s">
        <v>914</v>
      </c>
      <c r="Q514" s="16" t="s">
        <v>946</v>
      </c>
      <c r="R514" s="16" t="s">
        <v>915</v>
      </c>
      <c r="S514" s="16" t="s">
        <v>915</v>
      </c>
      <c r="T514" s="16" t="s">
        <v>1216</v>
      </c>
      <c r="U514" s="16" t="s">
        <v>1217</v>
      </c>
      <c r="V514" s="16" t="s">
        <v>916</v>
      </c>
      <c r="W514" s="16" t="s">
        <v>1217</v>
      </c>
      <c r="X514" s="16" t="s">
        <v>934</v>
      </c>
      <c r="Y514" s="16" t="s">
        <v>934</v>
      </c>
      <c r="Z514" s="16" t="s">
        <v>935</v>
      </c>
      <c r="DA514" s="405" t="s">
        <v>5</v>
      </c>
      <c r="DB514" s="405" t="s">
        <v>363</v>
      </c>
      <c r="DC514" s="406" t="s">
        <v>85</v>
      </c>
      <c r="DD514" s="405" t="s">
        <v>917</v>
      </c>
      <c r="DE514" s="405" t="s">
        <v>5</v>
      </c>
      <c r="DF514" s="406" t="s">
        <v>85</v>
      </c>
      <c r="DG514" s="407">
        <v>45849</v>
      </c>
      <c r="DH514" s="405" t="s">
        <v>6736</v>
      </c>
      <c r="DI514" s="406">
        <v>465455</v>
      </c>
      <c r="DJ514" s="408">
        <v>5</v>
      </c>
      <c r="DK514" s="405">
        <v>1</v>
      </c>
      <c r="DL514" s="82">
        <v>319.22000000000003</v>
      </c>
      <c r="DM514" s="409">
        <v>1.5961000000000001</v>
      </c>
      <c r="DN514" s="82" t="s">
        <v>85</v>
      </c>
      <c r="DO514" s="82" t="s">
        <v>85</v>
      </c>
      <c r="DP514" s="410" t="s">
        <v>85</v>
      </c>
    </row>
    <row r="515" spans="1:120" x14ac:dyDescent="0.25">
      <c r="A515" s="16" t="s">
        <v>6739</v>
      </c>
      <c r="B515" s="16" t="s">
        <v>6740</v>
      </c>
      <c r="C515" s="16" t="s">
        <v>6741</v>
      </c>
      <c r="D515" s="16" t="s">
        <v>6625</v>
      </c>
      <c r="E515" s="16" t="s">
        <v>6742</v>
      </c>
      <c r="F515" s="16" t="s">
        <v>6743</v>
      </c>
      <c r="G515" s="16" t="s">
        <v>6744</v>
      </c>
      <c r="H515" s="16" t="s">
        <v>6745</v>
      </c>
      <c r="I515" s="16" t="s">
        <v>1377</v>
      </c>
      <c r="J515" s="16" t="s">
        <v>943</v>
      </c>
      <c r="K515" s="16" t="s">
        <v>1378</v>
      </c>
      <c r="L515" s="16" t="s">
        <v>85</v>
      </c>
      <c r="M515" s="16" t="s">
        <v>984</v>
      </c>
      <c r="N515" s="16" t="s">
        <v>914</v>
      </c>
      <c r="O515" s="16" t="s">
        <v>985</v>
      </c>
      <c r="P515" s="16" t="s">
        <v>914</v>
      </c>
      <c r="Q515" s="16" t="s">
        <v>985</v>
      </c>
      <c r="R515" s="16" t="s">
        <v>915</v>
      </c>
      <c r="S515" s="16" t="s">
        <v>915</v>
      </c>
      <c r="T515" s="16" t="s">
        <v>986</v>
      </c>
      <c r="U515" s="16" t="s">
        <v>987</v>
      </c>
      <c r="V515" s="16" t="s">
        <v>916</v>
      </c>
      <c r="W515" s="16" t="s">
        <v>987</v>
      </c>
      <c r="X515" s="16" t="s">
        <v>934</v>
      </c>
      <c r="Y515" s="16" t="s">
        <v>934</v>
      </c>
      <c r="Z515" s="16" t="s">
        <v>935</v>
      </c>
      <c r="DA515" s="405" t="s">
        <v>5</v>
      </c>
      <c r="DB515" s="405" t="s">
        <v>363</v>
      </c>
      <c r="DC515" s="406" t="s">
        <v>85</v>
      </c>
      <c r="DD515" s="405" t="s">
        <v>917</v>
      </c>
      <c r="DE515" s="405" t="s">
        <v>5</v>
      </c>
      <c r="DF515" s="406" t="s">
        <v>85</v>
      </c>
      <c r="DG515" s="407">
        <v>45849</v>
      </c>
      <c r="DH515" s="405" t="s">
        <v>6742</v>
      </c>
      <c r="DI515" s="406">
        <v>465455</v>
      </c>
      <c r="DJ515" s="408">
        <v>5</v>
      </c>
      <c r="DK515" s="405">
        <v>1</v>
      </c>
      <c r="DL515" s="82">
        <v>340.55</v>
      </c>
      <c r="DM515" s="409">
        <v>1.70275</v>
      </c>
      <c r="DN515" s="82" t="s">
        <v>85</v>
      </c>
      <c r="DO515" s="82" t="s">
        <v>85</v>
      </c>
      <c r="DP515" s="410" t="s">
        <v>85</v>
      </c>
    </row>
    <row r="516" spans="1:120" x14ac:dyDescent="0.25">
      <c r="A516" s="16" t="s">
        <v>6746</v>
      </c>
      <c r="B516" s="16" t="s">
        <v>6747</v>
      </c>
      <c r="C516" s="16" t="s">
        <v>6748</v>
      </c>
      <c r="D516" s="16" t="s">
        <v>6625</v>
      </c>
      <c r="E516" s="16" t="s">
        <v>6749</v>
      </c>
      <c r="F516" s="16" t="s">
        <v>6750</v>
      </c>
      <c r="G516" s="16" t="s">
        <v>6751</v>
      </c>
      <c r="H516" s="16" t="s">
        <v>6750</v>
      </c>
      <c r="I516" s="16" t="s">
        <v>2556</v>
      </c>
      <c r="J516" s="16" t="s">
        <v>928</v>
      </c>
      <c r="K516" s="16" t="s">
        <v>2557</v>
      </c>
      <c r="L516" s="16" t="s">
        <v>85</v>
      </c>
      <c r="M516" s="16" t="s">
        <v>1322</v>
      </c>
      <c r="N516" s="16" t="s">
        <v>914</v>
      </c>
      <c r="O516" s="16" t="s">
        <v>1323</v>
      </c>
      <c r="P516" s="16" t="s">
        <v>914</v>
      </c>
      <c r="Q516" s="16" t="s">
        <v>1323</v>
      </c>
      <c r="R516" s="16" t="s">
        <v>915</v>
      </c>
      <c r="S516" s="16" t="s">
        <v>915</v>
      </c>
      <c r="T516" s="16" t="s">
        <v>1322</v>
      </c>
      <c r="U516" s="16" t="s">
        <v>1324</v>
      </c>
      <c r="V516" s="16" t="s">
        <v>916</v>
      </c>
      <c r="W516" s="16" t="s">
        <v>1324</v>
      </c>
      <c r="X516" s="16" t="s">
        <v>934</v>
      </c>
      <c r="Y516" s="16" t="s">
        <v>934</v>
      </c>
      <c r="Z516" s="16" t="s">
        <v>935</v>
      </c>
      <c r="DA516" s="405" t="s">
        <v>5</v>
      </c>
      <c r="DB516" s="405" t="s">
        <v>363</v>
      </c>
      <c r="DC516" s="406" t="s">
        <v>85</v>
      </c>
      <c r="DD516" s="405" t="s">
        <v>917</v>
      </c>
      <c r="DE516" s="405" t="s">
        <v>5</v>
      </c>
      <c r="DF516" s="406" t="s">
        <v>85</v>
      </c>
      <c r="DG516" s="407">
        <v>45849</v>
      </c>
      <c r="DH516" s="405" t="s">
        <v>6749</v>
      </c>
      <c r="DI516" s="406">
        <v>465455</v>
      </c>
      <c r="DJ516" s="408">
        <v>5</v>
      </c>
      <c r="DK516" s="405">
        <v>1</v>
      </c>
      <c r="DL516" s="82">
        <v>332.47</v>
      </c>
      <c r="DM516" s="409">
        <v>1.6623500000000002</v>
      </c>
      <c r="DN516" s="82" t="s">
        <v>85</v>
      </c>
      <c r="DO516" s="82" t="s">
        <v>85</v>
      </c>
      <c r="DP516" s="410" t="s">
        <v>85</v>
      </c>
    </row>
    <row r="517" spans="1:120" x14ac:dyDescent="0.25">
      <c r="A517" s="16" t="s">
        <v>6752</v>
      </c>
      <c r="B517" s="16" t="s">
        <v>6753</v>
      </c>
      <c r="C517" s="16" t="s">
        <v>6754</v>
      </c>
      <c r="D517" s="16" t="s">
        <v>6625</v>
      </c>
      <c r="E517" s="16" t="s">
        <v>6755</v>
      </c>
      <c r="F517" s="16" t="s">
        <v>6756</v>
      </c>
      <c r="G517" s="16" t="s">
        <v>6757</v>
      </c>
      <c r="H517" s="16" t="s">
        <v>6756</v>
      </c>
      <c r="I517" s="16" t="s">
        <v>1377</v>
      </c>
      <c r="J517" s="16" t="s">
        <v>943</v>
      </c>
      <c r="K517" s="16" t="s">
        <v>1378</v>
      </c>
      <c r="L517" s="16" t="s">
        <v>85</v>
      </c>
      <c r="M517" s="16" t="s">
        <v>984</v>
      </c>
      <c r="N517" s="16" t="s">
        <v>914</v>
      </c>
      <c r="O517" s="16" t="s">
        <v>985</v>
      </c>
      <c r="P517" s="16" t="s">
        <v>914</v>
      </c>
      <c r="Q517" s="16" t="s">
        <v>985</v>
      </c>
      <c r="R517" s="16" t="s">
        <v>915</v>
      </c>
      <c r="S517" s="16" t="s">
        <v>915</v>
      </c>
      <c r="T517" s="16" t="s">
        <v>986</v>
      </c>
      <c r="U517" s="16" t="s">
        <v>987</v>
      </c>
      <c r="V517" s="16" t="s">
        <v>916</v>
      </c>
      <c r="W517" s="16" t="s">
        <v>987</v>
      </c>
      <c r="X517" s="16" t="s">
        <v>934</v>
      </c>
      <c r="Y517" s="16" t="s">
        <v>934</v>
      </c>
      <c r="Z517" s="16" t="s">
        <v>935</v>
      </c>
      <c r="DA517" s="405" t="s">
        <v>5</v>
      </c>
      <c r="DB517" s="405" t="s">
        <v>363</v>
      </c>
      <c r="DC517" s="406" t="s">
        <v>85</v>
      </c>
      <c r="DD517" s="405" t="s">
        <v>917</v>
      </c>
      <c r="DE517" s="405" t="s">
        <v>5</v>
      </c>
      <c r="DF517" s="406" t="s">
        <v>85</v>
      </c>
      <c r="DG517" s="407">
        <v>45849</v>
      </c>
      <c r="DH517" s="405" t="s">
        <v>6755</v>
      </c>
      <c r="DI517" s="406">
        <v>465455</v>
      </c>
      <c r="DJ517" s="408">
        <v>5</v>
      </c>
      <c r="DK517" s="405">
        <v>1</v>
      </c>
      <c r="DL517" s="82">
        <v>340.55</v>
      </c>
      <c r="DM517" s="409">
        <v>1.70275</v>
      </c>
      <c r="DN517" s="82" t="s">
        <v>85</v>
      </c>
      <c r="DO517" s="82" t="s">
        <v>85</v>
      </c>
      <c r="DP517" s="410" t="s">
        <v>85</v>
      </c>
    </row>
    <row r="518" spans="1:120" x14ac:dyDescent="0.25">
      <c r="A518" s="16" t="s">
        <v>6758</v>
      </c>
      <c r="B518" s="16" t="s">
        <v>6759</v>
      </c>
      <c r="C518" s="16" t="s">
        <v>6760</v>
      </c>
      <c r="D518" s="16" t="s">
        <v>6625</v>
      </c>
      <c r="E518" s="16" t="s">
        <v>6761</v>
      </c>
      <c r="F518" s="16" t="s">
        <v>6762</v>
      </c>
      <c r="G518" s="16" t="s">
        <v>6763</v>
      </c>
      <c r="H518" s="16" t="s">
        <v>6764</v>
      </c>
      <c r="I518" s="16" t="s">
        <v>1017</v>
      </c>
      <c r="J518" s="16" t="s">
        <v>995</v>
      </c>
      <c r="K518" s="16" t="s">
        <v>1018</v>
      </c>
      <c r="L518" s="16" t="s">
        <v>85</v>
      </c>
      <c r="M518" s="16" t="s">
        <v>1165</v>
      </c>
      <c r="N518" s="16" t="s">
        <v>914</v>
      </c>
      <c r="O518" s="16" t="s">
        <v>1166</v>
      </c>
      <c r="P518" s="16" t="s">
        <v>914</v>
      </c>
      <c r="Q518" s="16" t="s">
        <v>1166</v>
      </c>
      <c r="R518" s="16" t="s">
        <v>915</v>
      </c>
      <c r="S518" s="16" t="s">
        <v>915</v>
      </c>
      <c r="T518" s="16" t="s">
        <v>1167</v>
      </c>
      <c r="U518" s="16" t="s">
        <v>1168</v>
      </c>
      <c r="V518" s="16" t="s">
        <v>916</v>
      </c>
      <c r="W518" s="16" t="s">
        <v>1168</v>
      </c>
      <c r="X518" s="16" t="s">
        <v>934</v>
      </c>
      <c r="Y518" s="16" t="s">
        <v>934</v>
      </c>
      <c r="Z518" s="16" t="s">
        <v>935</v>
      </c>
      <c r="DA518" s="405" t="s">
        <v>5</v>
      </c>
      <c r="DB518" s="405" t="s">
        <v>363</v>
      </c>
      <c r="DC518" s="406" t="s">
        <v>85</v>
      </c>
      <c r="DD518" s="405" t="s">
        <v>917</v>
      </c>
      <c r="DE518" s="405" t="s">
        <v>5</v>
      </c>
      <c r="DF518" s="406" t="s">
        <v>85</v>
      </c>
      <c r="DG518" s="407">
        <v>45849</v>
      </c>
      <c r="DH518" s="405" t="s">
        <v>6761</v>
      </c>
      <c r="DI518" s="406">
        <v>465455</v>
      </c>
      <c r="DJ518" s="408">
        <v>5</v>
      </c>
      <c r="DK518" s="405">
        <v>1</v>
      </c>
      <c r="DL518" s="82">
        <v>468.28</v>
      </c>
      <c r="DM518" s="409">
        <v>2.3413999999999997</v>
      </c>
      <c r="DN518" s="82" t="s">
        <v>85</v>
      </c>
      <c r="DO518" s="82" t="s">
        <v>85</v>
      </c>
      <c r="DP518" s="410" t="s">
        <v>85</v>
      </c>
    </row>
    <row r="519" spans="1:120" x14ac:dyDescent="0.25">
      <c r="A519" s="16" t="s">
        <v>6765</v>
      </c>
      <c r="B519" s="16" t="s">
        <v>6766</v>
      </c>
      <c r="C519" s="16" t="s">
        <v>6767</v>
      </c>
      <c r="D519" s="16" t="s">
        <v>6625</v>
      </c>
      <c r="E519" s="16" t="s">
        <v>6768</v>
      </c>
      <c r="F519" s="16" t="s">
        <v>6769</v>
      </c>
      <c r="G519" s="16" t="s">
        <v>6770</v>
      </c>
      <c r="H519" s="16" t="s">
        <v>6771</v>
      </c>
      <c r="I519" s="16" t="s">
        <v>1269</v>
      </c>
      <c r="J519" s="16" t="s">
        <v>943</v>
      </c>
      <c r="K519" s="16" t="s">
        <v>1270</v>
      </c>
      <c r="L519" s="16" t="s">
        <v>85</v>
      </c>
      <c r="M519" s="16" t="s">
        <v>984</v>
      </c>
      <c r="N519" s="16" t="s">
        <v>914</v>
      </c>
      <c r="O519" s="16" t="s">
        <v>985</v>
      </c>
      <c r="P519" s="16" t="s">
        <v>914</v>
      </c>
      <c r="Q519" s="16" t="s">
        <v>985</v>
      </c>
      <c r="R519" s="16" t="s">
        <v>915</v>
      </c>
      <c r="S519" s="16" t="s">
        <v>915</v>
      </c>
      <c r="T519" s="16" t="s">
        <v>986</v>
      </c>
      <c r="U519" s="16" t="s">
        <v>987</v>
      </c>
      <c r="V519" s="16" t="s">
        <v>916</v>
      </c>
      <c r="W519" s="16" t="s">
        <v>987</v>
      </c>
      <c r="X519" s="16" t="s">
        <v>934</v>
      </c>
      <c r="Y519" s="16" t="s">
        <v>934</v>
      </c>
      <c r="Z519" s="16" t="s">
        <v>935</v>
      </c>
      <c r="DA519" s="405" t="s">
        <v>5</v>
      </c>
      <c r="DB519" s="405" t="s">
        <v>363</v>
      </c>
      <c r="DC519" s="406" t="s">
        <v>85</v>
      </c>
      <c r="DD519" s="405" t="s">
        <v>917</v>
      </c>
      <c r="DE519" s="405" t="s">
        <v>5</v>
      </c>
      <c r="DF519" s="406" t="s">
        <v>85</v>
      </c>
      <c r="DG519" s="407">
        <v>45849</v>
      </c>
      <c r="DH519" s="405" t="s">
        <v>6768</v>
      </c>
      <c r="DI519" s="406">
        <v>465455</v>
      </c>
      <c r="DJ519" s="408">
        <v>5</v>
      </c>
      <c r="DK519" s="405">
        <v>1</v>
      </c>
      <c r="DL519" s="82">
        <v>340.55</v>
      </c>
      <c r="DM519" s="409">
        <v>1.70275</v>
      </c>
      <c r="DN519" s="82" t="s">
        <v>85</v>
      </c>
      <c r="DO519" s="82" t="s">
        <v>85</v>
      </c>
      <c r="DP519" s="410" t="s">
        <v>85</v>
      </c>
    </row>
    <row r="520" spans="1:120" x14ac:dyDescent="0.25">
      <c r="A520" s="16" t="s">
        <v>6772</v>
      </c>
      <c r="B520" s="16" t="s">
        <v>6773</v>
      </c>
      <c r="C520" s="16" t="s">
        <v>6774</v>
      </c>
      <c r="D520" s="16" t="s">
        <v>6625</v>
      </c>
      <c r="E520" s="16" t="s">
        <v>6775</v>
      </c>
      <c r="F520" s="16" t="s">
        <v>6776</v>
      </c>
      <c r="G520" s="16" t="s">
        <v>6777</v>
      </c>
      <c r="H520" s="16" t="s">
        <v>6778</v>
      </c>
      <c r="I520" s="16" t="s">
        <v>1150</v>
      </c>
      <c r="J520" s="16" t="s">
        <v>943</v>
      </c>
      <c r="K520" s="16" t="s">
        <v>1151</v>
      </c>
      <c r="L520" s="16" t="s">
        <v>85</v>
      </c>
      <c r="M520" s="16" t="s">
        <v>984</v>
      </c>
      <c r="N520" s="16" t="s">
        <v>914</v>
      </c>
      <c r="O520" s="16" t="s">
        <v>985</v>
      </c>
      <c r="P520" s="16" t="s">
        <v>914</v>
      </c>
      <c r="Q520" s="16" t="s">
        <v>985</v>
      </c>
      <c r="R520" s="16" t="s">
        <v>915</v>
      </c>
      <c r="S520" s="16" t="s">
        <v>915</v>
      </c>
      <c r="T520" s="16" t="s">
        <v>986</v>
      </c>
      <c r="U520" s="16" t="s">
        <v>987</v>
      </c>
      <c r="V520" s="16" t="s">
        <v>916</v>
      </c>
      <c r="W520" s="16" t="s">
        <v>987</v>
      </c>
      <c r="X520" s="16" t="s">
        <v>934</v>
      </c>
      <c r="Y520" s="16" t="s">
        <v>934</v>
      </c>
      <c r="Z520" s="16" t="s">
        <v>935</v>
      </c>
      <c r="DA520" s="405" t="s">
        <v>5</v>
      </c>
      <c r="DB520" s="405" t="s">
        <v>363</v>
      </c>
      <c r="DC520" s="406" t="s">
        <v>85</v>
      </c>
      <c r="DD520" s="405" t="s">
        <v>917</v>
      </c>
      <c r="DE520" s="405" t="s">
        <v>5</v>
      </c>
      <c r="DF520" s="406" t="s">
        <v>85</v>
      </c>
      <c r="DG520" s="407">
        <v>45849</v>
      </c>
      <c r="DH520" s="405" t="s">
        <v>6775</v>
      </c>
      <c r="DI520" s="406">
        <v>465455</v>
      </c>
      <c r="DJ520" s="408">
        <v>5</v>
      </c>
      <c r="DK520" s="405">
        <v>1</v>
      </c>
      <c r="DL520" s="82">
        <v>340.55</v>
      </c>
      <c r="DM520" s="409">
        <v>1.70275</v>
      </c>
      <c r="DN520" s="82" t="s">
        <v>85</v>
      </c>
      <c r="DO520" s="82" t="s">
        <v>85</v>
      </c>
      <c r="DP520" s="410" t="s">
        <v>85</v>
      </c>
    </row>
    <row r="521" spans="1:120" x14ac:dyDescent="0.25">
      <c r="A521" s="16" t="s">
        <v>6779</v>
      </c>
      <c r="B521" s="16" t="s">
        <v>6780</v>
      </c>
      <c r="C521" s="16" t="s">
        <v>6781</v>
      </c>
      <c r="D521" s="16" t="s">
        <v>6625</v>
      </c>
      <c r="E521" s="16" t="s">
        <v>6782</v>
      </c>
      <c r="F521" s="16" t="s">
        <v>6783</v>
      </c>
      <c r="G521" s="16" t="s">
        <v>6784</v>
      </c>
      <c r="H521" s="16" t="s">
        <v>6783</v>
      </c>
      <c r="I521" s="16" t="s">
        <v>4603</v>
      </c>
      <c r="J521" s="16" t="s">
        <v>1123</v>
      </c>
      <c r="K521" s="16" t="s">
        <v>4604</v>
      </c>
      <c r="L521" s="16" t="s">
        <v>85</v>
      </c>
      <c r="M521" s="16" t="s">
        <v>1238</v>
      </c>
      <c r="N521" s="16" t="s">
        <v>914</v>
      </c>
      <c r="O521" s="16" t="s">
        <v>1239</v>
      </c>
      <c r="P521" s="16" t="s">
        <v>914</v>
      </c>
      <c r="Q521" s="16" t="s">
        <v>1239</v>
      </c>
      <c r="R521" s="16" t="s">
        <v>915</v>
      </c>
      <c r="S521" s="16" t="s">
        <v>915</v>
      </c>
      <c r="T521" s="16" t="s">
        <v>1238</v>
      </c>
      <c r="U521" s="16" t="s">
        <v>1240</v>
      </c>
      <c r="V521" s="16" t="s">
        <v>916</v>
      </c>
      <c r="W521" s="16" t="s">
        <v>1240</v>
      </c>
      <c r="X521" s="16" t="s">
        <v>934</v>
      </c>
      <c r="Y521" s="16" t="s">
        <v>934</v>
      </c>
      <c r="Z521" s="16" t="s">
        <v>935</v>
      </c>
      <c r="DA521" s="405" t="s">
        <v>5</v>
      </c>
      <c r="DB521" s="405" t="s">
        <v>363</v>
      </c>
      <c r="DC521" s="406" t="s">
        <v>85</v>
      </c>
      <c r="DD521" s="405" t="s">
        <v>917</v>
      </c>
      <c r="DE521" s="405" t="s">
        <v>5</v>
      </c>
      <c r="DF521" s="406" t="s">
        <v>85</v>
      </c>
      <c r="DG521" s="407">
        <v>45849</v>
      </c>
      <c r="DH521" s="405" t="s">
        <v>6782</v>
      </c>
      <c r="DI521" s="406">
        <v>465455</v>
      </c>
      <c r="DJ521" s="408">
        <v>5</v>
      </c>
      <c r="DK521" s="405">
        <v>1</v>
      </c>
      <c r="DL521" s="82">
        <v>383.16</v>
      </c>
      <c r="DM521" s="409">
        <v>1.9158000000000002</v>
      </c>
      <c r="DN521" s="82" t="s">
        <v>85</v>
      </c>
      <c r="DO521" s="82" t="s">
        <v>85</v>
      </c>
      <c r="DP521" s="410" t="s">
        <v>85</v>
      </c>
    </row>
    <row r="522" spans="1:120" x14ac:dyDescent="0.25">
      <c r="A522" s="16" t="s">
        <v>6779</v>
      </c>
      <c r="B522" s="16" t="s">
        <v>6780</v>
      </c>
      <c r="C522" s="16" t="s">
        <v>6781</v>
      </c>
      <c r="D522" s="16" t="s">
        <v>6625</v>
      </c>
      <c r="E522" s="16" t="s">
        <v>6782</v>
      </c>
      <c r="F522" s="16" t="s">
        <v>6783</v>
      </c>
      <c r="G522" s="16" t="s">
        <v>6784</v>
      </c>
      <c r="H522" s="16" t="s">
        <v>6783</v>
      </c>
      <c r="I522" s="16" t="s">
        <v>6196</v>
      </c>
      <c r="J522" s="16" t="s">
        <v>1123</v>
      </c>
      <c r="K522" s="16" t="s">
        <v>6197</v>
      </c>
      <c r="L522" s="16" t="s">
        <v>85</v>
      </c>
      <c r="M522" s="16" t="s">
        <v>1238</v>
      </c>
      <c r="N522" s="16" t="s">
        <v>914</v>
      </c>
      <c r="O522" s="16" t="s">
        <v>1239</v>
      </c>
      <c r="P522" s="16" t="s">
        <v>914</v>
      </c>
      <c r="Q522" s="16" t="s">
        <v>1239</v>
      </c>
      <c r="R522" s="16" t="s">
        <v>915</v>
      </c>
      <c r="S522" s="16" t="s">
        <v>915</v>
      </c>
      <c r="T522" s="16" t="s">
        <v>1238</v>
      </c>
      <c r="U522" s="16" t="s">
        <v>1240</v>
      </c>
      <c r="V522" s="16" t="s">
        <v>916</v>
      </c>
      <c r="W522" s="16" t="s">
        <v>1240</v>
      </c>
      <c r="X522" s="16" t="s">
        <v>934</v>
      </c>
      <c r="Y522" s="16" t="s">
        <v>934</v>
      </c>
      <c r="Z522" s="16" t="s">
        <v>935</v>
      </c>
      <c r="DA522" s="405" t="s">
        <v>5</v>
      </c>
      <c r="DB522" s="405" t="s">
        <v>363</v>
      </c>
      <c r="DC522" s="406" t="s">
        <v>85</v>
      </c>
      <c r="DD522" s="405" t="s">
        <v>917</v>
      </c>
      <c r="DE522" s="405" t="s">
        <v>5</v>
      </c>
      <c r="DF522" s="406" t="s">
        <v>85</v>
      </c>
      <c r="DG522" s="407">
        <v>45849</v>
      </c>
      <c r="DH522" s="405" t="s">
        <v>6782</v>
      </c>
      <c r="DI522" s="406">
        <v>465455</v>
      </c>
      <c r="DJ522" s="408">
        <v>5</v>
      </c>
      <c r="DK522" s="405">
        <v>1</v>
      </c>
      <c r="DL522" s="82">
        <v>383.16</v>
      </c>
      <c r="DM522" s="409">
        <v>1.9158000000000002</v>
      </c>
      <c r="DN522" s="82" t="s">
        <v>85</v>
      </c>
      <c r="DO522" s="82" t="s">
        <v>85</v>
      </c>
      <c r="DP522" s="410" t="s">
        <v>85</v>
      </c>
    </row>
    <row r="523" spans="1:120" x14ac:dyDescent="0.25">
      <c r="A523" s="16" t="s">
        <v>6785</v>
      </c>
      <c r="B523" s="16" t="s">
        <v>6786</v>
      </c>
      <c r="C523" s="16" t="s">
        <v>6787</v>
      </c>
      <c r="D523" s="16" t="s">
        <v>6625</v>
      </c>
      <c r="E523" s="16" t="s">
        <v>6788</v>
      </c>
      <c r="F523" s="16" t="s">
        <v>6789</v>
      </c>
      <c r="G523" s="16" t="s">
        <v>6790</v>
      </c>
      <c r="H523" s="16" t="s">
        <v>6789</v>
      </c>
      <c r="I523" s="16" t="s">
        <v>6791</v>
      </c>
      <c r="J523" s="16" t="s">
        <v>1109</v>
      </c>
      <c r="K523" s="16" t="s">
        <v>6792</v>
      </c>
      <c r="L523" s="16" t="s">
        <v>85</v>
      </c>
      <c r="M523" s="16" t="s">
        <v>1311</v>
      </c>
      <c r="N523" s="16" t="s">
        <v>914</v>
      </c>
      <c r="O523" s="16" t="s">
        <v>1312</v>
      </c>
      <c r="P523" s="16" t="s">
        <v>914</v>
      </c>
      <c r="Q523" s="16" t="s">
        <v>1312</v>
      </c>
      <c r="R523" s="16" t="s">
        <v>915</v>
      </c>
      <c r="S523" s="16" t="s">
        <v>915</v>
      </c>
      <c r="T523" s="16" t="s">
        <v>1311</v>
      </c>
      <c r="U523" s="16" t="s">
        <v>1313</v>
      </c>
      <c r="V523" s="16" t="s">
        <v>916</v>
      </c>
      <c r="W523" s="16" t="s">
        <v>1313</v>
      </c>
      <c r="X523" s="16" t="s">
        <v>934</v>
      </c>
      <c r="Y523" s="16" t="s">
        <v>934</v>
      </c>
      <c r="Z523" s="16" t="s">
        <v>935</v>
      </c>
      <c r="DA523" s="405" t="s">
        <v>5</v>
      </c>
      <c r="DB523" s="405" t="s">
        <v>363</v>
      </c>
      <c r="DC523" s="406" t="s">
        <v>85</v>
      </c>
      <c r="DD523" s="405" t="s">
        <v>917</v>
      </c>
      <c r="DE523" s="405" t="s">
        <v>5</v>
      </c>
      <c r="DF523" s="406" t="s">
        <v>85</v>
      </c>
      <c r="DG523" s="407">
        <v>45849</v>
      </c>
      <c r="DH523" s="405" t="s">
        <v>6788</v>
      </c>
      <c r="DI523" s="406">
        <v>465455</v>
      </c>
      <c r="DJ523" s="408">
        <v>5</v>
      </c>
      <c r="DK523" s="405">
        <v>1</v>
      </c>
      <c r="DL523" s="82">
        <v>531.54</v>
      </c>
      <c r="DM523" s="409">
        <v>2.6576999999999997</v>
      </c>
      <c r="DN523" s="82" t="s">
        <v>85</v>
      </c>
      <c r="DO523" s="82" t="s">
        <v>85</v>
      </c>
      <c r="DP523" s="410" t="s">
        <v>85</v>
      </c>
    </row>
    <row r="524" spans="1:120" x14ac:dyDescent="0.25">
      <c r="A524" s="16" t="s">
        <v>6793</v>
      </c>
      <c r="B524" s="16" t="s">
        <v>6794</v>
      </c>
      <c r="C524" s="16" t="s">
        <v>6795</v>
      </c>
      <c r="D524" s="16" t="s">
        <v>6625</v>
      </c>
      <c r="E524" s="16" t="s">
        <v>6796</v>
      </c>
      <c r="F524" s="16" t="s">
        <v>6797</v>
      </c>
      <c r="G524" s="16" t="s">
        <v>6798</v>
      </c>
      <c r="H524" s="16" t="s">
        <v>6799</v>
      </c>
      <c r="I524" s="16" t="s">
        <v>1561</v>
      </c>
      <c r="J524" s="16" t="s">
        <v>928</v>
      </c>
      <c r="K524" s="16" t="s">
        <v>1562</v>
      </c>
      <c r="L524" s="16" t="s">
        <v>85</v>
      </c>
      <c r="M524" s="16" t="s">
        <v>1322</v>
      </c>
      <c r="N524" s="16" t="s">
        <v>914</v>
      </c>
      <c r="O524" s="16" t="s">
        <v>1323</v>
      </c>
      <c r="P524" s="16" t="s">
        <v>914</v>
      </c>
      <c r="Q524" s="16" t="s">
        <v>1323</v>
      </c>
      <c r="R524" s="16" t="s">
        <v>915</v>
      </c>
      <c r="S524" s="16" t="s">
        <v>915</v>
      </c>
      <c r="T524" s="16" t="s">
        <v>1322</v>
      </c>
      <c r="U524" s="16" t="s">
        <v>1324</v>
      </c>
      <c r="V524" s="16" t="s">
        <v>916</v>
      </c>
      <c r="W524" s="16" t="s">
        <v>1324</v>
      </c>
      <c r="X524" s="16" t="s">
        <v>934</v>
      </c>
      <c r="Y524" s="16" t="s">
        <v>934</v>
      </c>
      <c r="Z524" s="16" t="s">
        <v>935</v>
      </c>
      <c r="DA524" s="405" t="s">
        <v>5</v>
      </c>
      <c r="DB524" s="405" t="s">
        <v>363</v>
      </c>
      <c r="DC524" s="406" t="s">
        <v>85</v>
      </c>
      <c r="DD524" s="405" t="s">
        <v>917</v>
      </c>
      <c r="DE524" s="405" t="s">
        <v>5</v>
      </c>
      <c r="DF524" s="406" t="s">
        <v>85</v>
      </c>
      <c r="DG524" s="407">
        <v>45849</v>
      </c>
      <c r="DH524" s="405" t="s">
        <v>6796</v>
      </c>
      <c r="DI524" s="406">
        <v>465455</v>
      </c>
      <c r="DJ524" s="408">
        <v>5</v>
      </c>
      <c r="DK524" s="405">
        <v>1</v>
      </c>
      <c r="DL524" s="82">
        <v>332.47</v>
      </c>
      <c r="DM524" s="409">
        <v>1.6623500000000002</v>
      </c>
      <c r="DN524" s="82" t="s">
        <v>85</v>
      </c>
      <c r="DO524" s="82" t="s">
        <v>85</v>
      </c>
      <c r="DP524" s="410" t="s">
        <v>85</v>
      </c>
    </row>
    <row r="525" spans="1:120" x14ac:dyDescent="0.25">
      <c r="A525" s="16" t="s">
        <v>6800</v>
      </c>
      <c r="B525" s="16" t="s">
        <v>6801</v>
      </c>
      <c r="C525" s="16" t="s">
        <v>6802</v>
      </c>
      <c r="D525" s="16" t="s">
        <v>6625</v>
      </c>
      <c r="E525" s="16" t="s">
        <v>6803</v>
      </c>
      <c r="F525" s="16" t="s">
        <v>6804</v>
      </c>
      <c r="G525" s="16" t="s">
        <v>6805</v>
      </c>
      <c r="H525" s="16" t="s">
        <v>6804</v>
      </c>
      <c r="I525" s="16" t="s">
        <v>2521</v>
      </c>
      <c r="J525" s="16" t="s">
        <v>943</v>
      </c>
      <c r="K525" s="16" t="s">
        <v>2522</v>
      </c>
      <c r="L525" s="16" t="s">
        <v>85</v>
      </c>
      <c r="M525" s="16" t="s">
        <v>984</v>
      </c>
      <c r="N525" s="16" t="s">
        <v>914</v>
      </c>
      <c r="O525" s="16" t="s">
        <v>985</v>
      </c>
      <c r="P525" s="16" t="s">
        <v>914</v>
      </c>
      <c r="Q525" s="16" t="s">
        <v>985</v>
      </c>
      <c r="R525" s="16" t="s">
        <v>915</v>
      </c>
      <c r="S525" s="16" t="s">
        <v>915</v>
      </c>
      <c r="T525" s="16" t="s">
        <v>986</v>
      </c>
      <c r="U525" s="16" t="s">
        <v>987</v>
      </c>
      <c r="V525" s="16" t="s">
        <v>916</v>
      </c>
      <c r="W525" s="16" t="s">
        <v>987</v>
      </c>
      <c r="X525" s="16" t="s">
        <v>934</v>
      </c>
      <c r="Y525" s="16" t="s">
        <v>934</v>
      </c>
      <c r="Z525" s="16" t="s">
        <v>935</v>
      </c>
      <c r="DA525" s="405" t="s">
        <v>5</v>
      </c>
      <c r="DB525" s="405" t="s">
        <v>363</v>
      </c>
      <c r="DC525" s="406" t="s">
        <v>85</v>
      </c>
      <c r="DD525" s="405" t="s">
        <v>917</v>
      </c>
      <c r="DE525" s="405" t="s">
        <v>5</v>
      </c>
      <c r="DF525" s="406" t="s">
        <v>85</v>
      </c>
      <c r="DG525" s="407">
        <v>45849</v>
      </c>
      <c r="DH525" s="405" t="s">
        <v>6803</v>
      </c>
      <c r="DI525" s="406">
        <v>465455</v>
      </c>
      <c r="DJ525" s="408">
        <v>5</v>
      </c>
      <c r="DK525" s="405">
        <v>1</v>
      </c>
      <c r="DL525" s="82">
        <v>340.55</v>
      </c>
      <c r="DM525" s="409">
        <v>1.70275</v>
      </c>
      <c r="DN525" s="82" t="s">
        <v>85</v>
      </c>
      <c r="DO525" s="82" t="s">
        <v>85</v>
      </c>
      <c r="DP525" s="410" t="s">
        <v>85</v>
      </c>
    </row>
    <row r="526" spans="1:120" x14ac:dyDescent="0.25">
      <c r="A526" s="16" t="s">
        <v>6806</v>
      </c>
      <c r="B526" s="16" t="s">
        <v>6807</v>
      </c>
      <c r="C526" s="16" t="s">
        <v>6808</v>
      </c>
      <c r="D526" s="16" t="s">
        <v>6625</v>
      </c>
      <c r="E526" s="16" t="s">
        <v>6809</v>
      </c>
      <c r="F526" s="16" t="s">
        <v>6810</v>
      </c>
      <c r="G526" s="16" t="s">
        <v>6811</v>
      </c>
      <c r="H526" s="16" t="s">
        <v>6810</v>
      </c>
      <c r="I526" s="16" t="s">
        <v>1099</v>
      </c>
      <c r="J526" s="16" t="s">
        <v>943</v>
      </c>
      <c r="K526" s="16" t="s">
        <v>1100</v>
      </c>
      <c r="L526" s="16" t="s">
        <v>85</v>
      </c>
      <c r="M526" s="16" t="s">
        <v>984</v>
      </c>
      <c r="N526" s="16" t="s">
        <v>914</v>
      </c>
      <c r="O526" s="16" t="s">
        <v>985</v>
      </c>
      <c r="P526" s="16" t="s">
        <v>914</v>
      </c>
      <c r="Q526" s="16" t="s">
        <v>985</v>
      </c>
      <c r="R526" s="16" t="s">
        <v>915</v>
      </c>
      <c r="S526" s="16" t="s">
        <v>915</v>
      </c>
      <c r="T526" s="16" t="s">
        <v>986</v>
      </c>
      <c r="U526" s="16" t="s">
        <v>987</v>
      </c>
      <c r="V526" s="16" t="s">
        <v>916</v>
      </c>
      <c r="W526" s="16" t="s">
        <v>987</v>
      </c>
      <c r="X526" s="16" t="s">
        <v>934</v>
      </c>
      <c r="Y526" s="16" t="s">
        <v>934</v>
      </c>
      <c r="Z526" s="16" t="s">
        <v>935</v>
      </c>
      <c r="DA526" s="405" t="s">
        <v>5</v>
      </c>
      <c r="DB526" s="405" t="s">
        <v>363</v>
      </c>
      <c r="DC526" s="406" t="s">
        <v>85</v>
      </c>
      <c r="DD526" s="405" t="s">
        <v>917</v>
      </c>
      <c r="DE526" s="405" t="s">
        <v>5</v>
      </c>
      <c r="DF526" s="406" t="s">
        <v>85</v>
      </c>
      <c r="DG526" s="407">
        <v>45849</v>
      </c>
      <c r="DH526" s="405" t="s">
        <v>6809</v>
      </c>
      <c r="DI526" s="406">
        <v>465455</v>
      </c>
      <c r="DJ526" s="408">
        <v>5</v>
      </c>
      <c r="DK526" s="405">
        <v>1</v>
      </c>
      <c r="DL526" s="82">
        <v>340.55</v>
      </c>
      <c r="DM526" s="409">
        <v>1.70275</v>
      </c>
      <c r="DN526" s="82" t="s">
        <v>85</v>
      </c>
      <c r="DO526" s="82" t="s">
        <v>85</v>
      </c>
      <c r="DP526" s="410" t="s">
        <v>85</v>
      </c>
    </row>
    <row r="527" spans="1:120" x14ac:dyDescent="0.25">
      <c r="A527" s="16" t="s">
        <v>6812</v>
      </c>
      <c r="B527" s="16" t="s">
        <v>6813</v>
      </c>
      <c r="C527" s="16" t="s">
        <v>6814</v>
      </c>
      <c r="D527" s="16" t="s">
        <v>6625</v>
      </c>
      <c r="E527" s="16" t="s">
        <v>6815</v>
      </c>
      <c r="F527" s="16" t="s">
        <v>6816</v>
      </c>
      <c r="G527" s="16" t="s">
        <v>6817</v>
      </c>
      <c r="H527" s="16" t="s">
        <v>6818</v>
      </c>
      <c r="I527" s="16" t="s">
        <v>1301</v>
      </c>
      <c r="J527" s="16" t="s">
        <v>928</v>
      </c>
      <c r="K527" s="16" t="s">
        <v>1302</v>
      </c>
      <c r="L527" s="16" t="s">
        <v>85</v>
      </c>
      <c r="M527" s="16" t="s">
        <v>1322</v>
      </c>
      <c r="N527" s="16" t="s">
        <v>914</v>
      </c>
      <c r="O527" s="16" t="s">
        <v>1323</v>
      </c>
      <c r="P527" s="16" t="s">
        <v>914</v>
      </c>
      <c r="Q527" s="16" t="s">
        <v>1323</v>
      </c>
      <c r="R527" s="16" t="s">
        <v>915</v>
      </c>
      <c r="S527" s="16" t="s">
        <v>915</v>
      </c>
      <c r="T527" s="16" t="s">
        <v>1322</v>
      </c>
      <c r="U527" s="16" t="s">
        <v>1324</v>
      </c>
      <c r="V527" s="16" t="s">
        <v>916</v>
      </c>
      <c r="W527" s="16" t="s">
        <v>1324</v>
      </c>
      <c r="X527" s="16" t="s">
        <v>934</v>
      </c>
      <c r="Y527" s="16" t="s">
        <v>934</v>
      </c>
      <c r="Z527" s="16" t="s">
        <v>935</v>
      </c>
      <c r="DA527" s="405" t="s">
        <v>5</v>
      </c>
      <c r="DB527" s="405" t="s">
        <v>363</v>
      </c>
      <c r="DC527" s="406" t="s">
        <v>85</v>
      </c>
      <c r="DD527" s="405" t="s">
        <v>917</v>
      </c>
      <c r="DE527" s="405" t="s">
        <v>5</v>
      </c>
      <c r="DF527" s="406" t="s">
        <v>85</v>
      </c>
      <c r="DG527" s="407">
        <v>45849</v>
      </c>
      <c r="DH527" s="405" t="s">
        <v>6815</v>
      </c>
      <c r="DI527" s="406">
        <v>465455</v>
      </c>
      <c r="DJ527" s="408">
        <v>5</v>
      </c>
      <c r="DK527" s="405">
        <v>1</v>
      </c>
      <c r="DL527" s="82">
        <v>332.47</v>
      </c>
      <c r="DM527" s="409">
        <v>1.6623500000000002</v>
      </c>
      <c r="DN527" s="82" t="s">
        <v>85</v>
      </c>
      <c r="DO527" s="82" t="s">
        <v>85</v>
      </c>
      <c r="DP527" s="410" t="s">
        <v>85</v>
      </c>
    </row>
    <row r="528" spans="1:120" x14ac:dyDescent="0.25">
      <c r="A528" s="16" t="s">
        <v>6819</v>
      </c>
      <c r="B528" s="16" t="s">
        <v>6820</v>
      </c>
      <c r="C528" s="16" t="s">
        <v>6821</v>
      </c>
      <c r="D528" s="16" t="s">
        <v>6625</v>
      </c>
      <c r="E528" s="16" t="s">
        <v>6822</v>
      </c>
      <c r="F528" s="16" t="s">
        <v>6823</v>
      </c>
      <c r="G528" s="16" t="s">
        <v>6824</v>
      </c>
      <c r="H528" s="16" t="s">
        <v>6823</v>
      </c>
      <c r="I528" s="16" t="s">
        <v>2958</v>
      </c>
      <c r="J528" s="16" t="s">
        <v>943</v>
      </c>
      <c r="K528" s="16" t="s">
        <v>2959</v>
      </c>
      <c r="L528" s="16" t="s">
        <v>85</v>
      </c>
      <c r="M528" s="16" t="s">
        <v>984</v>
      </c>
      <c r="N528" s="16" t="s">
        <v>914</v>
      </c>
      <c r="O528" s="16" t="s">
        <v>985</v>
      </c>
      <c r="P528" s="16" t="s">
        <v>914</v>
      </c>
      <c r="Q528" s="16" t="s">
        <v>985</v>
      </c>
      <c r="R528" s="16" t="s">
        <v>915</v>
      </c>
      <c r="S528" s="16" t="s">
        <v>915</v>
      </c>
      <c r="T528" s="16" t="s">
        <v>986</v>
      </c>
      <c r="U528" s="16" t="s">
        <v>987</v>
      </c>
      <c r="V528" s="16" t="s">
        <v>916</v>
      </c>
      <c r="W528" s="16" t="s">
        <v>987</v>
      </c>
      <c r="X528" s="16" t="s">
        <v>934</v>
      </c>
      <c r="Y528" s="16" t="s">
        <v>934</v>
      </c>
      <c r="Z528" s="16" t="s">
        <v>935</v>
      </c>
      <c r="DA528" s="405" t="s">
        <v>5</v>
      </c>
      <c r="DB528" s="405" t="s">
        <v>363</v>
      </c>
      <c r="DC528" s="406" t="s">
        <v>85</v>
      </c>
      <c r="DD528" s="405" t="s">
        <v>917</v>
      </c>
      <c r="DE528" s="405" t="s">
        <v>5</v>
      </c>
      <c r="DF528" s="406" t="s">
        <v>85</v>
      </c>
      <c r="DG528" s="407">
        <v>45849</v>
      </c>
      <c r="DH528" s="405" t="s">
        <v>6822</v>
      </c>
      <c r="DI528" s="406">
        <v>465455</v>
      </c>
      <c r="DJ528" s="408">
        <v>5</v>
      </c>
      <c r="DK528" s="405">
        <v>1</v>
      </c>
      <c r="DL528" s="82">
        <v>340.55</v>
      </c>
      <c r="DM528" s="409">
        <v>1.70275</v>
      </c>
      <c r="DN528" s="82" t="s">
        <v>85</v>
      </c>
      <c r="DO528" s="82" t="s">
        <v>85</v>
      </c>
      <c r="DP528" s="410" t="s">
        <v>85</v>
      </c>
    </row>
    <row r="529" spans="1:120" x14ac:dyDescent="0.25">
      <c r="A529" s="16" t="s">
        <v>6825</v>
      </c>
      <c r="B529" s="16" t="s">
        <v>6826</v>
      </c>
      <c r="C529" s="16" t="s">
        <v>6827</v>
      </c>
      <c r="D529" s="16" t="s">
        <v>6625</v>
      </c>
      <c r="E529" s="16" t="s">
        <v>6828</v>
      </c>
      <c r="F529" s="16" t="s">
        <v>6829</v>
      </c>
      <c r="G529" s="16" t="s">
        <v>6830</v>
      </c>
      <c r="H529" s="16" t="s">
        <v>6829</v>
      </c>
      <c r="I529" s="16" t="s">
        <v>6831</v>
      </c>
      <c r="J529" s="16" t="s">
        <v>1123</v>
      </c>
      <c r="K529" s="16" t="s">
        <v>6832</v>
      </c>
      <c r="L529" s="16" t="s">
        <v>85</v>
      </c>
      <c r="M529" s="16" t="s">
        <v>1238</v>
      </c>
      <c r="N529" s="16" t="s">
        <v>914</v>
      </c>
      <c r="O529" s="16" t="s">
        <v>1239</v>
      </c>
      <c r="P529" s="16" t="s">
        <v>914</v>
      </c>
      <c r="Q529" s="16" t="s">
        <v>1239</v>
      </c>
      <c r="R529" s="16" t="s">
        <v>915</v>
      </c>
      <c r="S529" s="16" t="s">
        <v>915</v>
      </c>
      <c r="T529" s="16" t="s">
        <v>1238</v>
      </c>
      <c r="U529" s="16" t="s">
        <v>1240</v>
      </c>
      <c r="V529" s="16" t="s">
        <v>916</v>
      </c>
      <c r="W529" s="16" t="s">
        <v>1240</v>
      </c>
      <c r="X529" s="16" t="s">
        <v>934</v>
      </c>
      <c r="Y529" s="16" t="s">
        <v>934</v>
      </c>
      <c r="Z529" s="16" t="s">
        <v>935</v>
      </c>
      <c r="DA529" s="405" t="s">
        <v>5</v>
      </c>
      <c r="DB529" s="405" t="s">
        <v>363</v>
      </c>
      <c r="DC529" s="406" t="s">
        <v>85</v>
      </c>
      <c r="DD529" s="405" t="s">
        <v>917</v>
      </c>
      <c r="DE529" s="405" t="s">
        <v>5</v>
      </c>
      <c r="DF529" s="406" t="s">
        <v>85</v>
      </c>
      <c r="DG529" s="407">
        <v>45849</v>
      </c>
      <c r="DH529" s="405" t="s">
        <v>6828</v>
      </c>
      <c r="DI529" s="406">
        <v>465455</v>
      </c>
      <c r="DJ529" s="408">
        <v>5</v>
      </c>
      <c r="DK529" s="405">
        <v>1</v>
      </c>
      <c r="DL529" s="82">
        <v>383.16</v>
      </c>
      <c r="DM529" s="409">
        <v>1.9158000000000002</v>
      </c>
      <c r="DN529" s="82" t="s">
        <v>85</v>
      </c>
      <c r="DO529" s="82" t="s">
        <v>85</v>
      </c>
      <c r="DP529" s="410" t="s">
        <v>85</v>
      </c>
    </row>
    <row r="530" spans="1:120" x14ac:dyDescent="0.25">
      <c r="A530" s="16" t="s">
        <v>6833</v>
      </c>
      <c r="B530" s="16" t="s">
        <v>6834</v>
      </c>
      <c r="C530" s="16" t="s">
        <v>6835</v>
      </c>
      <c r="D530" s="16" t="s">
        <v>6625</v>
      </c>
      <c r="E530" s="16" t="s">
        <v>6836</v>
      </c>
      <c r="F530" s="16" t="s">
        <v>6837</v>
      </c>
      <c r="G530" s="16" t="s">
        <v>6838</v>
      </c>
      <c r="H530" s="16" t="s">
        <v>6839</v>
      </c>
      <c r="I530" s="16" t="s">
        <v>1719</v>
      </c>
      <c r="J530" s="16" t="s">
        <v>943</v>
      </c>
      <c r="K530" s="16" t="s">
        <v>1720</v>
      </c>
      <c r="L530" s="16" t="s">
        <v>85</v>
      </c>
      <c r="M530" s="16" t="s">
        <v>984</v>
      </c>
      <c r="N530" s="16" t="s">
        <v>914</v>
      </c>
      <c r="O530" s="16" t="s">
        <v>985</v>
      </c>
      <c r="P530" s="16" t="s">
        <v>914</v>
      </c>
      <c r="Q530" s="16" t="s">
        <v>985</v>
      </c>
      <c r="R530" s="16" t="s">
        <v>915</v>
      </c>
      <c r="S530" s="16" t="s">
        <v>915</v>
      </c>
      <c r="T530" s="16" t="s">
        <v>986</v>
      </c>
      <c r="U530" s="16" t="s">
        <v>987</v>
      </c>
      <c r="V530" s="16" t="s">
        <v>916</v>
      </c>
      <c r="W530" s="16" t="s">
        <v>987</v>
      </c>
      <c r="X530" s="16" t="s">
        <v>934</v>
      </c>
      <c r="Y530" s="16" t="s">
        <v>934</v>
      </c>
      <c r="Z530" s="16" t="s">
        <v>935</v>
      </c>
      <c r="DA530" s="405" t="s">
        <v>5</v>
      </c>
      <c r="DB530" s="405" t="s">
        <v>363</v>
      </c>
      <c r="DC530" s="406" t="s">
        <v>85</v>
      </c>
      <c r="DD530" s="405" t="s">
        <v>917</v>
      </c>
      <c r="DE530" s="405" t="s">
        <v>5</v>
      </c>
      <c r="DF530" s="406" t="s">
        <v>85</v>
      </c>
      <c r="DG530" s="407">
        <v>45849</v>
      </c>
      <c r="DH530" s="405" t="s">
        <v>6836</v>
      </c>
      <c r="DI530" s="406">
        <v>465455</v>
      </c>
      <c r="DJ530" s="408">
        <v>5</v>
      </c>
      <c r="DK530" s="405">
        <v>1</v>
      </c>
      <c r="DL530" s="82">
        <v>340.55</v>
      </c>
      <c r="DM530" s="409">
        <v>1.70275</v>
      </c>
      <c r="DN530" s="82" t="s">
        <v>85</v>
      </c>
      <c r="DO530" s="82" t="s">
        <v>85</v>
      </c>
      <c r="DP530" s="410" t="s">
        <v>85</v>
      </c>
    </row>
    <row r="531" spans="1:120" x14ac:dyDescent="0.25">
      <c r="A531" s="16" t="s">
        <v>6840</v>
      </c>
      <c r="B531" s="16" t="s">
        <v>6841</v>
      </c>
      <c r="C531" s="16" t="s">
        <v>6842</v>
      </c>
      <c r="D531" s="16" t="s">
        <v>6625</v>
      </c>
      <c r="E531" s="16" t="s">
        <v>6843</v>
      </c>
      <c r="F531" s="16" t="s">
        <v>6844</v>
      </c>
      <c r="G531" s="16" t="s">
        <v>6845</v>
      </c>
      <c r="H531" s="16" t="s">
        <v>6846</v>
      </c>
      <c r="I531" s="16" t="s">
        <v>1584</v>
      </c>
      <c r="J531" s="16" t="s">
        <v>928</v>
      </c>
      <c r="K531" s="16" t="s">
        <v>1585</v>
      </c>
      <c r="L531" s="16" t="s">
        <v>85</v>
      </c>
      <c r="M531" s="16" t="s">
        <v>1322</v>
      </c>
      <c r="N531" s="16" t="s">
        <v>914</v>
      </c>
      <c r="O531" s="16" t="s">
        <v>1323</v>
      </c>
      <c r="P531" s="16" t="s">
        <v>914</v>
      </c>
      <c r="Q531" s="16" t="s">
        <v>1323</v>
      </c>
      <c r="R531" s="16" t="s">
        <v>915</v>
      </c>
      <c r="S531" s="16" t="s">
        <v>915</v>
      </c>
      <c r="T531" s="16" t="s">
        <v>1322</v>
      </c>
      <c r="U531" s="16" t="s">
        <v>1324</v>
      </c>
      <c r="V531" s="16" t="s">
        <v>916</v>
      </c>
      <c r="W531" s="16" t="s">
        <v>1324</v>
      </c>
      <c r="X531" s="16" t="s">
        <v>934</v>
      </c>
      <c r="Y531" s="16" t="s">
        <v>934</v>
      </c>
      <c r="Z531" s="16" t="s">
        <v>935</v>
      </c>
      <c r="DA531" s="405" t="s">
        <v>5</v>
      </c>
      <c r="DB531" s="405" t="s">
        <v>363</v>
      </c>
      <c r="DC531" s="406" t="s">
        <v>85</v>
      </c>
      <c r="DD531" s="405" t="s">
        <v>917</v>
      </c>
      <c r="DE531" s="405" t="s">
        <v>5</v>
      </c>
      <c r="DF531" s="406" t="s">
        <v>85</v>
      </c>
      <c r="DG531" s="407">
        <v>45849</v>
      </c>
      <c r="DH531" s="405" t="s">
        <v>6843</v>
      </c>
      <c r="DI531" s="406">
        <v>465455</v>
      </c>
      <c r="DJ531" s="408">
        <v>5</v>
      </c>
      <c r="DK531" s="405">
        <v>1</v>
      </c>
      <c r="DL531" s="82">
        <v>332.47</v>
      </c>
      <c r="DM531" s="409">
        <v>1.6623500000000002</v>
      </c>
      <c r="DN531" s="82" t="s">
        <v>85</v>
      </c>
      <c r="DO531" s="82" t="s">
        <v>85</v>
      </c>
      <c r="DP531" s="410" t="s">
        <v>85</v>
      </c>
    </row>
    <row r="532" spans="1:120" x14ac:dyDescent="0.25">
      <c r="A532" s="16" t="s">
        <v>6847</v>
      </c>
      <c r="B532" s="16" t="s">
        <v>6848</v>
      </c>
      <c r="C532" s="16" t="s">
        <v>6849</v>
      </c>
      <c r="D532" s="16" t="s">
        <v>6625</v>
      </c>
      <c r="E532" s="16" t="s">
        <v>6850</v>
      </c>
      <c r="F532" s="16" t="s">
        <v>6851</v>
      </c>
      <c r="G532" s="16" t="s">
        <v>6852</v>
      </c>
      <c r="H532" s="16" t="s">
        <v>6853</v>
      </c>
      <c r="I532" s="16" t="s">
        <v>1929</v>
      </c>
      <c r="J532" s="16" t="s">
        <v>995</v>
      </c>
      <c r="K532" s="16" t="s">
        <v>1930</v>
      </c>
      <c r="L532" s="16" t="s">
        <v>85</v>
      </c>
      <c r="M532" s="16" t="s">
        <v>1165</v>
      </c>
      <c r="N532" s="16" t="s">
        <v>914</v>
      </c>
      <c r="O532" s="16" t="s">
        <v>1166</v>
      </c>
      <c r="P532" s="16" t="s">
        <v>914</v>
      </c>
      <c r="Q532" s="16" t="s">
        <v>1166</v>
      </c>
      <c r="R532" s="16" t="s">
        <v>915</v>
      </c>
      <c r="S532" s="16" t="s">
        <v>915</v>
      </c>
      <c r="T532" s="16" t="s">
        <v>1167</v>
      </c>
      <c r="U532" s="16" t="s">
        <v>1168</v>
      </c>
      <c r="V532" s="16" t="s">
        <v>916</v>
      </c>
      <c r="W532" s="16" t="s">
        <v>1168</v>
      </c>
      <c r="X532" s="16" t="s">
        <v>934</v>
      </c>
      <c r="Y532" s="16" t="s">
        <v>934</v>
      </c>
      <c r="Z532" s="16" t="s">
        <v>935</v>
      </c>
      <c r="DA532" s="405" t="s">
        <v>5</v>
      </c>
      <c r="DB532" s="405" t="s">
        <v>363</v>
      </c>
      <c r="DC532" s="406" t="s">
        <v>85</v>
      </c>
      <c r="DD532" s="405" t="s">
        <v>917</v>
      </c>
      <c r="DE532" s="405" t="s">
        <v>5</v>
      </c>
      <c r="DF532" s="406" t="s">
        <v>85</v>
      </c>
      <c r="DG532" s="407">
        <v>45849</v>
      </c>
      <c r="DH532" s="405" t="s">
        <v>6850</v>
      </c>
      <c r="DI532" s="406">
        <v>465455</v>
      </c>
      <c r="DJ532" s="408">
        <v>5</v>
      </c>
      <c r="DK532" s="405">
        <v>1</v>
      </c>
      <c r="DL532" s="82">
        <v>468.28</v>
      </c>
      <c r="DM532" s="409">
        <v>2.3413999999999997</v>
      </c>
      <c r="DN532" s="82" t="s">
        <v>85</v>
      </c>
      <c r="DO532" s="82" t="s">
        <v>85</v>
      </c>
      <c r="DP532" s="410" t="s">
        <v>85</v>
      </c>
    </row>
    <row r="533" spans="1:120" x14ac:dyDescent="0.25">
      <c r="A533" s="16" t="s">
        <v>6854</v>
      </c>
      <c r="B533" s="16" t="s">
        <v>6855</v>
      </c>
      <c r="C533" s="16" t="s">
        <v>6856</v>
      </c>
      <c r="D533" s="16" t="s">
        <v>6625</v>
      </c>
      <c r="E533" s="16" t="s">
        <v>6857</v>
      </c>
      <c r="F533" s="16" t="s">
        <v>6858</v>
      </c>
      <c r="G533" s="16" t="s">
        <v>6859</v>
      </c>
      <c r="H533" s="16" t="s">
        <v>6860</v>
      </c>
      <c r="I533" s="16" t="s">
        <v>1026</v>
      </c>
      <c r="J533" s="16" t="s">
        <v>943</v>
      </c>
      <c r="K533" s="16" t="s">
        <v>1027</v>
      </c>
      <c r="L533" s="16" t="s">
        <v>85</v>
      </c>
      <c r="M533" s="16" t="s">
        <v>984</v>
      </c>
      <c r="N533" s="16" t="s">
        <v>914</v>
      </c>
      <c r="O533" s="16" t="s">
        <v>985</v>
      </c>
      <c r="P533" s="16" t="s">
        <v>914</v>
      </c>
      <c r="Q533" s="16" t="s">
        <v>985</v>
      </c>
      <c r="R533" s="16" t="s">
        <v>915</v>
      </c>
      <c r="S533" s="16" t="s">
        <v>915</v>
      </c>
      <c r="T533" s="16" t="s">
        <v>986</v>
      </c>
      <c r="U533" s="16" t="s">
        <v>987</v>
      </c>
      <c r="V533" s="16" t="s">
        <v>916</v>
      </c>
      <c r="W533" s="16" t="s">
        <v>987</v>
      </c>
      <c r="X533" s="16" t="s">
        <v>934</v>
      </c>
      <c r="Y533" s="16" t="s">
        <v>934</v>
      </c>
      <c r="Z533" s="16" t="s">
        <v>935</v>
      </c>
      <c r="DA533" s="405" t="s">
        <v>5</v>
      </c>
      <c r="DB533" s="405" t="s">
        <v>363</v>
      </c>
      <c r="DC533" s="406" t="s">
        <v>85</v>
      </c>
      <c r="DD533" s="405" t="s">
        <v>917</v>
      </c>
      <c r="DE533" s="405" t="s">
        <v>5</v>
      </c>
      <c r="DF533" s="406" t="s">
        <v>85</v>
      </c>
      <c r="DG533" s="407">
        <v>45849</v>
      </c>
      <c r="DH533" s="405" t="s">
        <v>6857</v>
      </c>
      <c r="DI533" s="406">
        <v>465455</v>
      </c>
      <c r="DJ533" s="408">
        <v>5</v>
      </c>
      <c r="DK533" s="405">
        <v>1</v>
      </c>
      <c r="DL533" s="82">
        <v>340.55</v>
      </c>
      <c r="DM533" s="409">
        <v>1.70275</v>
      </c>
      <c r="DN533" s="82" t="s">
        <v>85</v>
      </c>
      <c r="DO533" s="82" t="s">
        <v>85</v>
      </c>
      <c r="DP533" s="410" t="s">
        <v>85</v>
      </c>
    </row>
    <row r="534" spans="1:120" x14ac:dyDescent="0.25">
      <c r="A534" s="16" t="s">
        <v>6861</v>
      </c>
      <c r="B534" s="16" t="s">
        <v>6862</v>
      </c>
      <c r="C534" s="16" t="s">
        <v>6863</v>
      </c>
      <c r="D534" s="16" t="s">
        <v>6625</v>
      </c>
      <c r="E534" s="16" t="s">
        <v>6864</v>
      </c>
      <c r="F534" s="16" t="s">
        <v>6865</v>
      </c>
      <c r="G534" s="16" t="s">
        <v>6866</v>
      </c>
      <c r="H534" s="16" t="s">
        <v>6867</v>
      </c>
      <c r="I534" s="16" t="s">
        <v>3013</v>
      </c>
      <c r="J534" s="16" t="s">
        <v>943</v>
      </c>
      <c r="K534" s="16" t="s">
        <v>3014</v>
      </c>
      <c r="L534" s="16" t="s">
        <v>85</v>
      </c>
      <c r="M534" s="16" t="s">
        <v>984</v>
      </c>
      <c r="N534" s="16" t="s">
        <v>914</v>
      </c>
      <c r="O534" s="16" t="s">
        <v>985</v>
      </c>
      <c r="P534" s="16" t="s">
        <v>914</v>
      </c>
      <c r="Q534" s="16" t="s">
        <v>985</v>
      </c>
      <c r="R534" s="16" t="s">
        <v>915</v>
      </c>
      <c r="S534" s="16" t="s">
        <v>915</v>
      </c>
      <c r="T534" s="16" t="s">
        <v>986</v>
      </c>
      <c r="U534" s="16" t="s">
        <v>987</v>
      </c>
      <c r="V534" s="16" t="s">
        <v>916</v>
      </c>
      <c r="W534" s="16" t="s">
        <v>987</v>
      </c>
      <c r="X534" s="16" t="s">
        <v>934</v>
      </c>
      <c r="Y534" s="16" t="s">
        <v>934</v>
      </c>
      <c r="Z534" s="16" t="s">
        <v>935</v>
      </c>
      <c r="DA534" s="405" t="s">
        <v>5</v>
      </c>
      <c r="DB534" s="405" t="s">
        <v>363</v>
      </c>
      <c r="DC534" s="406" t="s">
        <v>85</v>
      </c>
      <c r="DD534" s="405" t="s">
        <v>917</v>
      </c>
      <c r="DE534" s="405" t="s">
        <v>5</v>
      </c>
      <c r="DF534" s="406" t="s">
        <v>85</v>
      </c>
      <c r="DG534" s="407">
        <v>45849</v>
      </c>
      <c r="DH534" s="405" t="s">
        <v>6864</v>
      </c>
      <c r="DI534" s="406">
        <v>465455</v>
      </c>
      <c r="DJ534" s="408">
        <v>5</v>
      </c>
      <c r="DK534" s="405">
        <v>1</v>
      </c>
      <c r="DL534" s="82">
        <v>340.55</v>
      </c>
      <c r="DM534" s="409">
        <v>1.70275</v>
      </c>
      <c r="DN534" s="82" t="s">
        <v>85</v>
      </c>
      <c r="DO534" s="82" t="s">
        <v>85</v>
      </c>
      <c r="DP534" s="410" t="s">
        <v>85</v>
      </c>
    </row>
    <row r="535" spans="1:120" x14ac:dyDescent="0.25">
      <c r="A535" s="16" t="s">
        <v>6868</v>
      </c>
      <c r="B535" s="16" t="s">
        <v>6869</v>
      </c>
      <c r="C535" s="16" t="s">
        <v>6870</v>
      </c>
      <c r="D535" s="16" t="s">
        <v>6625</v>
      </c>
      <c r="E535" s="16" t="s">
        <v>6871</v>
      </c>
      <c r="F535" s="16" t="s">
        <v>6872</v>
      </c>
      <c r="G535" s="16" t="s">
        <v>6873</v>
      </c>
      <c r="H535" s="16" t="s">
        <v>6872</v>
      </c>
      <c r="I535" s="16" t="s">
        <v>1150</v>
      </c>
      <c r="J535" s="16" t="s">
        <v>943</v>
      </c>
      <c r="K535" s="16" t="s">
        <v>1151</v>
      </c>
      <c r="L535" s="16" t="s">
        <v>85</v>
      </c>
      <c r="M535" s="16" t="s">
        <v>984</v>
      </c>
      <c r="N535" s="16" t="s">
        <v>914</v>
      </c>
      <c r="O535" s="16" t="s">
        <v>985</v>
      </c>
      <c r="P535" s="16" t="s">
        <v>914</v>
      </c>
      <c r="Q535" s="16" t="s">
        <v>985</v>
      </c>
      <c r="R535" s="16" t="s">
        <v>915</v>
      </c>
      <c r="S535" s="16" t="s">
        <v>915</v>
      </c>
      <c r="T535" s="16" t="s">
        <v>986</v>
      </c>
      <c r="U535" s="16" t="s">
        <v>987</v>
      </c>
      <c r="V535" s="16" t="s">
        <v>916</v>
      </c>
      <c r="W535" s="16" t="s">
        <v>987</v>
      </c>
      <c r="X535" s="16" t="s">
        <v>934</v>
      </c>
      <c r="Y535" s="16" t="s">
        <v>934</v>
      </c>
      <c r="Z535" s="16" t="s">
        <v>935</v>
      </c>
      <c r="DA535" s="405" t="s">
        <v>5</v>
      </c>
      <c r="DB535" s="405" t="s">
        <v>363</v>
      </c>
      <c r="DC535" s="406" t="s">
        <v>85</v>
      </c>
      <c r="DD535" s="405" t="s">
        <v>917</v>
      </c>
      <c r="DE535" s="405" t="s">
        <v>5</v>
      </c>
      <c r="DF535" s="406" t="s">
        <v>85</v>
      </c>
      <c r="DG535" s="407">
        <v>45849</v>
      </c>
      <c r="DH535" s="405" t="s">
        <v>6871</v>
      </c>
      <c r="DI535" s="406">
        <v>465455</v>
      </c>
      <c r="DJ535" s="408">
        <v>5</v>
      </c>
      <c r="DK535" s="405">
        <v>1</v>
      </c>
      <c r="DL535" s="82">
        <v>340.55</v>
      </c>
      <c r="DM535" s="409">
        <v>1.70275</v>
      </c>
      <c r="DN535" s="82" t="s">
        <v>85</v>
      </c>
      <c r="DO535" s="82" t="s">
        <v>85</v>
      </c>
      <c r="DP535" s="410" t="s">
        <v>85</v>
      </c>
    </row>
    <row r="536" spans="1:120" x14ac:dyDescent="0.25">
      <c r="A536" s="16" t="s">
        <v>6874</v>
      </c>
      <c r="B536" s="16" t="s">
        <v>6875</v>
      </c>
      <c r="C536" s="16" t="s">
        <v>6876</v>
      </c>
      <c r="D536" s="16" t="s">
        <v>6625</v>
      </c>
      <c r="E536" s="16" t="s">
        <v>6877</v>
      </c>
      <c r="F536" s="16" t="s">
        <v>6878</v>
      </c>
      <c r="G536" s="16" t="s">
        <v>6879</v>
      </c>
      <c r="H536" s="16" t="s">
        <v>6878</v>
      </c>
      <c r="I536" s="16" t="s">
        <v>4124</v>
      </c>
      <c r="J536" s="16" t="s">
        <v>1109</v>
      </c>
      <c r="K536" s="16" t="s">
        <v>4125</v>
      </c>
      <c r="L536" s="16" t="s">
        <v>85</v>
      </c>
      <c r="M536" s="16" t="s">
        <v>1311</v>
      </c>
      <c r="N536" s="16" t="s">
        <v>914</v>
      </c>
      <c r="O536" s="16" t="s">
        <v>1312</v>
      </c>
      <c r="P536" s="16" t="s">
        <v>914</v>
      </c>
      <c r="Q536" s="16" t="s">
        <v>1312</v>
      </c>
      <c r="R536" s="16" t="s">
        <v>915</v>
      </c>
      <c r="S536" s="16" t="s">
        <v>915</v>
      </c>
      <c r="T536" s="16" t="s">
        <v>1311</v>
      </c>
      <c r="U536" s="16" t="s">
        <v>1313</v>
      </c>
      <c r="V536" s="16" t="s">
        <v>916</v>
      </c>
      <c r="W536" s="16" t="s">
        <v>1313</v>
      </c>
      <c r="X536" s="16" t="s">
        <v>934</v>
      </c>
      <c r="Y536" s="16" t="s">
        <v>934</v>
      </c>
      <c r="Z536" s="16" t="s">
        <v>935</v>
      </c>
      <c r="DA536" s="405" t="s">
        <v>5</v>
      </c>
      <c r="DB536" s="405" t="s">
        <v>363</v>
      </c>
      <c r="DC536" s="406" t="s">
        <v>85</v>
      </c>
      <c r="DD536" s="405" t="s">
        <v>917</v>
      </c>
      <c r="DE536" s="405" t="s">
        <v>5</v>
      </c>
      <c r="DF536" s="406" t="s">
        <v>85</v>
      </c>
      <c r="DG536" s="407">
        <v>45849</v>
      </c>
      <c r="DH536" s="405" t="s">
        <v>6877</v>
      </c>
      <c r="DI536" s="406">
        <v>465455</v>
      </c>
      <c r="DJ536" s="408">
        <v>5</v>
      </c>
      <c r="DK536" s="405">
        <v>1</v>
      </c>
      <c r="DL536" s="82">
        <v>531.54</v>
      </c>
      <c r="DM536" s="409">
        <v>2.6576999999999997</v>
      </c>
      <c r="DN536" s="82" t="s">
        <v>85</v>
      </c>
      <c r="DO536" s="82" t="s">
        <v>85</v>
      </c>
      <c r="DP536" s="410" t="s">
        <v>85</v>
      </c>
    </row>
    <row r="537" spans="1:120" x14ac:dyDescent="0.25">
      <c r="A537" s="16" t="s">
        <v>6345</v>
      </c>
      <c r="B537" s="16" t="s">
        <v>6346</v>
      </c>
      <c r="C537" s="16" t="s">
        <v>6347</v>
      </c>
      <c r="D537" s="16" t="s">
        <v>6340</v>
      </c>
      <c r="E537" s="16" t="s">
        <v>6348</v>
      </c>
      <c r="F537" s="16" t="s">
        <v>6349</v>
      </c>
      <c r="G537" s="16" t="s">
        <v>6350</v>
      </c>
      <c r="H537" s="16" t="s">
        <v>6351</v>
      </c>
      <c r="I537" s="16" t="s">
        <v>1017</v>
      </c>
      <c r="J537" s="16" t="s">
        <v>995</v>
      </c>
      <c r="K537" s="16" t="s">
        <v>1018</v>
      </c>
      <c r="L537" s="16" t="s">
        <v>85</v>
      </c>
      <c r="M537" s="16" t="s">
        <v>1165</v>
      </c>
      <c r="N537" s="16" t="s">
        <v>914</v>
      </c>
      <c r="O537" s="16" t="s">
        <v>1166</v>
      </c>
      <c r="P537" s="16" t="s">
        <v>914</v>
      </c>
      <c r="Q537" s="16" t="s">
        <v>1166</v>
      </c>
      <c r="R537" s="16" t="s">
        <v>915</v>
      </c>
      <c r="S537" s="16" t="s">
        <v>915</v>
      </c>
      <c r="T537" s="16" t="s">
        <v>1167</v>
      </c>
      <c r="U537" s="16" t="s">
        <v>1168</v>
      </c>
      <c r="V537" s="16" t="s">
        <v>916</v>
      </c>
      <c r="W537" s="16" t="s">
        <v>1168</v>
      </c>
      <c r="X537" s="16" t="s">
        <v>934</v>
      </c>
      <c r="Y537" s="16" t="s">
        <v>934</v>
      </c>
      <c r="Z537" s="16" t="s">
        <v>935</v>
      </c>
      <c r="DA537" s="405" t="s">
        <v>5</v>
      </c>
      <c r="DB537" s="405" t="s">
        <v>363</v>
      </c>
      <c r="DC537" s="406" t="s">
        <v>85</v>
      </c>
      <c r="DD537" s="405" t="s">
        <v>917</v>
      </c>
      <c r="DE537" s="405" t="s">
        <v>5</v>
      </c>
      <c r="DF537" s="406" t="s">
        <v>85</v>
      </c>
      <c r="DG537" s="407">
        <v>45850</v>
      </c>
      <c r="DH537" s="405" t="s">
        <v>6348</v>
      </c>
      <c r="DI537" s="406">
        <v>465455</v>
      </c>
      <c r="DJ537" s="408">
        <v>5</v>
      </c>
      <c r="DK537" s="405">
        <v>1</v>
      </c>
      <c r="DL537" s="82">
        <v>468.28</v>
      </c>
      <c r="DM537" s="409">
        <v>2.3413999999999997</v>
      </c>
      <c r="DN537" s="82" t="s">
        <v>85</v>
      </c>
      <c r="DO537" s="82" t="s">
        <v>85</v>
      </c>
      <c r="DP537" s="410" t="s">
        <v>85</v>
      </c>
    </row>
    <row r="538" spans="1:120" x14ac:dyDescent="0.25">
      <c r="A538" s="16" t="s">
        <v>6352</v>
      </c>
      <c r="B538" s="16" t="s">
        <v>6353</v>
      </c>
      <c r="C538" s="16" t="s">
        <v>6354</v>
      </c>
      <c r="D538" s="16" t="s">
        <v>6340</v>
      </c>
      <c r="E538" s="16" t="s">
        <v>6355</v>
      </c>
      <c r="F538" s="16" t="s">
        <v>6356</v>
      </c>
      <c r="G538" s="16" t="s">
        <v>6357</v>
      </c>
      <c r="H538" s="16" t="s">
        <v>6358</v>
      </c>
      <c r="I538" s="16" t="s">
        <v>1099</v>
      </c>
      <c r="J538" s="16" t="s">
        <v>943</v>
      </c>
      <c r="K538" s="16" t="s">
        <v>1100</v>
      </c>
      <c r="L538" s="16" t="s">
        <v>85</v>
      </c>
      <c r="M538" s="16" t="s">
        <v>984</v>
      </c>
      <c r="N538" s="16" t="s">
        <v>914</v>
      </c>
      <c r="O538" s="16" t="s">
        <v>985</v>
      </c>
      <c r="P538" s="16" t="s">
        <v>914</v>
      </c>
      <c r="Q538" s="16" t="s">
        <v>985</v>
      </c>
      <c r="R538" s="16" t="s">
        <v>915</v>
      </c>
      <c r="S538" s="16" t="s">
        <v>915</v>
      </c>
      <c r="T538" s="16" t="s">
        <v>986</v>
      </c>
      <c r="U538" s="16" t="s">
        <v>987</v>
      </c>
      <c r="V538" s="16" t="s">
        <v>916</v>
      </c>
      <c r="W538" s="16" t="s">
        <v>987</v>
      </c>
      <c r="X538" s="16" t="s">
        <v>934</v>
      </c>
      <c r="Y538" s="16" t="s">
        <v>934</v>
      </c>
      <c r="Z538" s="16" t="s">
        <v>935</v>
      </c>
      <c r="DA538" s="405" t="s">
        <v>5</v>
      </c>
      <c r="DB538" s="405" t="s">
        <v>363</v>
      </c>
      <c r="DC538" s="406" t="s">
        <v>85</v>
      </c>
      <c r="DD538" s="405" t="s">
        <v>917</v>
      </c>
      <c r="DE538" s="405" t="s">
        <v>5</v>
      </c>
      <c r="DF538" s="406" t="s">
        <v>85</v>
      </c>
      <c r="DG538" s="407">
        <v>45850</v>
      </c>
      <c r="DH538" s="405" t="s">
        <v>6355</v>
      </c>
      <c r="DI538" s="406">
        <v>465455</v>
      </c>
      <c r="DJ538" s="408">
        <v>5</v>
      </c>
      <c r="DK538" s="405">
        <v>1</v>
      </c>
      <c r="DL538" s="82">
        <v>340.55</v>
      </c>
      <c r="DM538" s="409">
        <v>1.70275</v>
      </c>
      <c r="DN538" s="82" t="s">
        <v>85</v>
      </c>
      <c r="DO538" s="82" t="s">
        <v>85</v>
      </c>
      <c r="DP538" s="410" t="s">
        <v>85</v>
      </c>
    </row>
    <row r="539" spans="1:120" x14ac:dyDescent="0.25">
      <c r="A539" s="16" t="s">
        <v>6359</v>
      </c>
      <c r="B539" s="16" t="s">
        <v>6360</v>
      </c>
      <c r="C539" s="16" t="s">
        <v>6361</v>
      </c>
      <c r="D539" s="16" t="s">
        <v>6340</v>
      </c>
      <c r="E539" s="16" t="s">
        <v>6362</v>
      </c>
      <c r="F539" s="16" t="s">
        <v>6363</v>
      </c>
      <c r="G539" s="16" t="s">
        <v>6364</v>
      </c>
      <c r="H539" s="16" t="s">
        <v>6363</v>
      </c>
      <c r="I539" s="16" t="s">
        <v>1682</v>
      </c>
      <c r="J539" s="16" t="s">
        <v>943</v>
      </c>
      <c r="K539" s="16" t="s">
        <v>1683</v>
      </c>
      <c r="L539" s="16" t="s">
        <v>85</v>
      </c>
      <c r="M539" s="16" t="s">
        <v>984</v>
      </c>
      <c r="N539" s="16" t="s">
        <v>914</v>
      </c>
      <c r="O539" s="16" t="s">
        <v>985</v>
      </c>
      <c r="P539" s="16" t="s">
        <v>914</v>
      </c>
      <c r="Q539" s="16" t="s">
        <v>985</v>
      </c>
      <c r="R539" s="16" t="s">
        <v>915</v>
      </c>
      <c r="S539" s="16" t="s">
        <v>915</v>
      </c>
      <c r="T539" s="16" t="s">
        <v>986</v>
      </c>
      <c r="U539" s="16" t="s">
        <v>987</v>
      </c>
      <c r="V539" s="16" t="s">
        <v>916</v>
      </c>
      <c r="W539" s="16" t="s">
        <v>987</v>
      </c>
      <c r="X539" s="16" t="s">
        <v>934</v>
      </c>
      <c r="Y539" s="16" t="s">
        <v>934</v>
      </c>
      <c r="Z539" s="16" t="s">
        <v>935</v>
      </c>
      <c r="DA539" s="405" t="s">
        <v>5</v>
      </c>
      <c r="DB539" s="405" t="s">
        <v>363</v>
      </c>
      <c r="DC539" s="406" t="s">
        <v>85</v>
      </c>
      <c r="DD539" s="405" t="s">
        <v>917</v>
      </c>
      <c r="DE539" s="405" t="s">
        <v>5</v>
      </c>
      <c r="DF539" s="406" t="s">
        <v>85</v>
      </c>
      <c r="DG539" s="407">
        <v>45850</v>
      </c>
      <c r="DH539" s="405" t="s">
        <v>6362</v>
      </c>
      <c r="DI539" s="406">
        <v>465455</v>
      </c>
      <c r="DJ539" s="408">
        <v>5</v>
      </c>
      <c r="DK539" s="405">
        <v>1</v>
      </c>
      <c r="DL539" s="82">
        <v>340.55</v>
      </c>
      <c r="DM539" s="409">
        <v>1.70275</v>
      </c>
      <c r="DN539" s="82" t="s">
        <v>85</v>
      </c>
      <c r="DO539" s="82" t="s">
        <v>85</v>
      </c>
      <c r="DP539" s="410" t="s">
        <v>85</v>
      </c>
    </row>
    <row r="540" spans="1:120" x14ac:dyDescent="0.25">
      <c r="A540" s="16" t="s">
        <v>6359</v>
      </c>
      <c r="B540" s="16" t="s">
        <v>6360</v>
      </c>
      <c r="C540" s="16" t="s">
        <v>6361</v>
      </c>
      <c r="D540" s="16" t="s">
        <v>6340</v>
      </c>
      <c r="E540" s="16" t="s">
        <v>6362</v>
      </c>
      <c r="F540" s="16" t="s">
        <v>6363</v>
      </c>
      <c r="G540" s="16" t="s">
        <v>6364</v>
      </c>
      <c r="H540" s="16" t="s">
        <v>6363</v>
      </c>
      <c r="I540" s="16" t="s">
        <v>2997</v>
      </c>
      <c r="J540" s="16" t="s">
        <v>943</v>
      </c>
      <c r="K540" s="16" t="s">
        <v>2998</v>
      </c>
      <c r="L540" s="16" t="s">
        <v>85</v>
      </c>
      <c r="M540" s="16" t="s">
        <v>984</v>
      </c>
      <c r="N540" s="16" t="s">
        <v>914</v>
      </c>
      <c r="O540" s="16" t="s">
        <v>985</v>
      </c>
      <c r="P540" s="16" t="s">
        <v>914</v>
      </c>
      <c r="Q540" s="16" t="s">
        <v>985</v>
      </c>
      <c r="R540" s="16" t="s">
        <v>915</v>
      </c>
      <c r="S540" s="16" t="s">
        <v>915</v>
      </c>
      <c r="T540" s="16" t="s">
        <v>986</v>
      </c>
      <c r="U540" s="16" t="s">
        <v>987</v>
      </c>
      <c r="V540" s="16" t="s">
        <v>916</v>
      </c>
      <c r="W540" s="16" t="s">
        <v>987</v>
      </c>
      <c r="X540" s="16" t="s">
        <v>934</v>
      </c>
      <c r="Y540" s="16" t="s">
        <v>934</v>
      </c>
      <c r="Z540" s="16" t="s">
        <v>935</v>
      </c>
      <c r="DA540" s="405" t="s">
        <v>5</v>
      </c>
      <c r="DB540" s="405" t="s">
        <v>363</v>
      </c>
      <c r="DC540" s="406" t="s">
        <v>85</v>
      </c>
      <c r="DD540" s="405" t="s">
        <v>917</v>
      </c>
      <c r="DE540" s="405" t="s">
        <v>5</v>
      </c>
      <c r="DF540" s="406" t="s">
        <v>85</v>
      </c>
      <c r="DG540" s="407">
        <v>45850</v>
      </c>
      <c r="DH540" s="405" t="s">
        <v>6362</v>
      </c>
      <c r="DI540" s="406">
        <v>465455</v>
      </c>
      <c r="DJ540" s="408">
        <v>5</v>
      </c>
      <c r="DK540" s="405">
        <v>1</v>
      </c>
      <c r="DL540" s="82">
        <v>340.55</v>
      </c>
      <c r="DM540" s="409">
        <v>1.70275</v>
      </c>
      <c r="DN540" s="82" t="s">
        <v>85</v>
      </c>
      <c r="DO540" s="82" t="s">
        <v>85</v>
      </c>
      <c r="DP540" s="410" t="s">
        <v>85</v>
      </c>
    </row>
    <row r="541" spans="1:120" x14ac:dyDescent="0.25">
      <c r="A541" s="16" t="s">
        <v>6365</v>
      </c>
      <c r="B541" s="16" t="s">
        <v>6366</v>
      </c>
      <c r="C541" s="16" t="s">
        <v>6367</v>
      </c>
      <c r="D541" s="16" t="s">
        <v>6340</v>
      </c>
      <c r="E541" s="16" t="s">
        <v>6368</v>
      </c>
      <c r="F541" s="16" t="s">
        <v>6369</v>
      </c>
      <c r="G541" s="16" t="s">
        <v>6370</v>
      </c>
      <c r="H541" s="16" t="s">
        <v>6369</v>
      </c>
      <c r="I541" s="16" t="s">
        <v>2793</v>
      </c>
      <c r="J541" s="16" t="s">
        <v>943</v>
      </c>
      <c r="K541" s="16" t="s">
        <v>2794</v>
      </c>
      <c r="L541" s="16" t="s">
        <v>85</v>
      </c>
      <c r="M541" s="16" t="s">
        <v>984</v>
      </c>
      <c r="N541" s="16" t="s">
        <v>914</v>
      </c>
      <c r="O541" s="16" t="s">
        <v>985</v>
      </c>
      <c r="P541" s="16" t="s">
        <v>914</v>
      </c>
      <c r="Q541" s="16" t="s">
        <v>985</v>
      </c>
      <c r="R541" s="16" t="s">
        <v>915</v>
      </c>
      <c r="S541" s="16" t="s">
        <v>915</v>
      </c>
      <c r="T541" s="16" t="s">
        <v>986</v>
      </c>
      <c r="U541" s="16" t="s">
        <v>987</v>
      </c>
      <c r="V541" s="16" t="s">
        <v>916</v>
      </c>
      <c r="W541" s="16" t="s">
        <v>987</v>
      </c>
      <c r="X541" s="16" t="s">
        <v>934</v>
      </c>
      <c r="Y541" s="16" t="s">
        <v>934</v>
      </c>
      <c r="Z541" s="16" t="s">
        <v>935</v>
      </c>
      <c r="DA541" s="405" t="s">
        <v>5</v>
      </c>
      <c r="DB541" s="405" t="s">
        <v>363</v>
      </c>
      <c r="DC541" s="406" t="s">
        <v>85</v>
      </c>
      <c r="DD541" s="405" t="s">
        <v>917</v>
      </c>
      <c r="DE541" s="405" t="s">
        <v>5</v>
      </c>
      <c r="DF541" s="406" t="s">
        <v>85</v>
      </c>
      <c r="DG541" s="407">
        <v>45850</v>
      </c>
      <c r="DH541" s="405" t="s">
        <v>6368</v>
      </c>
      <c r="DI541" s="406">
        <v>465455</v>
      </c>
      <c r="DJ541" s="408">
        <v>5</v>
      </c>
      <c r="DK541" s="405">
        <v>1</v>
      </c>
      <c r="DL541" s="82">
        <v>340.55</v>
      </c>
      <c r="DM541" s="409">
        <v>1.70275</v>
      </c>
      <c r="DN541" s="82" t="s">
        <v>85</v>
      </c>
      <c r="DO541" s="82" t="s">
        <v>85</v>
      </c>
      <c r="DP541" s="410" t="s">
        <v>85</v>
      </c>
    </row>
    <row r="542" spans="1:120" x14ac:dyDescent="0.25">
      <c r="A542" s="16" t="s">
        <v>6371</v>
      </c>
      <c r="B542" s="16" t="s">
        <v>6372</v>
      </c>
      <c r="C542" s="16" t="s">
        <v>6373</v>
      </c>
      <c r="D542" s="16" t="s">
        <v>6340</v>
      </c>
      <c r="E542" s="16" t="s">
        <v>6374</v>
      </c>
      <c r="F542" s="16" t="s">
        <v>6375</v>
      </c>
      <c r="G542" s="16" t="s">
        <v>6376</v>
      </c>
      <c r="H542" s="16" t="s">
        <v>6375</v>
      </c>
      <c r="I542" s="16" t="s">
        <v>1017</v>
      </c>
      <c r="J542" s="16" t="s">
        <v>995</v>
      </c>
      <c r="K542" s="16" t="s">
        <v>1018</v>
      </c>
      <c r="L542" s="16" t="s">
        <v>85</v>
      </c>
      <c r="M542" s="16" t="s">
        <v>1165</v>
      </c>
      <c r="N542" s="16" t="s">
        <v>914</v>
      </c>
      <c r="O542" s="16" t="s">
        <v>1166</v>
      </c>
      <c r="P542" s="16" t="s">
        <v>914</v>
      </c>
      <c r="Q542" s="16" t="s">
        <v>1166</v>
      </c>
      <c r="R542" s="16" t="s">
        <v>915</v>
      </c>
      <c r="S542" s="16" t="s">
        <v>915</v>
      </c>
      <c r="T542" s="16" t="s">
        <v>1167</v>
      </c>
      <c r="U542" s="16" t="s">
        <v>1168</v>
      </c>
      <c r="V542" s="16" t="s">
        <v>916</v>
      </c>
      <c r="W542" s="16" t="s">
        <v>1168</v>
      </c>
      <c r="X542" s="16" t="s">
        <v>934</v>
      </c>
      <c r="Y542" s="16" t="s">
        <v>934</v>
      </c>
      <c r="Z542" s="16" t="s">
        <v>935</v>
      </c>
      <c r="DA542" s="405" t="s">
        <v>5</v>
      </c>
      <c r="DB542" s="405" t="s">
        <v>363</v>
      </c>
      <c r="DC542" s="406" t="s">
        <v>85</v>
      </c>
      <c r="DD542" s="405" t="s">
        <v>917</v>
      </c>
      <c r="DE542" s="405" t="s">
        <v>5</v>
      </c>
      <c r="DF542" s="406" t="s">
        <v>85</v>
      </c>
      <c r="DG542" s="407">
        <v>45850</v>
      </c>
      <c r="DH542" s="405" t="s">
        <v>6374</v>
      </c>
      <c r="DI542" s="406">
        <v>465455</v>
      </c>
      <c r="DJ542" s="408">
        <v>5</v>
      </c>
      <c r="DK542" s="405">
        <v>1</v>
      </c>
      <c r="DL542" s="82">
        <v>468.28</v>
      </c>
      <c r="DM542" s="409">
        <v>2.3413999999999997</v>
      </c>
      <c r="DN542" s="82" t="s">
        <v>85</v>
      </c>
      <c r="DO542" s="82" t="s">
        <v>85</v>
      </c>
      <c r="DP542" s="410" t="s">
        <v>85</v>
      </c>
    </row>
    <row r="543" spans="1:120" x14ac:dyDescent="0.25">
      <c r="A543" s="16" t="s">
        <v>6377</v>
      </c>
      <c r="B543" s="16" t="s">
        <v>6378</v>
      </c>
      <c r="C543" s="16" t="s">
        <v>6379</v>
      </c>
      <c r="D543" s="16" t="s">
        <v>6340</v>
      </c>
      <c r="E543" s="16" t="s">
        <v>6380</v>
      </c>
      <c r="F543" s="16" t="s">
        <v>6381</v>
      </c>
      <c r="G543" s="16" t="s">
        <v>6382</v>
      </c>
      <c r="H543" s="16" t="s">
        <v>6383</v>
      </c>
      <c r="I543" s="16" t="s">
        <v>1150</v>
      </c>
      <c r="J543" s="16" t="s">
        <v>943</v>
      </c>
      <c r="K543" s="16" t="s">
        <v>1151</v>
      </c>
      <c r="L543" s="16" t="s">
        <v>85</v>
      </c>
      <c r="M543" s="16" t="s">
        <v>984</v>
      </c>
      <c r="N543" s="16" t="s">
        <v>914</v>
      </c>
      <c r="O543" s="16" t="s">
        <v>985</v>
      </c>
      <c r="P543" s="16" t="s">
        <v>914</v>
      </c>
      <c r="Q543" s="16" t="s">
        <v>985</v>
      </c>
      <c r="R543" s="16" t="s">
        <v>915</v>
      </c>
      <c r="S543" s="16" t="s">
        <v>915</v>
      </c>
      <c r="T543" s="16" t="s">
        <v>986</v>
      </c>
      <c r="U543" s="16" t="s">
        <v>987</v>
      </c>
      <c r="V543" s="16" t="s">
        <v>916</v>
      </c>
      <c r="W543" s="16" t="s">
        <v>987</v>
      </c>
      <c r="X543" s="16" t="s">
        <v>934</v>
      </c>
      <c r="Y543" s="16" t="s">
        <v>934</v>
      </c>
      <c r="Z543" s="16" t="s">
        <v>935</v>
      </c>
      <c r="DA543" s="405" t="s">
        <v>5</v>
      </c>
      <c r="DB543" s="405" t="s">
        <v>363</v>
      </c>
      <c r="DC543" s="406" t="s">
        <v>85</v>
      </c>
      <c r="DD543" s="405" t="s">
        <v>917</v>
      </c>
      <c r="DE543" s="405" t="s">
        <v>5</v>
      </c>
      <c r="DF543" s="406" t="s">
        <v>85</v>
      </c>
      <c r="DG543" s="407">
        <v>45850</v>
      </c>
      <c r="DH543" s="405" t="s">
        <v>6380</v>
      </c>
      <c r="DI543" s="406">
        <v>465455</v>
      </c>
      <c r="DJ543" s="408">
        <v>5</v>
      </c>
      <c r="DK543" s="405">
        <v>1</v>
      </c>
      <c r="DL543" s="82">
        <v>340.55</v>
      </c>
      <c r="DM543" s="409">
        <v>1.70275</v>
      </c>
      <c r="DN543" s="82" t="s">
        <v>85</v>
      </c>
      <c r="DO543" s="82" t="s">
        <v>85</v>
      </c>
      <c r="DP543" s="410" t="s">
        <v>85</v>
      </c>
    </row>
    <row r="544" spans="1:120" x14ac:dyDescent="0.25">
      <c r="A544" s="16" t="s">
        <v>6384</v>
      </c>
      <c r="B544" s="16" t="s">
        <v>6385</v>
      </c>
      <c r="C544" s="16" t="s">
        <v>6386</v>
      </c>
      <c r="D544" s="16" t="s">
        <v>6340</v>
      </c>
      <c r="E544" s="16" t="s">
        <v>6387</v>
      </c>
      <c r="F544" s="16" t="s">
        <v>6388</v>
      </c>
      <c r="G544" s="16" t="s">
        <v>6389</v>
      </c>
      <c r="H544" s="16" t="s">
        <v>6388</v>
      </c>
      <c r="I544" s="16" t="s">
        <v>1278</v>
      </c>
      <c r="J544" s="16" t="s">
        <v>1109</v>
      </c>
      <c r="K544" s="16" t="s">
        <v>1279</v>
      </c>
      <c r="L544" s="16" t="s">
        <v>85</v>
      </c>
      <c r="M544" s="16" t="s">
        <v>1311</v>
      </c>
      <c r="N544" s="16" t="s">
        <v>914</v>
      </c>
      <c r="O544" s="16" t="s">
        <v>1312</v>
      </c>
      <c r="P544" s="16" t="s">
        <v>914</v>
      </c>
      <c r="Q544" s="16" t="s">
        <v>1312</v>
      </c>
      <c r="R544" s="16" t="s">
        <v>915</v>
      </c>
      <c r="S544" s="16" t="s">
        <v>915</v>
      </c>
      <c r="T544" s="16" t="s">
        <v>1311</v>
      </c>
      <c r="U544" s="16" t="s">
        <v>1313</v>
      </c>
      <c r="V544" s="16" t="s">
        <v>916</v>
      </c>
      <c r="W544" s="16" t="s">
        <v>1313</v>
      </c>
      <c r="X544" s="16" t="s">
        <v>934</v>
      </c>
      <c r="Y544" s="16" t="s">
        <v>934</v>
      </c>
      <c r="Z544" s="16" t="s">
        <v>935</v>
      </c>
      <c r="DA544" s="405" t="s">
        <v>5</v>
      </c>
      <c r="DB544" s="405" t="s">
        <v>363</v>
      </c>
      <c r="DC544" s="406" t="s">
        <v>85</v>
      </c>
      <c r="DD544" s="405" t="s">
        <v>917</v>
      </c>
      <c r="DE544" s="405" t="s">
        <v>5</v>
      </c>
      <c r="DF544" s="406" t="s">
        <v>85</v>
      </c>
      <c r="DG544" s="407">
        <v>45850</v>
      </c>
      <c r="DH544" s="405" t="s">
        <v>6387</v>
      </c>
      <c r="DI544" s="406">
        <v>465455</v>
      </c>
      <c r="DJ544" s="408">
        <v>5</v>
      </c>
      <c r="DK544" s="405">
        <v>1</v>
      </c>
      <c r="DL544" s="82">
        <v>531.54</v>
      </c>
      <c r="DM544" s="409">
        <v>2.6576999999999997</v>
      </c>
      <c r="DN544" s="82" t="s">
        <v>85</v>
      </c>
      <c r="DO544" s="82" t="s">
        <v>85</v>
      </c>
      <c r="DP544" s="410" t="s">
        <v>85</v>
      </c>
    </row>
    <row r="545" spans="1:120" x14ac:dyDescent="0.25">
      <c r="A545" s="16" t="s">
        <v>6390</v>
      </c>
      <c r="B545" s="16" t="s">
        <v>6391</v>
      </c>
      <c r="C545" s="16" t="s">
        <v>6392</v>
      </c>
      <c r="D545" s="16" t="s">
        <v>6340</v>
      </c>
      <c r="E545" s="16" t="s">
        <v>6393</v>
      </c>
      <c r="F545" s="16" t="s">
        <v>6394</v>
      </c>
      <c r="G545" s="16" t="s">
        <v>6395</v>
      </c>
      <c r="H545" s="16" t="s">
        <v>6396</v>
      </c>
      <c r="I545" s="16" t="s">
        <v>1377</v>
      </c>
      <c r="J545" s="16" t="s">
        <v>943</v>
      </c>
      <c r="K545" s="16" t="s">
        <v>1378</v>
      </c>
      <c r="L545" s="16" t="s">
        <v>85</v>
      </c>
      <c r="M545" s="16" t="s">
        <v>984</v>
      </c>
      <c r="N545" s="16" t="s">
        <v>914</v>
      </c>
      <c r="O545" s="16" t="s">
        <v>985</v>
      </c>
      <c r="P545" s="16" t="s">
        <v>914</v>
      </c>
      <c r="Q545" s="16" t="s">
        <v>985</v>
      </c>
      <c r="R545" s="16" t="s">
        <v>915</v>
      </c>
      <c r="S545" s="16" t="s">
        <v>915</v>
      </c>
      <c r="T545" s="16" t="s">
        <v>986</v>
      </c>
      <c r="U545" s="16" t="s">
        <v>987</v>
      </c>
      <c r="V545" s="16" t="s">
        <v>916</v>
      </c>
      <c r="W545" s="16" t="s">
        <v>987</v>
      </c>
      <c r="X545" s="16" t="s">
        <v>934</v>
      </c>
      <c r="Y545" s="16" t="s">
        <v>934</v>
      </c>
      <c r="Z545" s="16" t="s">
        <v>935</v>
      </c>
      <c r="DA545" s="405" t="s">
        <v>5</v>
      </c>
      <c r="DB545" s="405" t="s">
        <v>363</v>
      </c>
      <c r="DC545" s="406" t="s">
        <v>85</v>
      </c>
      <c r="DD545" s="405" t="s">
        <v>917</v>
      </c>
      <c r="DE545" s="405" t="s">
        <v>5</v>
      </c>
      <c r="DF545" s="406" t="s">
        <v>85</v>
      </c>
      <c r="DG545" s="407">
        <v>45850</v>
      </c>
      <c r="DH545" s="405" t="s">
        <v>6393</v>
      </c>
      <c r="DI545" s="406">
        <v>465455</v>
      </c>
      <c r="DJ545" s="408">
        <v>5</v>
      </c>
      <c r="DK545" s="405">
        <v>1</v>
      </c>
      <c r="DL545" s="82">
        <v>340.55</v>
      </c>
      <c r="DM545" s="409">
        <v>1.70275</v>
      </c>
      <c r="DN545" s="82" t="s">
        <v>85</v>
      </c>
      <c r="DO545" s="82" t="s">
        <v>85</v>
      </c>
      <c r="DP545" s="410" t="s">
        <v>85</v>
      </c>
    </row>
    <row r="546" spans="1:120" x14ac:dyDescent="0.25">
      <c r="A546" s="16" t="s">
        <v>6397</v>
      </c>
      <c r="B546" s="16" t="s">
        <v>6398</v>
      </c>
      <c r="C546" s="16" t="s">
        <v>6399</v>
      </c>
      <c r="D546" s="16" t="s">
        <v>6340</v>
      </c>
      <c r="E546" s="16" t="s">
        <v>6400</v>
      </c>
      <c r="F546" s="16" t="s">
        <v>6401</v>
      </c>
      <c r="G546" s="16" t="s">
        <v>6402</v>
      </c>
      <c r="H546" s="16" t="s">
        <v>6401</v>
      </c>
      <c r="I546" s="16" t="s">
        <v>968</v>
      </c>
      <c r="J546" s="16" t="s">
        <v>943</v>
      </c>
      <c r="K546" s="16" t="s">
        <v>969</v>
      </c>
      <c r="L546" s="16" t="s">
        <v>85</v>
      </c>
      <c r="M546" s="16" t="s">
        <v>984</v>
      </c>
      <c r="N546" s="16" t="s">
        <v>914</v>
      </c>
      <c r="O546" s="16" t="s">
        <v>985</v>
      </c>
      <c r="P546" s="16" t="s">
        <v>914</v>
      </c>
      <c r="Q546" s="16" t="s">
        <v>985</v>
      </c>
      <c r="R546" s="16" t="s">
        <v>915</v>
      </c>
      <c r="S546" s="16" t="s">
        <v>915</v>
      </c>
      <c r="T546" s="16" t="s">
        <v>986</v>
      </c>
      <c r="U546" s="16" t="s">
        <v>987</v>
      </c>
      <c r="V546" s="16" t="s">
        <v>916</v>
      </c>
      <c r="W546" s="16" t="s">
        <v>987</v>
      </c>
      <c r="X546" s="16" t="s">
        <v>934</v>
      </c>
      <c r="Y546" s="16" t="s">
        <v>934</v>
      </c>
      <c r="Z546" s="16" t="s">
        <v>935</v>
      </c>
      <c r="DA546" s="405" t="s">
        <v>5</v>
      </c>
      <c r="DB546" s="405" t="s">
        <v>363</v>
      </c>
      <c r="DC546" s="406" t="s">
        <v>85</v>
      </c>
      <c r="DD546" s="405" t="s">
        <v>917</v>
      </c>
      <c r="DE546" s="405" t="s">
        <v>5</v>
      </c>
      <c r="DF546" s="406" t="s">
        <v>85</v>
      </c>
      <c r="DG546" s="407">
        <v>45850</v>
      </c>
      <c r="DH546" s="405" t="s">
        <v>6400</v>
      </c>
      <c r="DI546" s="406">
        <v>465455</v>
      </c>
      <c r="DJ546" s="408">
        <v>5</v>
      </c>
      <c r="DK546" s="405">
        <v>1</v>
      </c>
      <c r="DL546" s="82">
        <v>340.55</v>
      </c>
      <c r="DM546" s="409">
        <v>1.70275</v>
      </c>
      <c r="DN546" s="82" t="s">
        <v>85</v>
      </c>
      <c r="DO546" s="82" t="s">
        <v>85</v>
      </c>
      <c r="DP546" s="410" t="s">
        <v>85</v>
      </c>
    </row>
    <row r="547" spans="1:120" x14ac:dyDescent="0.25">
      <c r="A547" s="16" t="s">
        <v>6403</v>
      </c>
      <c r="B547" s="16" t="s">
        <v>6404</v>
      </c>
      <c r="C547" s="16" t="s">
        <v>6405</v>
      </c>
      <c r="D547" s="16" t="s">
        <v>6340</v>
      </c>
      <c r="E547" s="16" t="s">
        <v>6406</v>
      </c>
      <c r="F547" s="16" t="s">
        <v>6407</v>
      </c>
      <c r="G547" s="16" t="s">
        <v>6408</v>
      </c>
      <c r="H547" s="16" t="s">
        <v>6407</v>
      </c>
      <c r="I547" s="16" t="s">
        <v>2958</v>
      </c>
      <c r="J547" s="16" t="s">
        <v>943</v>
      </c>
      <c r="K547" s="16" t="s">
        <v>2959</v>
      </c>
      <c r="L547" s="16" t="s">
        <v>85</v>
      </c>
      <c r="M547" s="16" t="s">
        <v>984</v>
      </c>
      <c r="N547" s="16" t="s">
        <v>914</v>
      </c>
      <c r="O547" s="16" t="s">
        <v>985</v>
      </c>
      <c r="P547" s="16" t="s">
        <v>914</v>
      </c>
      <c r="Q547" s="16" t="s">
        <v>985</v>
      </c>
      <c r="R547" s="16" t="s">
        <v>915</v>
      </c>
      <c r="S547" s="16" t="s">
        <v>915</v>
      </c>
      <c r="T547" s="16" t="s">
        <v>986</v>
      </c>
      <c r="U547" s="16" t="s">
        <v>987</v>
      </c>
      <c r="V547" s="16" t="s">
        <v>916</v>
      </c>
      <c r="W547" s="16" t="s">
        <v>987</v>
      </c>
      <c r="X547" s="16" t="s">
        <v>934</v>
      </c>
      <c r="Y547" s="16" t="s">
        <v>934</v>
      </c>
      <c r="Z547" s="16" t="s">
        <v>935</v>
      </c>
      <c r="DA547" s="405" t="s">
        <v>5</v>
      </c>
      <c r="DB547" s="405" t="s">
        <v>363</v>
      </c>
      <c r="DC547" s="406" t="s">
        <v>85</v>
      </c>
      <c r="DD547" s="405" t="s">
        <v>917</v>
      </c>
      <c r="DE547" s="405" t="s">
        <v>5</v>
      </c>
      <c r="DF547" s="406" t="s">
        <v>85</v>
      </c>
      <c r="DG547" s="407">
        <v>45850</v>
      </c>
      <c r="DH547" s="405" t="s">
        <v>6406</v>
      </c>
      <c r="DI547" s="406">
        <v>465455</v>
      </c>
      <c r="DJ547" s="408">
        <v>5</v>
      </c>
      <c r="DK547" s="405">
        <v>1</v>
      </c>
      <c r="DL547" s="82">
        <v>340.55</v>
      </c>
      <c r="DM547" s="409">
        <v>1.70275</v>
      </c>
      <c r="DN547" s="82" t="s">
        <v>85</v>
      </c>
      <c r="DO547" s="82" t="s">
        <v>85</v>
      </c>
      <c r="DP547" s="410" t="s">
        <v>85</v>
      </c>
    </row>
    <row r="548" spans="1:120" x14ac:dyDescent="0.25">
      <c r="A548" s="16" t="s">
        <v>6409</v>
      </c>
      <c r="B548" s="16" t="s">
        <v>6410</v>
      </c>
      <c r="C548" s="16" t="s">
        <v>6411</v>
      </c>
      <c r="D548" s="16" t="s">
        <v>6340</v>
      </c>
      <c r="E548" s="16" t="s">
        <v>6412</v>
      </c>
      <c r="F548" s="16" t="s">
        <v>6413</v>
      </c>
      <c r="G548" s="16" t="s">
        <v>6414</v>
      </c>
      <c r="H548" s="16" t="s">
        <v>6413</v>
      </c>
      <c r="I548" s="16" t="s">
        <v>1150</v>
      </c>
      <c r="J548" s="16" t="s">
        <v>943</v>
      </c>
      <c r="K548" s="16" t="s">
        <v>1151</v>
      </c>
      <c r="L548" s="16" t="s">
        <v>85</v>
      </c>
      <c r="M548" s="16" t="s">
        <v>984</v>
      </c>
      <c r="N548" s="16" t="s">
        <v>914</v>
      </c>
      <c r="O548" s="16" t="s">
        <v>985</v>
      </c>
      <c r="P548" s="16" t="s">
        <v>914</v>
      </c>
      <c r="Q548" s="16" t="s">
        <v>985</v>
      </c>
      <c r="R548" s="16" t="s">
        <v>915</v>
      </c>
      <c r="S548" s="16" t="s">
        <v>915</v>
      </c>
      <c r="T548" s="16" t="s">
        <v>986</v>
      </c>
      <c r="U548" s="16" t="s">
        <v>987</v>
      </c>
      <c r="V548" s="16" t="s">
        <v>916</v>
      </c>
      <c r="W548" s="16" t="s">
        <v>987</v>
      </c>
      <c r="X548" s="16" t="s">
        <v>934</v>
      </c>
      <c r="Y548" s="16" t="s">
        <v>934</v>
      </c>
      <c r="Z548" s="16" t="s">
        <v>935</v>
      </c>
      <c r="DA548" s="405" t="s">
        <v>5</v>
      </c>
      <c r="DB548" s="405" t="s">
        <v>363</v>
      </c>
      <c r="DC548" s="406" t="s">
        <v>85</v>
      </c>
      <c r="DD548" s="405" t="s">
        <v>917</v>
      </c>
      <c r="DE548" s="405" t="s">
        <v>5</v>
      </c>
      <c r="DF548" s="406" t="s">
        <v>85</v>
      </c>
      <c r="DG548" s="407">
        <v>45850</v>
      </c>
      <c r="DH548" s="405" t="s">
        <v>6412</v>
      </c>
      <c r="DI548" s="406">
        <v>465455</v>
      </c>
      <c r="DJ548" s="408">
        <v>5</v>
      </c>
      <c r="DK548" s="405">
        <v>1</v>
      </c>
      <c r="DL548" s="82">
        <v>340.55</v>
      </c>
      <c r="DM548" s="409">
        <v>1.70275</v>
      </c>
      <c r="DN548" s="82" t="s">
        <v>85</v>
      </c>
      <c r="DO548" s="82" t="s">
        <v>85</v>
      </c>
      <c r="DP548" s="410" t="s">
        <v>85</v>
      </c>
    </row>
    <row r="549" spans="1:120" x14ac:dyDescent="0.25">
      <c r="A549" s="16" t="s">
        <v>6409</v>
      </c>
      <c r="B549" s="16" t="s">
        <v>6410</v>
      </c>
      <c r="C549" s="16" t="s">
        <v>6411</v>
      </c>
      <c r="D549" s="16" t="s">
        <v>6340</v>
      </c>
      <c r="E549" s="16" t="s">
        <v>6412</v>
      </c>
      <c r="F549" s="16" t="s">
        <v>6413</v>
      </c>
      <c r="G549" s="16" t="s">
        <v>6414</v>
      </c>
      <c r="H549" s="16" t="s">
        <v>6413</v>
      </c>
      <c r="I549" s="16" t="s">
        <v>1099</v>
      </c>
      <c r="J549" s="16" t="s">
        <v>943</v>
      </c>
      <c r="K549" s="16" t="s">
        <v>1100</v>
      </c>
      <c r="L549" s="16" t="s">
        <v>85</v>
      </c>
      <c r="M549" s="16" t="s">
        <v>984</v>
      </c>
      <c r="N549" s="16" t="s">
        <v>914</v>
      </c>
      <c r="O549" s="16" t="s">
        <v>985</v>
      </c>
      <c r="P549" s="16" t="s">
        <v>914</v>
      </c>
      <c r="Q549" s="16" t="s">
        <v>985</v>
      </c>
      <c r="R549" s="16" t="s">
        <v>915</v>
      </c>
      <c r="S549" s="16" t="s">
        <v>915</v>
      </c>
      <c r="T549" s="16" t="s">
        <v>986</v>
      </c>
      <c r="U549" s="16" t="s">
        <v>987</v>
      </c>
      <c r="V549" s="16" t="s">
        <v>916</v>
      </c>
      <c r="W549" s="16" t="s">
        <v>987</v>
      </c>
      <c r="X549" s="16" t="s">
        <v>934</v>
      </c>
      <c r="Y549" s="16" t="s">
        <v>934</v>
      </c>
      <c r="Z549" s="16" t="s">
        <v>935</v>
      </c>
      <c r="DA549" s="405" t="s">
        <v>5</v>
      </c>
      <c r="DB549" s="405" t="s">
        <v>363</v>
      </c>
      <c r="DC549" s="406" t="s">
        <v>85</v>
      </c>
      <c r="DD549" s="405" t="s">
        <v>917</v>
      </c>
      <c r="DE549" s="405" t="s">
        <v>5</v>
      </c>
      <c r="DF549" s="406" t="s">
        <v>85</v>
      </c>
      <c r="DG549" s="407">
        <v>45850</v>
      </c>
      <c r="DH549" s="405" t="s">
        <v>6412</v>
      </c>
      <c r="DI549" s="406">
        <v>465455</v>
      </c>
      <c r="DJ549" s="408">
        <v>5</v>
      </c>
      <c r="DK549" s="405">
        <v>1</v>
      </c>
      <c r="DL549" s="82">
        <v>340.55</v>
      </c>
      <c r="DM549" s="409">
        <v>1.70275</v>
      </c>
      <c r="DN549" s="82" t="s">
        <v>85</v>
      </c>
      <c r="DO549" s="82" t="s">
        <v>85</v>
      </c>
      <c r="DP549" s="410" t="s">
        <v>85</v>
      </c>
    </row>
    <row r="550" spans="1:120" x14ac:dyDescent="0.25">
      <c r="A550" s="16" t="s">
        <v>6415</v>
      </c>
      <c r="B550" s="16" t="s">
        <v>6416</v>
      </c>
      <c r="C550" s="16" t="s">
        <v>6417</v>
      </c>
      <c r="D550" s="16" t="s">
        <v>6340</v>
      </c>
      <c r="E550" s="16" t="s">
        <v>6418</v>
      </c>
      <c r="F550" s="16" t="s">
        <v>6419</v>
      </c>
      <c r="G550" s="16" t="s">
        <v>6420</v>
      </c>
      <c r="H550" s="16" t="s">
        <v>6421</v>
      </c>
      <c r="I550" s="16" t="s">
        <v>1910</v>
      </c>
      <c r="J550" s="16" t="s">
        <v>928</v>
      </c>
      <c r="K550" s="16" t="s">
        <v>1911</v>
      </c>
      <c r="L550" s="16" t="s">
        <v>85</v>
      </c>
      <c r="M550" s="16" t="s">
        <v>1322</v>
      </c>
      <c r="N550" s="16" t="s">
        <v>914</v>
      </c>
      <c r="O550" s="16" t="s">
        <v>1323</v>
      </c>
      <c r="P550" s="16" t="s">
        <v>914</v>
      </c>
      <c r="Q550" s="16" t="s">
        <v>1323</v>
      </c>
      <c r="R550" s="16" t="s">
        <v>915</v>
      </c>
      <c r="S550" s="16" t="s">
        <v>915</v>
      </c>
      <c r="T550" s="16" t="s">
        <v>1322</v>
      </c>
      <c r="U550" s="16" t="s">
        <v>1324</v>
      </c>
      <c r="V550" s="16" t="s">
        <v>916</v>
      </c>
      <c r="W550" s="16" t="s">
        <v>1324</v>
      </c>
      <c r="X550" s="16" t="s">
        <v>934</v>
      </c>
      <c r="Y550" s="16" t="s">
        <v>934</v>
      </c>
      <c r="Z550" s="16" t="s">
        <v>935</v>
      </c>
      <c r="DA550" s="405" t="s">
        <v>5</v>
      </c>
      <c r="DB550" s="405" t="s">
        <v>363</v>
      </c>
      <c r="DC550" s="406" t="s">
        <v>85</v>
      </c>
      <c r="DD550" s="405" t="s">
        <v>917</v>
      </c>
      <c r="DE550" s="405" t="s">
        <v>5</v>
      </c>
      <c r="DF550" s="406" t="s">
        <v>85</v>
      </c>
      <c r="DG550" s="407">
        <v>45850</v>
      </c>
      <c r="DH550" s="405" t="s">
        <v>6418</v>
      </c>
      <c r="DI550" s="406">
        <v>465455</v>
      </c>
      <c r="DJ550" s="408">
        <v>5</v>
      </c>
      <c r="DK550" s="405">
        <v>1</v>
      </c>
      <c r="DL550" s="82">
        <v>332.47</v>
      </c>
      <c r="DM550" s="409">
        <v>1.6623500000000002</v>
      </c>
      <c r="DN550" s="82" t="s">
        <v>85</v>
      </c>
      <c r="DO550" s="82" t="s">
        <v>85</v>
      </c>
      <c r="DP550" s="410" t="s">
        <v>85</v>
      </c>
    </row>
    <row r="551" spans="1:120" x14ac:dyDescent="0.25">
      <c r="A551" s="16" t="s">
        <v>6422</v>
      </c>
      <c r="B551" s="16" t="s">
        <v>6423</v>
      </c>
      <c r="C551" s="16" t="s">
        <v>6424</v>
      </c>
      <c r="D551" s="16" t="s">
        <v>6340</v>
      </c>
      <c r="E551" s="16" t="s">
        <v>6425</v>
      </c>
      <c r="F551" s="16" t="s">
        <v>6426</v>
      </c>
      <c r="G551" s="16" t="s">
        <v>6427</v>
      </c>
      <c r="H551" s="16" t="s">
        <v>6426</v>
      </c>
      <c r="I551" s="16" t="s">
        <v>1163</v>
      </c>
      <c r="J551" s="16" t="s">
        <v>995</v>
      </c>
      <c r="K551" s="16" t="s">
        <v>1164</v>
      </c>
      <c r="L551" s="16" t="s">
        <v>85</v>
      </c>
      <c r="M551" s="16" t="s">
        <v>1165</v>
      </c>
      <c r="N551" s="16" t="s">
        <v>914</v>
      </c>
      <c r="O551" s="16" t="s">
        <v>1166</v>
      </c>
      <c r="P551" s="16" t="s">
        <v>914</v>
      </c>
      <c r="Q551" s="16" t="s">
        <v>1166</v>
      </c>
      <c r="R551" s="16" t="s">
        <v>915</v>
      </c>
      <c r="S551" s="16" t="s">
        <v>915</v>
      </c>
      <c r="T551" s="16" t="s">
        <v>1167</v>
      </c>
      <c r="U551" s="16" t="s">
        <v>1168</v>
      </c>
      <c r="V551" s="16" t="s">
        <v>916</v>
      </c>
      <c r="W551" s="16" t="s">
        <v>1168</v>
      </c>
      <c r="X551" s="16" t="s">
        <v>934</v>
      </c>
      <c r="Y551" s="16" t="s">
        <v>934</v>
      </c>
      <c r="Z551" s="16" t="s">
        <v>935</v>
      </c>
      <c r="DA551" s="405" t="s">
        <v>5</v>
      </c>
      <c r="DB551" s="405" t="s">
        <v>363</v>
      </c>
      <c r="DC551" s="406" t="s">
        <v>85</v>
      </c>
      <c r="DD551" s="405" t="s">
        <v>917</v>
      </c>
      <c r="DE551" s="405" t="s">
        <v>5</v>
      </c>
      <c r="DF551" s="406" t="s">
        <v>85</v>
      </c>
      <c r="DG551" s="407">
        <v>45850</v>
      </c>
      <c r="DH551" s="405" t="s">
        <v>6425</v>
      </c>
      <c r="DI551" s="406">
        <v>465455</v>
      </c>
      <c r="DJ551" s="408">
        <v>5</v>
      </c>
      <c r="DK551" s="405">
        <v>1</v>
      </c>
      <c r="DL551" s="82">
        <v>468.28</v>
      </c>
      <c r="DM551" s="409">
        <v>2.3413999999999997</v>
      </c>
      <c r="DN551" s="82" t="s">
        <v>85</v>
      </c>
      <c r="DO551" s="82" t="s">
        <v>85</v>
      </c>
      <c r="DP551" s="410" t="s">
        <v>85</v>
      </c>
    </row>
    <row r="552" spans="1:120" x14ac:dyDescent="0.25">
      <c r="A552" s="16" t="s">
        <v>6428</v>
      </c>
      <c r="B552" s="16" t="s">
        <v>6429</v>
      </c>
      <c r="C552" s="16" t="s">
        <v>6430</v>
      </c>
      <c r="D552" s="16" t="s">
        <v>6340</v>
      </c>
      <c r="E552" s="16" t="s">
        <v>6431</v>
      </c>
      <c r="F552" s="16" t="s">
        <v>6432</v>
      </c>
      <c r="G552" s="16" t="s">
        <v>6433</v>
      </c>
      <c r="H552" s="16" t="s">
        <v>6434</v>
      </c>
      <c r="I552" s="16" t="s">
        <v>4273</v>
      </c>
      <c r="J552" s="16" t="s">
        <v>943</v>
      </c>
      <c r="K552" s="16" t="s">
        <v>4274</v>
      </c>
      <c r="L552" s="16" t="s">
        <v>85</v>
      </c>
      <c r="M552" s="16" t="s">
        <v>984</v>
      </c>
      <c r="N552" s="16" t="s">
        <v>914</v>
      </c>
      <c r="O552" s="16" t="s">
        <v>985</v>
      </c>
      <c r="P552" s="16" t="s">
        <v>914</v>
      </c>
      <c r="Q552" s="16" t="s">
        <v>985</v>
      </c>
      <c r="R552" s="16" t="s">
        <v>915</v>
      </c>
      <c r="S552" s="16" t="s">
        <v>915</v>
      </c>
      <c r="T552" s="16" t="s">
        <v>986</v>
      </c>
      <c r="U552" s="16" t="s">
        <v>987</v>
      </c>
      <c r="V552" s="16" t="s">
        <v>916</v>
      </c>
      <c r="W552" s="16" t="s">
        <v>987</v>
      </c>
      <c r="X552" s="16" t="s">
        <v>934</v>
      </c>
      <c r="Y552" s="16" t="s">
        <v>934</v>
      </c>
      <c r="Z552" s="16" t="s">
        <v>935</v>
      </c>
      <c r="DA552" s="405" t="s">
        <v>5</v>
      </c>
      <c r="DB552" s="405" t="s">
        <v>363</v>
      </c>
      <c r="DC552" s="406" t="s">
        <v>85</v>
      </c>
      <c r="DD552" s="405" t="s">
        <v>917</v>
      </c>
      <c r="DE552" s="405" t="s">
        <v>5</v>
      </c>
      <c r="DF552" s="406" t="s">
        <v>85</v>
      </c>
      <c r="DG552" s="407">
        <v>45850</v>
      </c>
      <c r="DH552" s="405" t="s">
        <v>6431</v>
      </c>
      <c r="DI552" s="406">
        <v>465455</v>
      </c>
      <c r="DJ552" s="408">
        <v>5</v>
      </c>
      <c r="DK552" s="405">
        <v>1</v>
      </c>
      <c r="DL552" s="82">
        <v>340.55</v>
      </c>
      <c r="DM552" s="409">
        <v>1.70275</v>
      </c>
      <c r="DN552" s="82" t="s">
        <v>85</v>
      </c>
      <c r="DO552" s="82" t="s">
        <v>85</v>
      </c>
      <c r="DP552" s="410" t="s">
        <v>85</v>
      </c>
    </row>
    <row r="553" spans="1:120" x14ac:dyDescent="0.25">
      <c r="A553" s="16" t="s">
        <v>6435</v>
      </c>
      <c r="B553" s="16" t="s">
        <v>6436</v>
      </c>
      <c r="C553" s="16" t="s">
        <v>6437</v>
      </c>
      <c r="D553" s="16" t="s">
        <v>6340</v>
      </c>
      <c r="E553" s="16" t="s">
        <v>6438</v>
      </c>
      <c r="F553" s="16" t="s">
        <v>6439</v>
      </c>
      <c r="G553" s="16" t="s">
        <v>6440</v>
      </c>
      <c r="H553" s="16" t="s">
        <v>6439</v>
      </c>
      <c r="I553" s="16" t="s">
        <v>5009</v>
      </c>
      <c r="J553" s="16" t="s">
        <v>928</v>
      </c>
      <c r="K553" s="16" t="s">
        <v>5010</v>
      </c>
      <c r="L553" s="16" t="s">
        <v>85</v>
      </c>
      <c r="M553" s="16" t="s">
        <v>1322</v>
      </c>
      <c r="N553" s="16" t="s">
        <v>914</v>
      </c>
      <c r="O553" s="16" t="s">
        <v>1323</v>
      </c>
      <c r="P553" s="16" t="s">
        <v>914</v>
      </c>
      <c r="Q553" s="16" t="s">
        <v>1323</v>
      </c>
      <c r="R553" s="16" t="s">
        <v>915</v>
      </c>
      <c r="S553" s="16" t="s">
        <v>915</v>
      </c>
      <c r="T553" s="16" t="s">
        <v>1322</v>
      </c>
      <c r="U553" s="16" t="s">
        <v>1324</v>
      </c>
      <c r="V553" s="16" t="s">
        <v>916</v>
      </c>
      <c r="W553" s="16" t="s">
        <v>1324</v>
      </c>
      <c r="X553" s="16" t="s">
        <v>934</v>
      </c>
      <c r="Y553" s="16" t="s">
        <v>934</v>
      </c>
      <c r="Z553" s="16" t="s">
        <v>935</v>
      </c>
      <c r="DA553" s="405" t="s">
        <v>5</v>
      </c>
      <c r="DB553" s="405" t="s">
        <v>363</v>
      </c>
      <c r="DC553" s="406" t="s">
        <v>85</v>
      </c>
      <c r="DD553" s="405" t="s">
        <v>917</v>
      </c>
      <c r="DE553" s="405" t="s">
        <v>5</v>
      </c>
      <c r="DF553" s="406" t="s">
        <v>85</v>
      </c>
      <c r="DG553" s="407">
        <v>45850</v>
      </c>
      <c r="DH553" s="405" t="s">
        <v>6438</v>
      </c>
      <c r="DI553" s="406">
        <v>465455</v>
      </c>
      <c r="DJ553" s="408">
        <v>5</v>
      </c>
      <c r="DK553" s="405">
        <v>1</v>
      </c>
      <c r="DL553" s="82">
        <v>332.47</v>
      </c>
      <c r="DM553" s="409">
        <v>1.6623500000000002</v>
      </c>
      <c r="DN553" s="82" t="s">
        <v>85</v>
      </c>
      <c r="DO553" s="82" t="s">
        <v>85</v>
      </c>
      <c r="DP553" s="410" t="s">
        <v>85</v>
      </c>
    </row>
    <row r="554" spans="1:120" x14ac:dyDescent="0.25">
      <c r="A554" s="16" t="s">
        <v>6441</v>
      </c>
      <c r="B554" s="16" t="s">
        <v>6442</v>
      </c>
      <c r="C554" s="16" t="s">
        <v>6443</v>
      </c>
      <c r="D554" s="16" t="s">
        <v>6340</v>
      </c>
      <c r="E554" s="16" t="s">
        <v>6444</v>
      </c>
      <c r="F554" s="16" t="s">
        <v>6445</v>
      </c>
      <c r="G554" s="16" t="s">
        <v>6446</v>
      </c>
      <c r="H554" s="16" t="s">
        <v>6445</v>
      </c>
      <c r="I554" s="16" t="s">
        <v>5009</v>
      </c>
      <c r="J554" s="16" t="s">
        <v>928</v>
      </c>
      <c r="K554" s="16" t="s">
        <v>5010</v>
      </c>
      <c r="L554" s="16" t="s">
        <v>85</v>
      </c>
      <c r="M554" s="16" t="s">
        <v>1322</v>
      </c>
      <c r="N554" s="16" t="s">
        <v>914</v>
      </c>
      <c r="O554" s="16" t="s">
        <v>1323</v>
      </c>
      <c r="P554" s="16" t="s">
        <v>914</v>
      </c>
      <c r="Q554" s="16" t="s">
        <v>1323</v>
      </c>
      <c r="R554" s="16" t="s">
        <v>915</v>
      </c>
      <c r="S554" s="16" t="s">
        <v>915</v>
      </c>
      <c r="T554" s="16" t="s">
        <v>1322</v>
      </c>
      <c r="U554" s="16" t="s">
        <v>1324</v>
      </c>
      <c r="V554" s="16" t="s">
        <v>916</v>
      </c>
      <c r="W554" s="16" t="s">
        <v>1324</v>
      </c>
      <c r="X554" s="16" t="s">
        <v>934</v>
      </c>
      <c r="Y554" s="16" t="s">
        <v>934</v>
      </c>
      <c r="Z554" s="16" t="s">
        <v>935</v>
      </c>
      <c r="DA554" s="405" t="s">
        <v>5</v>
      </c>
      <c r="DB554" s="405" t="s">
        <v>363</v>
      </c>
      <c r="DC554" s="406" t="s">
        <v>85</v>
      </c>
      <c r="DD554" s="405" t="s">
        <v>917</v>
      </c>
      <c r="DE554" s="405" t="s">
        <v>5</v>
      </c>
      <c r="DF554" s="406" t="s">
        <v>85</v>
      </c>
      <c r="DG554" s="407">
        <v>45850</v>
      </c>
      <c r="DH554" s="405" t="s">
        <v>6444</v>
      </c>
      <c r="DI554" s="406">
        <v>465455</v>
      </c>
      <c r="DJ554" s="408">
        <v>5</v>
      </c>
      <c r="DK554" s="405">
        <v>1</v>
      </c>
      <c r="DL554" s="82">
        <v>332.47</v>
      </c>
      <c r="DM554" s="409">
        <v>1.6623500000000002</v>
      </c>
      <c r="DN554" s="82" t="s">
        <v>85</v>
      </c>
      <c r="DO554" s="82" t="s">
        <v>85</v>
      </c>
      <c r="DP554" s="410" t="s">
        <v>85</v>
      </c>
    </row>
    <row r="555" spans="1:120" x14ac:dyDescent="0.25">
      <c r="A555" s="16" t="s">
        <v>6447</v>
      </c>
      <c r="B555" s="16" t="s">
        <v>6448</v>
      </c>
      <c r="C555" s="16" t="s">
        <v>6449</v>
      </c>
      <c r="D555" s="16" t="s">
        <v>6340</v>
      </c>
      <c r="E555" s="16" t="s">
        <v>6450</v>
      </c>
      <c r="F555" s="16" t="s">
        <v>6451</v>
      </c>
      <c r="G555" s="16" t="s">
        <v>6452</v>
      </c>
      <c r="H555" s="16" t="s">
        <v>6451</v>
      </c>
      <c r="I555" s="16" t="s">
        <v>1620</v>
      </c>
      <c r="J555" s="16" t="s">
        <v>943</v>
      </c>
      <c r="K555" s="16" t="s">
        <v>1621</v>
      </c>
      <c r="L555" s="16" t="s">
        <v>85</v>
      </c>
      <c r="M555" s="16" t="s">
        <v>984</v>
      </c>
      <c r="N555" s="16" t="s">
        <v>914</v>
      </c>
      <c r="O555" s="16" t="s">
        <v>985</v>
      </c>
      <c r="P555" s="16" t="s">
        <v>914</v>
      </c>
      <c r="Q555" s="16" t="s">
        <v>985</v>
      </c>
      <c r="R555" s="16" t="s">
        <v>915</v>
      </c>
      <c r="S555" s="16" t="s">
        <v>915</v>
      </c>
      <c r="T555" s="16" t="s">
        <v>986</v>
      </c>
      <c r="U555" s="16" t="s">
        <v>987</v>
      </c>
      <c r="V555" s="16" t="s">
        <v>916</v>
      </c>
      <c r="W555" s="16" t="s">
        <v>987</v>
      </c>
      <c r="X555" s="16" t="s">
        <v>934</v>
      </c>
      <c r="Y555" s="16" t="s">
        <v>934</v>
      </c>
      <c r="Z555" s="16" t="s">
        <v>935</v>
      </c>
      <c r="DA555" s="405" t="s">
        <v>5</v>
      </c>
      <c r="DB555" s="405" t="s">
        <v>363</v>
      </c>
      <c r="DC555" s="406" t="s">
        <v>85</v>
      </c>
      <c r="DD555" s="405" t="s">
        <v>917</v>
      </c>
      <c r="DE555" s="405" t="s">
        <v>5</v>
      </c>
      <c r="DF555" s="406" t="s">
        <v>85</v>
      </c>
      <c r="DG555" s="407">
        <v>45850</v>
      </c>
      <c r="DH555" s="405" t="s">
        <v>6450</v>
      </c>
      <c r="DI555" s="406">
        <v>465455</v>
      </c>
      <c r="DJ555" s="408">
        <v>5</v>
      </c>
      <c r="DK555" s="405">
        <v>1</v>
      </c>
      <c r="DL555" s="82">
        <v>340.55</v>
      </c>
      <c r="DM555" s="409">
        <v>1.70275</v>
      </c>
      <c r="DN555" s="82" t="s">
        <v>85</v>
      </c>
      <c r="DO555" s="82" t="s">
        <v>85</v>
      </c>
      <c r="DP555" s="410" t="s">
        <v>85</v>
      </c>
    </row>
    <row r="556" spans="1:120" x14ac:dyDescent="0.25">
      <c r="A556" s="16" t="s">
        <v>6453</v>
      </c>
      <c r="B556" s="16" t="s">
        <v>6454</v>
      </c>
      <c r="C556" s="16" t="s">
        <v>6455</v>
      </c>
      <c r="D556" s="16" t="s">
        <v>6340</v>
      </c>
      <c r="E556" s="16" t="s">
        <v>6456</v>
      </c>
      <c r="F556" s="16" t="s">
        <v>6457</v>
      </c>
      <c r="G556" s="16" t="s">
        <v>6458</v>
      </c>
      <c r="H556" s="16" t="s">
        <v>6457</v>
      </c>
      <c r="I556" s="16" t="s">
        <v>4659</v>
      </c>
      <c r="J556" s="16" t="s">
        <v>1509</v>
      </c>
      <c r="K556" s="16" t="s">
        <v>4660</v>
      </c>
      <c r="L556" s="16" t="s">
        <v>85</v>
      </c>
      <c r="M556" s="16" t="s">
        <v>1511</v>
      </c>
      <c r="N556" s="16" t="s">
        <v>914</v>
      </c>
      <c r="O556" s="16" t="s">
        <v>1512</v>
      </c>
      <c r="P556" s="16" t="s">
        <v>914</v>
      </c>
      <c r="Q556" s="16" t="s">
        <v>1512</v>
      </c>
      <c r="R556" s="16" t="s">
        <v>915</v>
      </c>
      <c r="S556" s="16" t="s">
        <v>915</v>
      </c>
      <c r="T556" s="16" t="s">
        <v>1511</v>
      </c>
      <c r="U556" s="16" t="s">
        <v>1513</v>
      </c>
      <c r="V556" s="16" t="s">
        <v>916</v>
      </c>
      <c r="W556" s="16" t="s">
        <v>1513</v>
      </c>
      <c r="X556" s="16" t="s">
        <v>934</v>
      </c>
      <c r="Y556" s="16" t="s">
        <v>934</v>
      </c>
      <c r="Z556" s="16" t="s">
        <v>935</v>
      </c>
      <c r="DA556" s="405" t="s">
        <v>5</v>
      </c>
      <c r="DB556" s="405" t="s">
        <v>363</v>
      </c>
      <c r="DC556" s="406" t="s">
        <v>85</v>
      </c>
      <c r="DD556" s="405" t="s">
        <v>917</v>
      </c>
      <c r="DE556" s="405" t="s">
        <v>5</v>
      </c>
      <c r="DF556" s="406" t="s">
        <v>85</v>
      </c>
      <c r="DG556" s="407">
        <v>45850</v>
      </c>
      <c r="DH556" s="405" t="s">
        <v>6456</v>
      </c>
      <c r="DI556" s="406">
        <v>465455</v>
      </c>
      <c r="DJ556" s="408">
        <v>5</v>
      </c>
      <c r="DK556" s="405">
        <v>1</v>
      </c>
      <c r="DL556" s="82">
        <v>526.82000000000005</v>
      </c>
      <c r="DM556" s="409">
        <v>2.6341000000000001</v>
      </c>
      <c r="DN556" s="82" t="s">
        <v>85</v>
      </c>
      <c r="DO556" s="82" t="s">
        <v>85</v>
      </c>
      <c r="DP556" s="410" t="s">
        <v>85</v>
      </c>
    </row>
    <row r="557" spans="1:120" x14ac:dyDescent="0.25">
      <c r="A557" s="16" t="s">
        <v>6459</v>
      </c>
      <c r="B557" s="16" t="s">
        <v>6460</v>
      </c>
      <c r="C557" s="16" t="s">
        <v>6461</v>
      </c>
      <c r="D557" s="16" t="s">
        <v>6340</v>
      </c>
      <c r="E557" s="16" t="s">
        <v>6462</v>
      </c>
      <c r="F557" s="16" t="s">
        <v>6463</v>
      </c>
      <c r="G557" s="16" t="s">
        <v>6464</v>
      </c>
      <c r="H557" s="16" t="s">
        <v>6463</v>
      </c>
      <c r="I557" s="16" t="s">
        <v>1547</v>
      </c>
      <c r="J557" s="16" t="s">
        <v>943</v>
      </c>
      <c r="K557" s="16" t="s">
        <v>1548</v>
      </c>
      <c r="L557" s="16" t="s">
        <v>85</v>
      </c>
      <c r="M557" s="16" t="s">
        <v>984</v>
      </c>
      <c r="N557" s="16" t="s">
        <v>914</v>
      </c>
      <c r="O557" s="16" t="s">
        <v>985</v>
      </c>
      <c r="P557" s="16" t="s">
        <v>914</v>
      </c>
      <c r="Q557" s="16" t="s">
        <v>985</v>
      </c>
      <c r="R557" s="16" t="s">
        <v>915</v>
      </c>
      <c r="S557" s="16" t="s">
        <v>915</v>
      </c>
      <c r="T557" s="16" t="s">
        <v>986</v>
      </c>
      <c r="U557" s="16" t="s">
        <v>987</v>
      </c>
      <c r="V557" s="16" t="s">
        <v>916</v>
      </c>
      <c r="W557" s="16" t="s">
        <v>987</v>
      </c>
      <c r="X557" s="16" t="s">
        <v>934</v>
      </c>
      <c r="Y557" s="16" t="s">
        <v>934</v>
      </c>
      <c r="Z557" s="16" t="s">
        <v>935</v>
      </c>
      <c r="DA557" s="405" t="s">
        <v>5</v>
      </c>
      <c r="DB557" s="405" t="s">
        <v>363</v>
      </c>
      <c r="DC557" s="406" t="s">
        <v>85</v>
      </c>
      <c r="DD557" s="405" t="s">
        <v>917</v>
      </c>
      <c r="DE557" s="405" t="s">
        <v>5</v>
      </c>
      <c r="DF557" s="406" t="s">
        <v>85</v>
      </c>
      <c r="DG557" s="407">
        <v>45850</v>
      </c>
      <c r="DH557" s="405" t="s">
        <v>6462</v>
      </c>
      <c r="DI557" s="406">
        <v>465455</v>
      </c>
      <c r="DJ557" s="408">
        <v>5</v>
      </c>
      <c r="DK557" s="405">
        <v>1</v>
      </c>
      <c r="DL557" s="82">
        <v>340.55</v>
      </c>
      <c r="DM557" s="409">
        <v>1.70275</v>
      </c>
      <c r="DN557" s="82" t="s">
        <v>85</v>
      </c>
      <c r="DO557" s="82" t="s">
        <v>85</v>
      </c>
      <c r="DP557" s="410" t="s">
        <v>85</v>
      </c>
    </row>
    <row r="558" spans="1:120" x14ac:dyDescent="0.25">
      <c r="A558" s="16" t="s">
        <v>6465</v>
      </c>
      <c r="B558" s="16" t="s">
        <v>6466</v>
      </c>
      <c r="C558" s="16" t="s">
        <v>6467</v>
      </c>
      <c r="D558" s="16" t="s">
        <v>6340</v>
      </c>
      <c r="E558" s="16" t="s">
        <v>6468</v>
      </c>
      <c r="F558" s="16" t="s">
        <v>6469</v>
      </c>
      <c r="G558" s="16" t="s">
        <v>6470</v>
      </c>
      <c r="H558" s="16" t="s">
        <v>6471</v>
      </c>
      <c r="I558" s="16" t="s">
        <v>1465</v>
      </c>
      <c r="J558" s="16" t="s">
        <v>943</v>
      </c>
      <c r="K558" s="16" t="s">
        <v>1466</v>
      </c>
      <c r="L558" s="16" t="s">
        <v>85</v>
      </c>
      <c r="M558" s="16" t="s">
        <v>984</v>
      </c>
      <c r="N558" s="16" t="s">
        <v>914</v>
      </c>
      <c r="O558" s="16" t="s">
        <v>985</v>
      </c>
      <c r="P558" s="16" t="s">
        <v>914</v>
      </c>
      <c r="Q558" s="16" t="s">
        <v>985</v>
      </c>
      <c r="R558" s="16" t="s">
        <v>915</v>
      </c>
      <c r="S558" s="16" t="s">
        <v>915</v>
      </c>
      <c r="T558" s="16" t="s">
        <v>986</v>
      </c>
      <c r="U558" s="16" t="s">
        <v>987</v>
      </c>
      <c r="V558" s="16" t="s">
        <v>916</v>
      </c>
      <c r="W558" s="16" t="s">
        <v>987</v>
      </c>
      <c r="X558" s="16" t="s">
        <v>934</v>
      </c>
      <c r="Y558" s="16" t="s">
        <v>934</v>
      </c>
      <c r="Z558" s="16" t="s">
        <v>935</v>
      </c>
      <c r="DA558" s="405" t="s">
        <v>5</v>
      </c>
      <c r="DB558" s="405" t="s">
        <v>363</v>
      </c>
      <c r="DC558" s="406" t="s">
        <v>85</v>
      </c>
      <c r="DD558" s="405" t="s">
        <v>917</v>
      </c>
      <c r="DE558" s="405" t="s">
        <v>5</v>
      </c>
      <c r="DF558" s="406" t="s">
        <v>85</v>
      </c>
      <c r="DG558" s="407">
        <v>45850</v>
      </c>
      <c r="DH558" s="405" t="s">
        <v>6468</v>
      </c>
      <c r="DI558" s="406">
        <v>465455</v>
      </c>
      <c r="DJ558" s="408">
        <v>5</v>
      </c>
      <c r="DK558" s="405">
        <v>1</v>
      </c>
      <c r="DL558" s="82">
        <v>340.55</v>
      </c>
      <c r="DM558" s="409">
        <v>1.70275</v>
      </c>
      <c r="DN558" s="82" t="s">
        <v>85</v>
      </c>
      <c r="DO558" s="82" t="s">
        <v>85</v>
      </c>
      <c r="DP558" s="410" t="s">
        <v>85</v>
      </c>
    </row>
    <row r="559" spans="1:120" x14ac:dyDescent="0.25">
      <c r="A559" s="16" t="s">
        <v>6472</v>
      </c>
      <c r="B559" s="16" t="s">
        <v>6473</v>
      </c>
      <c r="C559" s="16" t="s">
        <v>6474</v>
      </c>
      <c r="D559" s="16" t="s">
        <v>6340</v>
      </c>
      <c r="E559" s="16" t="s">
        <v>6475</v>
      </c>
      <c r="F559" s="16" t="s">
        <v>6476</v>
      </c>
      <c r="G559" s="16" t="s">
        <v>6477</v>
      </c>
      <c r="H559" s="16" t="s">
        <v>6478</v>
      </c>
      <c r="I559" s="16" t="s">
        <v>3675</v>
      </c>
      <c r="J559" s="16" t="s">
        <v>928</v>
      </c>
      <c r="K559" s="16" t="s">
        <v>3676</v>
      </c>
      <c r="L559" s="16" t="s">
        <v>85</v>
      </c>
      <c r="M559" s="16" t="s">
        <v>1322</v>
      </c>
      <c r="N559" s="16" t="s">
        <v>914</v>
      </c>
      <c r="O559" s="16" t="s">
        <v>1323</v>
      </c>
      <c r="P559" s="16" t="s">
        <v>914</v>
      </c>
      <c r="Q559" s="16" t="s">
        <v>1323</v>
      </c>
      <c r="R559" s="16" t="s">
        <v>915</v>
      </c>
      <c r="S559" s="16" t="s">
        <v>915</v>
      </c>
      <c r="T559" s="16" t="s">
        <v>1322</v>
      </c>
      <c r="U559" s="16" t="s">
        <v>1324</v>
      </c>
      <c r="V559" s="16" t="s">
        <v>916</v>
      </c>
      <c r="W559" s="16" t="s">
        <v>1324</v>
      </c>
      <c r="X559" s="16" t="s">
        <v>934</v>
      </c>
      <c r="Y559" s="16" t="s">
        <v>934</v>
      </c>
      <c r="Z559" s="16" t="s">
        <v>935</v>
      </c>
      <c r="DA559" s="405" t="s">
        <v>5</v>
      </c>
      <c r="DB559" s="405" t="s">
        <v>363</v>
      </c>
      <c r="DC559" s="406" t="s">
        <v>85</v>
      </c>
      <c r="DD559" s="405" t="s">
        <v>917</v>
      </c>
      <c r="DE559" s="405" t="s">
        <v>5</v>
      </c>
      <c r="DF559" s="406" t="s">
        <v>85</v>
      </c>
      <c r="DG559" s="407">
        <v>45850</v>
      </c>
      <c r="DH559" s="405" t="s">
        <v>6475</v>
      </c>
      <c r="DI559" s="406">
        <v>465455</v>
      </c>
      <c r="DJ559" s="408">
        <v>5</v>
      </c>
      <c r="DK559" s="405">
        <v>1</v>
      </c>
      <c r="DL559" s="82">
        <v>332.47</v>
      </c>
      <c r="DM559" s="409">
        <v>1.6623500000000002</v>
      </c>
      <c r="DN559" s="82" t="s">
        <v>85</v>
      </c>
      <c r="DO559" s="82" t="s">
        <v>85</v>
      </c>
      <c r="DP559" s="410" t="s">
        <v>85</v>
      </c>
    </row>
    <row r="560" spans="1:120" x14ac:dyDescent="0.25">
      <c r="A560" s="16" t="s">
        <v>6479</v>
      </c>
      <c r="B560" s="16" t="s">
        <v>6480</v>
      </c>
      <c r="C560" s="16" t="s">
        <v>6481</v>
      </c>
      <c r="D560" s="16" t="s">
        <v>6340</v>
      </c>
      <c r="E560" s="16" t="s">
        <v>6482</v>
      </c>
      <c r="F560" s="16" t="s">
        <v>6483</v>
      </c>
      <c r="G560" s="16" t="s">
        <v>6484</v>
      </c>
      <c r="H560" s="16" t="s">
        <v>6485</v>
      </c>
      <c r="I560" s="16" t="s">
        <v>1122</v>
      </c>
      <c r="J560" s="16" t="s">
        <v>1123</v>
      </c>
      <c r="K560" s="16" t="s">
        <v>1124</v>
      </c>
      <c r="L560" s="16" t="s">
        <v>85</v>
      </c>
      <c r="M560" s="16" t="s">
        <v>1238</v>
      </c>
      <c r="N560" s="16" t="s">
        <v>914</v>
      </c>
      <c r="O560" s="16" t="s">
        <v>1239</v>
      </c>
      <c r="P560" s="16" t="s">
        <v>914</v>
      </c>
      <c r="Q560" s="16" t="s">
        <v>1239</v>
      </c>
      <c r="R560" s="16" t="s">
        <v>915</v>
      </c>
      <c r="S560" s="16" t="s">
        <v>915</v>
      </c>
      <c r="T560" s="16" t="s">
        <v>1238</v>
      </c>
      <c r="U560" s="16" t="s">
        <v>1240</v>
      </c>
      <c r="V560" s="16" t="s">
        <v>916</v>
      </c>
      <c r="W560" s="16" t="s">
        <v>1240</v>
      </c>
      <c r="X560" s="16" t="s">
        <v>934</v>
      </c>
      <c r="Y560" s="16" t="s">
        <v>934</v>
      </c>
      <c r="Z560" s="16" t="s">
        <v>935</v>
      </c>
      <c r="DA560" s="405" t="s">
        <v>5</v>
      </c>
      <c r="DB560" s="405" t="s">
        <v>363</v>
      </c>
      <c r="DC560" s="406" t="s">
        <v>85</v>
      </c>
      <c r="DD560" s="405" t="s">
        <v>917</v>
      </c>
      <c r="DE560" s="405" t="s">
        <v>5</v>
      </c>
      <c r="DF560" s="406" t="s">
        <v>85</v>
      </c>
      <c r="DG560" s="407">
        <v>45850</v>
      </c>
      <c r="DH560" s="405" t="s">
        <v>6482</v>
      </c>
      <c r="DI560" s="406">
        <v>465455</v>
      </c>
      <c r="DJ560" s="408">
        <v>5</v>
      </c>
      <c r="DK560" s="405">
        <v>1</v>
      </c>
      <c r="DL560" s="82">
        <v>383.16</v>
      </c>
      <c r="DM560" s="409">
        <v>1.9158000000000002</v>
      </c>
      <c r="DN560" s="82" t="s">
        <v>85</v>
      </c>
      <c r="DO560" s="82" t="s">
        <v>85</v>
      </c>
      <c r="DP560" s="410" t="s">
        <v>85</v>
      </c>
    </row>
    <row r="561" spans="1:120" x14ac:dyDescent="0.25">
      <c r="A561" s="16" t="s">
        <v>6486</v>
      </c>
      <c r="B561" s="16" t="s">
        <v>6487</v>
      </c>
      <c r="C561" s="16" t="s">
        <v>6488</v>
      </c>
      <c r="D561" s="16" t="s">
        <v>6340</v>
      </c>
      <c r="E561" s="16" t="s">
        <v>6489</v>
      </c>
      <c r="F561" s="16" t="s">
        <v>6490</v>
      </c>
      <c r="G561" s="16" t="s">
        <v>6491</v>
      </c>
      <c r="H561" s="16" t="s">
        <v>6492</v>
      </c>
      <c r="I561" s="16" t="s">
        <v>3224</v>
      </c>
      <c r="J561" s="16" t="s">
        <v>928</v>
      </c>
      <c r="K561" s="16" t="s">
        <v>3225</v>
      </c>
      <c r="L561" s="16" t="s">
        <v>85</v>
      </c>
      <c r="M561" s="16" t="s">
        <v>1322</v>
      </c>
      <c r="N561" s="16" t="s">
        <v>914</v>
      </c>
      <c r="O561" s="16" t="s">
        <v>1323</v>
      </c>
      <c r="P561" s="16" t="s">
        <v>914</v>
      </c>
      <c r="Q561" s="16" t="s">
        <v>1323</v>
      </c>
      <c r="R561" s="16" t="s">
        <v>915</v>
      </c>
      <c r="S561" s="16" t="s">
        <v>915</v>
      </c>
      <c r="T561" s="16" t="s">
        <v>1322</v>
      </c>
      <c r="U561" s="16" t="s">
        <v>1324</v>
      </c>
      <c r="V561" s="16" t="s">
        <v>916</v>
      </c>
      <c r="W561" s="16" t="s">
        <v>1324</v>
      </c>
      <c r="X561" s="16" t="s">
        <v>934</v>
      </c>
      <c r="Y561" s="16" t="s">
        <v>934</v>
      </c>
      <c r="Z561" s="16" t="s">
        <v>935</v>
      </c>
      <c r="DA561" s="405" t="s">
        <v>5</v>
      </c>
      <c r="DB561" s="405" t="s">
        <v>363</v>
      </c>
      <c r="DC561" s="406" t="s">
        <v>85</v>
      </c>
      <c r="DD561" s="405" t="s">
        <v>917</v>
      </c>
      <c r="DE561" s="405" t="s">
        <v>5</v>
      </c>
      <c r="DF561" s="406" t="s">
        <v>85</v>
      </c>
      <c r="DG561" s="407">
        <v>45850</v>
      </c>
      <c r="DH561" s="405" t="s">
        <v>6489</v>
      </c>
      <c r="DI561" s="406">
        <v>465455</v>
      </c>
      <c r="DJ561" s="408">
        <v>5</v>
      </c>
      <c r="DK561" s="405">
        <v>1</v>
      </c>
      <c r="DL561" s="82">
        <v>332.47</v>
      </c>
      <c r="DM561" s="409">
        <v>1.6623500000000002</v>
      </c>
      <c r="DN561" s="82" t="s">
        <v>85</v>
      </c>
      <c r="DO561" s="82" t="s">
        <v>85</v>
      </c>
      <c r="DP561" s="410" t="s">
        <v>85</v>
      </c>
    </row>
    <row r="562" spans="1:120" x14ac:dyDescent="0.25">
      <c r="A562" s="16" t="s">
        <v>6493</v>
      </c>
      <c r="B562" s="16" t="s">
        <v>6494</v>
      </c>
      <c r="C562" s="16" t="s">
        <v>6495</v>
      </c>
      <c r="D562" s="16" t="s">
        <v>6340</v>
      </c>
      <c r="E562" s="16" t="s">
        <v>6496</v>
      </c>
      <c r="F562" s="16" t="s">
        <v>6497</v>
      </c>
      <c r="G562" s="16" t="s">
        <v>6498</v>
      </c>
      <c r="H562" s="16" t="s">
        <v>6499</v>
      </c>
      <c r="I562" s="16" t="s">
        <v>1937</v>
      </c>
      <c r="J562" s="16" t="s">
        <v>1036</v>
      </c>
      <c r="K562" s="16" t="s">
        <v>1938</v>
      </c>
      <c r="L562" s="16" t="s">
        <v>85</v>
      </c>
      <c r="M562" s="16" t="s">
        <v>1216</v>
      </c>
      <c r="N562" s="16" t="s">
        <v>914</v>
      </c>
      <c r="O562" s="16" t="s">
        <v>946</v>
      </c>
      <c r="P562" s="16" t="s">
        <v>914</v>
      </c>
      <c r="Q562" s="16" t="s">
        <v>946</v>
      </c>
      <c r="R562" s="16" t="s">
        <v>915</v>
      </c>
      <c r="S562" s="16" t="s">
        <v>915</v>
      </c>
      <c r="T562" s="16" t="s">
        <v>1216</v>
      </c>
      <c r="U562" s="16" t="s">
        <v>1217</v>
      </c>
      <c r="V562" s="16" t="s">
        <v>916</v>
      </c>
      <c r="W562" s="16" t="s">
        <v>1217</v>
      </c>
      <c r="X562" s="16" t="s">
        <v>934</v>
      </c>
      <c r="Y562" s="16" t="s">
        <v>934</v>
      </c>
      <c r="Z562" s="16" t="s">
        <v>935</v>
      </c>
      <c r="DA562" s="405" t="s">
        <v>5</v>
      </c>
      <c r="DB562" s="405" t="s">
        <v>363</v>
      </c>
      <c r="DC562" s="406" t="s">
        <v>85</v>
      </c>
      <c r="DD562" s="405" t="s">
        <v>917</v>
      </c>
      <c r="DE562" s="405" t="s">
        <v>5</v>
      </c>
      <c r="DF562" s="406" t="s">
        <v>85</v>
      </c>
      <c r="DG562" s="407">
        <v>45850</v>
      </c>
      <c r="DH562" s="405" t="s">
        <v>6496</v>
      </c>
      <c r="DI562" s="406">
        <v>465455</v>
      </c>
      <c r="DJ562" s="408">
        <v>5</v>
      </c>
      <c r="DK562" s="405">
        <v>1</v>
      </c>
      <c r="DL562" s="82">
        <v>319.22000000000003</v>
      </c>
      <c r="DM562" s="409">
        <v>1.5961000000000001</v>
      </c>
      <c r="DN562" s="82" t="s">
        <v>85</v>
      </c>
      <c r="DO562" s="82" t="s">
        <v>85</v>
      </c>
      <c r="DP562" s="410" t="s">
        <v>85</v>
      </c>
    </row>
    <row r="563" spans="1:120" x14ac:dyDescent="0.25">
      <c r="A563" s="16" t="s">
        <v>6500</v>
      </c>
      <c r="B563" s="16" t="s">
        <v>6501</v>
      </c>
      <c r="C563" s="16" t="s">
        <v>6502</v>
      </c>
      <c r="D563" s="16" t="s">
        <v>6340</v>
      </c>
      <c r="E563" s="16" t="s">
        <v>6503</v>
      </c>
      <c r="F563" s="16" t="s">
        <v>6504</v>
      </c>
      <c r="G563" s="16" t="s">
        <v>6505</v>
      </c>
      <c r="H563" s="16" t="s">
        <v>6506</v>
      </c>
      <c r="I563" s="16" t="s">
        <v>1377</v>
      </c>
      <c r="J563" s="16" t="s">
        <v>943</v>
      </c>
      <c r="K563" s="16" t="s">
        <v>1378</v>
      </c>
      <c r="L563" s="16" t="s">
        <v>85</v>
      </c>
      <c r="M563" s="16" t="s">
        <v>984</v>
      </c>
      <c r="N563" s="16" t="s">
        <v>914</v>
      </c>
      <c r="O563" s="16" t="s">
        <v>985</v>
      </c>
      <c r="P563" s="16" t="s">
        <v>914</v>
      </c>
      <c r="Q563" s="16" t="s">
        <v>985</v>
      </c>
      <c r="R563" s="16" t="s">
        <v>915</v>
      </c>
      <c r="S563" s="16" t="s">
        <v>915</v>
      </c>
      <c r="T563" s="16" t="s">
        <v>986</v>
      </c>
      <c r="U563" s="16" t="s">
        <v>987</v>
      </c>
      <c r="V563" s="16" t="s">
        <v>916</v>
      </c>
      <c r="W563" s="16" t="s">
        <v>987</v>
      </c>
      <c r="X563" s="16" t="s">
        <v>934</v>
      </c>
      <c r="Y563" s="16" t="s">
        <v>934</v>
      </c>
      <c r="Z563" s="16" t="s">
        <v>935</v>
      </c>
      <c r="DA563" s="405" t="s">
        <v>5</v>
      </c>
      <c r="DB563" s="405" t="s">
        <v>363</v>
      </c>
      <c r="DC563" s="406" t="s">
        <v>85</v>
      </c>
      <c r="DD563" s="405" t="s">
        <v>917</v>
      </c>
      <c r="DE563" s="405" t="s">
        <v>5</v>
      </c>
      <c r="DF563" s="406" t="s">
        <v>85</v>
      </c>
      <c r="DG563" s="407">
        <v>45850</v>
      </c>
      <c r="DH563" s="405" t="s">
        <v>6503</v>
      </c>
      <c r="DI563" s="406">
        <v>465455</v>
      </c>
      <c r="DJ563" s="408">
        <v>5</v>
      </c>
      <c r="DK563" s="405">
        <v>1</v>
      </c>
      <c r="DL563" s="82">
        <v>340.55</v>
      </c>
      <c r="DM563" s="409">
        <v>1.70275</v>
      </c>
      <c r="DN563" s="82" t="s">
        <v>85</v>
      </c>
      <c r="DO563" s="82" t="s">
        <v>85</v>
      </c>
      <c r="DP563" s="410" t="s">
        <v>85</v>
      </c>
    </row>
    <row r="564" spans="1:120" x14ac:dyDescent="0.25">
      <c r="A564" s="16" t="s">
        <v>6500</v>
      </c>
      <c r="B564" s="16" t="s">
        <v>6501</v>
      </c>
      <c r="C564" s="16" t="s">
        <v>6502</v>
      </c>
      <c r="D564" s="16" t="s">
        <v>6340</v>
      </c>
      <c r="E564" s="16" t="s">
        <v>6503</v>
      </c>
      <c r="F564" s="16" t="s">
        <v>6504</v>
      </c>
      <c r="G564" s="16" t="s">
        <v>6505</v>
      </c>
      <c r="H564" s="16" t="s">
        <v>6506</v>
      </c>
      <c r="I564" s="16" t="s">
        <v>1150</v>
      </c>
      <c r="J564" s="16" t="s">
        <v>943</v>
      </c>
      <c r="K564" s="16" t="s">
        <v>1151</v>
      </c>
      <c r="L564" s="16" t="s">
        <v>85</v>
      </c>
      <c r="M564" s="16" t="s">
        <v>984</v>
      </c>
      <c r="N564" s="16" t="s">
        <v>914</v>
      </c>
      <c r="O564" s="16" t="s">
        <v>985</v>
      </c>
      <c r="P564" s="16" t="s">
        <v>914</v>
      </c>
      <c r="Q564" s="16" t="s">
        <v>985</v>
      </c>
      <c r="R564" s="16" t="s">
        <v>915</v>
      </c>
      <c r="S564" s="16" t="s">
        <v>915</v>
      </c>
      <c r="T564" s="16" t="s">
        <v>986</v>
      </c>
      <c r="U564" s="16" t="s">
        <v>987</v>
      </c>
      <c r="V564" s="16" t="s">
        <v>916</v>
      </c>
      <c r="W564" s="16" t="s">
        <v>987</v>
      </c>
      <c r="X564" s="16" t="s">
        <v>934</v>
      </c>
      <c r="Y564" s="16" t="s">
        <v>934</v>
      </c>
      <c r="Z564" s="16" t="s">
        <v>935</v>
      </c>
      <c r="DA564" s="405" t="s">
        <v>5</v>
      </c>
      <c r="DB564" s="405" t="s">
        <v>363</v>
      </c>
      <c r="DC564" s="406" t="s">
        <v>85</v>
      </c>
      <c r="DD564" s="405" t="s">
        <v>917</v>
      </c>
      <c r="DE564" s="405" t="s">
        <v>5</v>
      </c>
      <c r="DF564" s="406" t="s">
        <v>85</v>
      </c>
      <c r="DG564" s="407">
        <v>45850</v>
      </c>
      <c r="DH564" s="405" t="s">
        <v>6503</v>
      </c>
      <c r="DI564" s="406">
        <v>465455</v>
      </c>
      <c r="DJ564" s="408">
        <v>5</v>
      </c>
      <c r="DK564" s="405">
        <v>1</v>
      </c>
      <c r="DL564" s="82">
        <v>340.55</v>
      </c>
      <c r="DM564" s="409">
        <v>1.70275</v>
      </c>
      <c r="DN564" s="82" t="s">
        <v>85</v>
      </c>
      <c r="DO564" s="82" t="s">
        <v>85</v>
      </c>
      <c r="DP564" s="410" t="s">
        <v>85</v>
      </c>
    </row>
    <row r="565" spans="1:120" x14ac:dyDescent="0.25">
      <c r="A565" s="16" t="s">
        <v>6500</v>
      </c>
      <c r="B565" s="16" t="s">
        <v>6501</v>
      </c>
      <c r="C565" s="16" t="s">
        <v>6502</v>
      </c>
      <c r="D565" s="16" t="s">
        <v>6340</v>
      </c>
      <c r="E565" s="16" t="s">
        <v>6503</v>
      </c>
      <c r="F565" s="16" t="s">
        <v>6504</v>
      </c>
      <c r="G565" s="16" t="s">
        <v>6505</v>
      </c>
      <c r="H565" s="16" t="s">
        <v>6506</v>
      </c>
      <c r="I565" s="16" t="s">
        <v>1719</v>
      </c>
      <c r="J565" s="16" t="s">
        <v>943</v>
      </c>
      <c r="K565" s="16" t="s">
        <v>1720</v>
      </c>
      <c r="L565" s="16" t="s">
        <v>85</v>
      </c>
      <c r="M565" s="16" t="s">
        <v>984</v>
      </c>
      <c r="N565" s="16" t="s">
        <v>914</v>
      </c>
      <c r="O565" s="16" t="s">
        <v>985</v>
      </c>
      <c r="P565" s="16" t="s">
        <v>914</v>
      </c>
      <c r="Q565" s="16" t="s">
        <v>985</v>
      </c>
      <c r="R565" s="16" t="s">
        <v>915</v>
      </c>
      <c r="S565" s="16" t="s">
        <v>915</v>
      </c>
      <c r="T565" s="16" t="s">
        <v>986</v>
      </c>
      <c r="U565" s="16" t="s">
        <v>987</v>
      </c>
      <c r="V565" s="16" t="s">
        <v>916</v>
      </c>
      <c r="W565" s="16" t="s">
        <v>987</v>
      </c>
      <c r="X565" s="16" t="s">
        <v>934</v>
      </c>
      <c r="Y565" s="16" t="s">
        <v>934</v>
      </c>
      <c r="Z565" s="16" t="s">
        <v>935</v>
      </c>
      <c r="DA565" s="405" t="s">
        <v>5</v>
      </c>
      <c r="DB565" s="405" t="s">
        <v>363</v>
      </c>
      <c r="DC565" s="406" t="s">
        <v>85</v>
      </c>
      <c r="DD565" s="405" t="s">
        <v>917</v>
      </c>
      <c r="DE565" s="405" t="s">
        <v>5</v>
      </c>
      <c r="DF565" s="406" t="s">
        <v>85</v>
      </c>
      <c r="DG565" s="407">
        <v>45850</v>
      </c>
      <c r="DH565" s="405" t="s">
        <v>6503</v>
      </c>
      <c r="DI565" s="406">
        <v>465455</v>
      </c>
      <c r="DJ565" s="408">
        <v>5</v>
      </c>
      <c r="DK565" s="405">
        <v>1</v>
      </c>
      <c r="DL565" s="82">
        <v>340.55</v>
      </c>
      <c r="DM565" s="409">
        <v>1.70275</v>
      </c>
      <c r="DN565" s="82" t="s">
        <v>85</v>
      </c>
      <c r="DO565" s="82" t="s">
        <v>85</v>
      </c>
      <c r="DP565" s="410" t="s">
        <v>85</v>
      </c>
    </row>
    <row r="566" spans="1:120" x14ac:dyDescent="0.25">
      <c r="A566" s="16" t="s">
        <v>6500</v>
      </c>
      <c r="B566" s="16" t="s">
        <v>6501</v>
      </c>
      <c r="C566" s="16" t="s">
        <v>6502</v>
      </c>
      <c r="D566" s="16" t="s">
        <v>6340</v>
      </c>
      <c r="E566" s="16" t="s">
        <v>6503</v>
      </c>
      <c r="F566" s="16" t="s">
        <v>6504</v>
      </c>
      <c r="G566" s="16" t="s">
        <v>6505</v>
      </c>
      <c r="H566" s="16" t="s">
        <v>6506</v>
      </c>
      <c r="I566" s="16" t="s">
        <v>2822</v>
      </c>
      <c r="J566" s="16" t="s">
        <v>943</v>
      </c>
      <c r="K566" s="16" t="s">
        <v>2823</v>
      </c>
      <c r="L566" s="16" t="s">
        <v>85</v>
      </c>
      <c r="M566" s="16" t="s">
        <v>984</v>
      </c>
      <c r="N566" s="16" t="s">
        <v>914</v>
      </c>
      <c r="O566" s="16" t="s">
        <v>985</v>
      </c>
      <c r="P566" s="16" t="s">
        <v>914</v>
      </c>
      <c r="Q566" s="16" t="s">
        <v>985</v>
      </c>
      <c r="R566" s="16" t="s">
        <v>915</v>
      </c>
      <c r="S566" s="16" t="s">
        <v>915</v>
      </c>
      <c r="T566" s="16" t="s">
        <v>986</v>
      </c>
      <c r="U566" s="16" t="s">
        <v>987</v>
      </c>
      <c r="V566" s="16" t="s">
        <v>916</v>
      </c>
      <c r="W566" s="16" t="s">
        <v>987</v>
      </c>
      <c r="X566" s="16" t="s">
        <v>934</v>
      </c>
      <c r="Y566" s="16" t="s">
        <v>934</v>
      </c>
      <c r="Z566" s="16" t="s">
        <v>935</v>
      </c>
      <c r="DA566" s="405" t="s">
        <v>5</v>
      </c>
      <c r="DB566" s="405" t="s">
        <v>363</v>
      </c>
      <c r="DC566" s="406" t="s">
        <v>85</v>
      </c>
      <c r="DD566" s="405" t="s">
        <v>917</v>
      </c>
      <c r="DE566" s="405" t="s">
        <v>5</v>
      </c>
      <c r="DF566" s="406" t="s">
        <v>85</v>
      </c>
      <c r="DG566" s="407">
        <v>45850</v>
      </c>
      <c r="DH566" s="405" t="s">
        <v>6503</v>
      </c>
      <c r="DI566" s="406">
        <v>465455</v>
      </c>
      <c r="DJ566" s="408">
        <v>5</v>
      </c>
      <c r="DK566" s="405">
        <v>1</v>
      </c>
      <c r="DL566" s="82">
        <v>340.55</v>
      </c>
      <c r="DM566" s="409">
        <v>1.70275</v>
      </c>
      <c r="DN566" s="82" t="s">
        <v>85</v>
      </c>
      <c r="DO566" s="82" t="s">
        <v>85</v>
      </c>
      <c r="DP566" s="410" t="s">
        <v>85</v>
      </c>
    </row>
    <row r="567" spans="1:120" x14ac:dyDescent="0.25">
      <c r="A567" s="16" t="s">
        <v>6500</v>
      </c>
      <c r="B567" s="16" t="s">
        <v>6501</v>
      </c>
      <c r="C567" s="16" t="s">
        <v>6502</v>
      </c>
      <c r="D567" s="16" t="s">
        <v>6340</v>
      </c>
      <c r="E567" s="16" t="s">
        <v>6503</v>
      </c>
      <c r="F567" s="16" t="s">
        <v>6504</v>
      </c>
      <c r="G567" s="16" t="s">
        <v>6505</v>
      </c>
      <c r="H567" s="16" t="s">
        <v>6506</v>
      </c>
      <c r="I567" s="16" t="s">
        <v>2898</v>
      </c>
      <c r="J567" s="16" t="s">
        <v>943</v>
      </c>
      <c r="K567" s="16" t="s">
        <v>2899</v>
      </c>
      <c r="L567" s="16" t="s">
        <v>85</v>
      </c>
      <c r="M567" s="16" t="s">
        <v>984</v>
      </c>
      <c r="N567" s="16" t="s">
        <v>914</v>
      </c>
      <c r="O567" s="16" t="s">
        <v>985</v>
      </c>
      <c r="P567" s="16" t="s">
        <v>914</v>
      </c>
      <c r="Q567" s="16" t="s">
        <v>985</v>
      </c>
      <c r="R567" s="16" t="s">
        <v>915</v>
      </c>
      <c r="S567" s="16" t="s">
        <v>915</v>
      </c>
      <c r="T567" s="16" t="s">
        <v>986</v>
      </c>
      <c r="U567" s="16" t="s">
        <v>987</v>
      </c>
      <c r="V567" s="16" t="s">
        <v>916</v>
      </c>
      <c r="W567" s="16" t="s">
        <v>987</v>
      </c>
      <c r="X567" s="16" t="s">
        <v>934</v>
      </c>
      <c r="Y567" s="16" t="s">
        <v>934</v>
      </c>
      <c r="Z567" s="16" t="s">
        <v>935</v>
      </c>
      <c r="DA567" s="405" t="s">
        <v>5</v>
      </c>
      <c r="DB567" s="405" t="s">
        <v>363</v>
      </c>
      <c r="DC567" s="406" t="s">
        <v>85</v>
      </c>
      <c r="DD567" s="405" t="s">
        <v>917</v>
      </c>
      <c r="DE567" s="405" t="s">
        <v>5</v>
      </c>
      <c r="DF567" s="406" t="s">
        <v>85</v>
      </c>
      <c r="DG567" s="407">
        <v>45850</v>
      </c>
      <c r="DH567" s="405" t="s">
        <v>6503</v>
      </c>
      <c r="DI567" s="406">
        <v>465455</v>
      </c>
      <c r="DJ567" s="408">
        <v>5</v>
      </c>
      <c r="DK567" s="405">
        <v>1</v>
      </c>
      <c r="DL567" s="82">
        <v>340.55</v>
      </c>
      <c r="DM567" s="409">
        <v>1.70275</v>
      </c>
      <c r="DN567" s="82" t="s">
        <v>85</v>
      </c>
      <c r="DO567" s="82" t="s">
        <v>85</v>
      </c>
      <c r="DP567" s="410" t="s">
        <v>85</v>
      </c>
    </row>
    <row r="568" spans="1:120" x14ac:dyDescent="0.25">
      <c r="A568" s="16" t="s">
        <v>6500</v>
      </c>
      <c r="B568" s="16" t="s">
        <v>6501</v>
      </c>
      <c r="C568" s="16" t="s">
        <v>6502</v>
      </c>
      <c r="D568" s="16" t="s">
        <v>6340</v>
      </c>
      <c r="E568" s="16" t="s">
        <v>6503</v>
      </c>
      <c r="F568" s="16" t="s">
        <v>6504</v>
      </c>
      <c r="G568" s="16" t="s">
        <v>6505</v>
      </c>
      <c r="H568" s="16" t="s">
        <v>6506</v>
      </c>
      <c r="I568" s="16" t="s">
        <v>1620</v>
      </c>
      <c r="J568" s="16" t="s">
        <v>943</v>
      </c>
      <c r="K568" s="16" t="s">
        <v>1621</v>
      </c>
      <c r="L568" s="16" t="s">
        <v>85</v>
      </c>
      <c r="M568" s="16" t="s">
        <v>984</v>
      </c>
      <c r="N568" s="16" t="s">
        <v>914</v>
      </c>
      <c r="O568" s="16" t="s">
        <v>985</v>
      </c>
      <c r="P568" s="16" t="s">
        <v>914</v>
      </c>
      <c r="Q568" s="16" t="s">
        <v>985</v>
      </c>
      <c r="R568" s="16" t="s">
        <v>915</v>
      </c>
      <c r="S568" s="16" t="s">
        <v>915</v>
      </c>
      <c r="T568" s="16" t="s">
        <v>986</v>
      </c>
      <c r="U568" s="16" t="s">
        <v>987</v>
      </c>
      <c r="V568" s="16" t="s">
        <v>916</v>
      </c>
      <c r="W568" s="16" t="s">
        <v>987</v>
      </c>
      <c r="X568" s="16" t="s">
        <v>934</v>
      </c>
      <c r="Y568" s="16" t="s">
        <v>934</v>
      </c>
      <c r="Z568" s="16" t="s">
        <v>935</v>
      </c>
      <c r="DA568" s="405" t="s">
        <v>5</v>
      </c>
      <c r="DB568" s="405" t="s">
        <v>363</v>
      </c>
      <c r="DC568" s="406" t="s">
        <v>85</v>
      </c>
      <c r="DD568" s="405" t="s">
        <v>917</v>
      </c>
      <c r="DE568" s="405" t="s">
        <v>5</v>
      </c>
      <c r="DF568" s="406" t="s">
        <v>85</v>
      </c>
      <c r="DG568" s="407">
        <v>45850</v>
      </c>
      <c r="DH568" s="405" t="s">
        <v>6503</v>
      </c>
      <c r="DI568" s="406">
        <v>465455</v>
      </c>
      <c r="DJ568" s="408">
        <v>5</v>
      </c>
      <c r="DK568" s="405">
        <v>1</v>
      </c>
      <c r="DL568" s="82">
        <v>340.55</v>
      </c>
      <c r="DM568" s="409">
        <v>1.70275</v>
      </c>
      <c r="DN568" s="82" t="s">
        <v>85</v>
      </c>
      <c r="DO568" s="82" t="s">
        <v>85</v>
      </c>
      <c r="DP568" s="410" t="s">
        <v>85</v>
      </c>
    </row>
    <row r="569" spans="1:120" x14ac:dyDescent="0.25">
      <c r="A569" s="16" t="s">
        <v>6507</v>
      </c>
      <c r="B569" s="16" t="s">
        <v>6508</v>
      </c>
      <c r="C569" s="16" t="s">
        <v>6509</v>
      </c>
      <c r="D569" s="16" t="s">
        <v>6340</v>
      </c>
      <c r="E569" s="16" t="s">
        <v>6510</v>
      </c>
      <c r="F569" s="16" t="s">
        <v>6511</v>
      </c>
      <c r="G569" s="16" t="s">
        <v>6512</v>
      </c>
      <c r="H569" s="16" t="s">
        <v>6511</v>
      </c>
      <c r="I569" s="16" t="s">
        <v>1494</v>
      </c>
      <c r="J569" s="16" t="s">
        <v>943</v>
      </c>
      <c r="K569" s="16" t="s">
        <v>1495</v>
      </c>
      <c r="L569" s="16" t="s">
        <v>85</v>
      </c>
      <c r="M569" s="16" t="s">
        <v>984</v>
      </c>
      <c r="N569" s="16" t="s">
        <v>914</v>
      </c>
      <c r="O569" s="16" t="s">
        <v>985</v>
      </c>
      <c r="P569" s="16" t="s">
        <v>914</v>
      </c>
      <c r="Q569" s="16" t="s">
        <v>985</v>
      </c>
      <c r="R569" s="16" t="s">
        <v>915</v>
      </c>
      <c r="S569" s="16" t="s">
        <v>915</v>
      </c>
      <c r="T569" s="16" t="s">
        <v>986</v>
      </c>
      <c r="U569" s="16" t="s">
        <v>987</v>
      </c>
      <c r="V569" s="16" t="s">
        <v>916</v>
      </c>
      <c r="W569" s="16" t="s">
        <v>987</v>
      </c>
      <c r="X569" s="16" t="s">
        <v>934</v>
      </c>
      <c r="Y569" s="16" t="s">
        <v>934</v>
      </c>
      <c r="Z569" s="16" t="s">
        <v>935</v>
      </c>
      <c r="DA569" s="405" t="s">
        <v>5</v>
      </c>
      <c r="DB569" s="405" t="s">
        <v>363</v>
      </c>
      <c r="DC569" s="406" t="s">
        <v>85</v>
      </c>
      <c r="DD569" s="405" t="s">
        <v>917</v>
      </c>
      <c r="DE569" s="405" t="s">
        <v>5</v>
      </c>
      <c r="DF569" s="406" t="s">
        <v>85</v>
      </c>
      <c r="DG569" s="407">
        <v>45850</v>
      </c>
      <c r="DH569" s="405" t="s">
        <v>6510</v>
      </c>
      <c r="DI569" s="406">
        <v>465455</v>
      </c>
      <c r="DJ569" s="408">
        <v>5</v>
      </c>
      <c r="DK569" s="405">
        <v>1</v>
      </c>
      <c r="DL569" s="82">
        <v>340.55</v>
      </c>
      <c r="DM569" s="409">
        <v>1.70275</v>
      </c>
      <c r="DN569" s="82" t="s">
        <v>85</v>
      </c>
      <c r="DO569" s="82" t="s">
        <v>85</v>
      </c>
      <c r="DP569" s="410" t="s">
        <v>85</v>
      </c>
    </row>
    <row r="570" spans="1:120" x14ac:dyDescent="0.25">
      <c r="A570" s="16" t="s">
        <v>6507</v>
      </c>
      <c r="B570" s="16" t="s">
        <v>6508</v>
      </c>
      <c r="C570" s="16" t="s">
        <v>6509</v>
      </c>
      <c r="D570" s="16" t="s">
        <v>6340</v>
      </c>
      <c r="E570" s="16" t="s">
        <v>6510</v>
      </c>
      <c r="F570" s="16" t="s">
        <v>6511</v>
      </c>
      <c r="G570" s="16" t="s">
        <v>6512</v>
      </c>
      <c r="H570" s="16" t="s">
        <v>6511</v>
      </c>
      <c r="I570" s="16" t="s">
        <v>2136</v>
      </c>
      <c r="J570" s="16" t="s">
        <v>943</v>
      </c>
      <c r="K570" s="16" t="s">
        <v>2137</v>
      </c>
      <c r="L570" s="16" t="s">
        <v>85</v>
      </c>
      <c r="M570" s="16" t="s">
        <v>984</v>
      </c>
      <c r="N570" s="16" t="s">
        <v>914</v>
      </c>
      <c r="O570" s="16" t="s">
        <v>985</v>
      </c>
      <c r="P570" s="16" t="s">
        <v>914</v>
      </c>
      <c r="Q570" s="16" t="s">
        <v>985</v>
      </c>
      <c r="R570" s="16" t="s">
        <v>915</v>
      </c>
      <c r="S570" s="16" t="s">
        <v>915</v>
      </c>
      <c r="T570" s="16" t="s">
        <v>986</v>
      </c>
      <c r="U570" s="16" t="s">
        <v>987</v>
      </c>
      <c r="V570" s="16" t="s">
        <v>916</v>
      </c>
      <c r="W570" s="16" t="s">
        <v>987</v>
      </c>
      <c r="X570" s="16" t="s">
        <v>934</v>
      </c>
      <c r="Y570" s="16" t="s">
        <v>934</v>
      </c>
      <c r="Z570" s="16" t="s">
        <v>935</v>
      </c>
      <c r="DA570" s="405" t="s">
        <v>5</v>
      </c>
      <c r="DB570" s="405" t="s">
        <v>363</v>
      </c>
      <c r="DC570" s="406" t="s">
        <v>85</v>
      </c>
      <c r="DD570" s="405" t="s">
        <v>917</v>
      </c>
      <c r="DE570" s="405" t="s">
        <v>5</v>
      </c>
      <c r="DF570" s="406" t="s">
        <v>85</v>
      </c>
      <c r="DG570" s="407">
        <v>45850</v>
      </c>
      <c r="DH570" s="405" t="s">
        <v>6510</v>
      </c>
      <c r="DI570" s="406">
        <v>465455</v>
      </c>
      <c r="DJ570" s="408">
        <v>5</v>
      </c>
      <c r="DK570" s="405">
        <v>1</v>
      </c>
      <c r="DL570" s="82">
        <v>340.55</v>
      </c>
      <c r="DM570" s="409">
        <v>1.70275</v>
      </c>
      <c r="DN570" s="82" t="s">
        <v>85</v>
      </c>
      <c r="DO570" s="82" t="s">
        <v>85</v>
      </c>
      <c r="DP570" s="410" t="s">
        <v>85</v>
      </c>
    </row>
    <row r="571" spans="1:120" x14ac:dyDescent="0.25">
      <c r="A571" s="16" t="s">
        <v>6507</v>
      </c>
      <c r="B571" s="16" t="s">
        <v>6508</v>
      </c>
      <c r="C571" s="16" t="s">
        <v>6509</v>
      </c>
      <c r="D571" s="16" t="s">
        <v>6340</v>
      </c>
      <c r="E571" s="16" t="s">
        <v>6510</v>
      </c>
      <c r="F571" s="16" t="s">
        <v>6511</v>
      </c>
      <c r="G571" s="16" t="s">
        <v>6512</v>
      </c>
      <c r="H571" s="16" t="s">
        <v>6511</v>
      </c>
      <c r="I571" s="16" t="s">
        <v>1057</v>
      </c>
      <c r="J571" s="16" t="s">
        <v>943</v>
      </c>
      <c r="K571" s="16" t="s">
        <v>1058</v>
      </c>
      <c r="L571" s="16" t="s">
        <v>85</v>
      </c>
      <c r="M571" s="16" t="s">
        <v>984</v>
      </c>
      <c r="N571" s="16" t="s">
        <v>914</v>
      </c>
      <c r="O571" s="16" t="s">
        <v>985</v>
      </c>
      <c r="P571" s="16" t="s">
        <v>914</v>
      </c>
      <c r="Q571" s="16" t="s">
        <v>985</v>
      </c>
      <c r="R571" s="16" t="s">
        <v>915</v>
      </c>
      <c r="S571" s="16" t="s">
        <v>915</v>
      </c>
      <c r="T571" s="16" t="s">
        <v>986</v>
      </c>
      <c r="U571" s="16" t="s">
        <v>987</v>
      </c>
      <c r="V571" s="16" t="s">
        <v>916</v>
      </c>
      <c r="W571" s="16" t="s">
        <v>987</v>
      </c>
      <c r="X571" s="16" t="s">
        <v>934</v>
      </c>
      <c r="Y571" s="16" t="s">
        <v>934</v>
      </c>
      <c r="Z571" s="16" t="s">
        <v>935</v>
      </c>
      <c r="DA571" s="405" t="s">
        <v>5</v>
      </c>
      <c r="DB571" s="405" t="s">
        <v>363</v>
      </c>
      <c r="DC571" s="406" t="s">
        <v>85</v>
      </c>
      <c r="DD571" s="405" t="s">
        <v>917</v>
      </c>
      <c r="DE571" s="405" t="s">
        <v>5</v>
      </c>
      <c r="DF571" s="406" t="s">
        <v>85</v>
      </c>
      <c r="DG571" s="407">
        <v>45850</v>
      </c>
      <c r="DH571" s="405" t="s">
        <v>6510</v>
      </c>
      <c r="DI571" s="406">
        <v>465455</v>
      </c>
      <c r="DJ571" s="408">
        <v>5</v>
      </c>
      <c r="DK571" s="405">
        <v>1</v>
      </c>
      <c r="DL571" s="82">
        <v>340.55</v>
      </c>
      <c r="DM571" s="409">
        <v>1.70275</v>
      </c>
      <c r="DN571" s="82" t="s">
        <v>85</v>
      </c>
      <c r="DO571" s="82" t="s">
        <v>85</v>
      </c>
      <c r="DP571" s="410" t="s">
        <v>85</v>
      </c>
    </row>
    <row r="572" spans="1:120" x14ac:dyDescent="0.25">
      <c r="A572" s="16" t="s">
        <v>6507</v>
      </c>
      <c r="B572" s="16" t="s">
        <v>6508</v>
      </c>
      <c r="C572" s="16" t="s">
        <v>6509</v>
      </c>
      <c r="D572" s="16" t="s">
        <v>6340</v>
      </c>
      <c r="E572" s="16" t="s">
        <v>6510</v>
      </c>
      <c r="F572" s="16" t="s">
        <v>6511</v>
      </c>
      <c r="G572" s="16" t="s">
        <v>6512</v>
      </c>
      <c r="H572" s="16" t="s">
        <v>6511</v>
      </c>
      <c r="I572" s="16" t="s">
        <v>1765</v>
      </c>
      <c r="J572" s="16" t="s">
        <v>943</v>
      </c>
      <c r="K572" s="16" t="s">
        <v>1766</v>
      </c>
      <c r="L572" s="16" t="s">
        <v>85</v>
      </c>
      <c r="M572" s="16" t="s">
        <v>984</v>
      </c>
      <c r="N572" s="16" t="s">
        <v>914</v>
      </c>
      <c r="O572" s="16" t="s">
        <v>985</v>
      </c>
      <c r="P572" s="16" t="s">
        <v>914</v>
      </c>
      <c r="Q572" s="16" t="s">
        <v>985</v>
      </c>
      <c r="R572" s="16" t="s">
        <v>915</v>
      </c>
      <c r="S572" s="16" t="s">
        <v>915</v>
      </c>
      <c r="T572" s="16" t="s">
        <v>986</v>
      </c>
      <c r="U572" s="16" t="s">
        <v>987</v>
      </c>
      <c r="V572" s="16" t="s">
        <v>916</v>
      </c>
      <c r="W572" s="16" t="s">
        <v>987</v>
      </c>
      <c r="X572" s="16" t="s">
        <v>934</v>
      </c>
      <c r="Y572" s="16" t="s">
        <v>934</v>
      </c>
      <c r="Z572" s="16" t="s">
        <v>935</v>
      </c>
      <c r="DA572" s="405" t="s">
        <v>5</v>
      </c>
      <c r="DB572" s="405" t="s">
        <v>363</v>
      </c>
      <c r="DC572" s="406" t="s">
        <v>85</v>
      </c>
      <c r="DD572" s="405" t="s">
        <v>917</v>
      </c>
      <c r="DE572" s="405" t="s">
        <v>5</v>
      </c>
      <c r="DF572" s="406" t="s">
        <v>85</v>
      </c>
      <c r="DG572" s="407">
        <v>45850</v>
      </c>
      <c r="DH572" s="405" t="s">
        <v>6510</v>
      </c>
      <c r="DI572" s="406">
        <v>465455</v>
      </c>
      <c r="DJ572" s="408">
        <v>5</v>
      </c>
      <c r="DK572" s="405">
        <v>1</v>
      </c>
      <c r="DL572" s="82">
        <v>340.55</v>
      </c>
      <c r="DM572" s="409">
        <v>1.70275</v>
      </c>
      <c r="DN572" s="82" t="s">
        <v>85</v>
      </c>
      <c r="DO572" s="82" t="s">
        <v>85</v>
      </c>
      <c r="DP572" s="410" t="s">
        <v>85</v>
      </c>
    </row>
    <row r="573" spans="1:120" x14ac:dyDescent="0.25">
      <c r="A573" s="16" t="s">
        <v>6513</v>
      </c>
      <c r="B573" s="16" t="s">
        <v>6514</v>
      </c>
      <c r="C573" s="16" t="s">
        <v>6515</v>
      </c>
      <c r="D573" s="16" t="s">
        <v>6340</v>
      </c>
      <c r="E573" s="16" t="s">
        <v>6516</v>
      </c>
      <c r="F573" s="16" t="s">
        <v>6517</v>
      </c>
      <c r="G573" s="16" t="s">
        <v>6518</v>
      </c>
      <c r="H573" s="16" t="s">
        <v>6517</v>
      </c>
      <c r="I573" s="16" t="s">
        <v>1414</v>
      </c>
      <c r="J573" s="16" t="s">
        <v>1109</v>
      </c>
      <c r="K573" s="16" t="s">
        <v>1415</v>
      </c>
      <c r="L573" s="16" t="s">
        <v>85</v>
      </c>
      <c r="M573" s="16" t="s">
        <v>1311</v>
      </c>
      <c r="N573" s="16" t="s">
        <v>914</v>
      </c>
      <c r="O573" s="16" t="s">
        <v>1312</v>
      </c>
      <c r="P573" s="16" t="s">
        <v>914</v>
      </c>
      <c r="Q573" s="16" t="s">
        <v>1312</v>
      </c>
      <c r="R573" s="16" t="s">
        <v>915</v>
      </c>
      <c r="S573" s="16" t="s">
        <v>915</v>
      </c>
      <c r="T573" s="16" t="s">
        <v>1311</v>
      </c>
      <c r="U573" s="16" t="s">
        <v>1313</v>
      </c>
      <c r="V573" s="16" t="s">
        <v>916</v>
      </c>
      <c r="W573" s="16" t="s">
        <v>1313</v>
      </c>
      <c r="X573" s="16" t="s">
        <v>934</v>
      </c>
      <c r="Y573" s="16" t="s">
        <v>934</v>
      </c>
      <c r="Z573" s="16" t="s">
        <v>935</v>
      </c>
      <c r="DA573" s="405" t="s">
        <v>5</v>
      </c>
      <c r="DB573" s="405" t="s">
        <v>363</v>
      </c>
      <c r="DC573" s="406" t="s">
        <v>85</v>
      </c>
      <c r="DD573" s="405" t="s">
        <v>917</v>
      </c>
      <c r="DE573" s="405" t="s">
        <v>5</v>
      </c>
      <c r="DF573" s="406" t="s">
        <v>85</v>
      </c>
      <c r="DG573" s="407">
        <v>45850</v>
      </c>
      <c r="DH573" s="405" t="s">
        <v>6516</v>
      </c>
      <c r="DI573" s="406">
        <v>465455</v>
      </c>
      <c r="DJ573" s="408">
        <v>5</v>
      </c>
      <c r="DK573" s="405">
        <v>1</v>
      </c>
      <c r="DL573" s="82">
        <v>531.54</v>
      </c>
      <c r="DM573" s="409">
        <v>2.6576999999999997</v>
      </c>
      <c r="DN573" s="82" t="s">
        <v>85</v>
      </c>
      <c r="DO573" s="82" t="s">
        <v>85</v>
      </c>
      <c r="DP573" s="410" t="s">
        <v>85</v>
      </c>
    </row>
    <row r="574" spans="1:120" x14ac:dyDescent="0.25">
      <c r="A574" s="16" t="s">
        <v>6519</v>
      </c>
      <c r="B574" s="16" t="s">
        <v>6520</v>
      </c>
      <c r="C574" s="16" t="s">
        <v>6521</v>
      </c>
      <c r="D574" s="16" t="s">
        <v>6340</v>
      </c>
      <c r="E574" s="16" t="s">
        <v>6522</v>
      </c>
      <c r="F574" s="16" t="s">
        <v>6523</v>
      </c>
      <c r="G574" s="16" t="s">
        <v>6524</v>
      </c>
      <c r="H574" s="16" t="s">
        <v>6523</v>
      </c>
      <c r="I574" s="16" t="s">
        <v>1026</v>
      </c>
      <c r="J574" s="16" t="s">
        <v>943</v>
      </c>
      <c r="K574" s="16" t="s">
        <v>1027</v>
      </c>
      <c r="L574" s="16" t="s">
        <v>85</v>
      </c>
      <c r="M574" s="16" t="s">
        <v>984</v>
      </c>
      <c r="N574" s="16" t="s">
        <v>914</v>
      </c>
      <c r="O574" s="16" t="s">
        <v>985</v>
      </c>
      <c r="P574" s="16" t="s">
        <v>914</v>
      </c>
      <c r="Q574" s="16" t="s">
        <v>985</v>
      </c>
      <c r="R574" s="16" t="s">
        <v>915</v>
      </c>
      <c r="S574" s="16" t="s">
        <v>915</v>
      </c>
      <c r="T574" s="16" t="s">
        <v>986</v>
      </c>
      <c r="U574" s="16" t="s">
        <v>987</v>
      </c>
      <c r="V574" s="16" t="s">
        <v>916</v>
      </c>
      <c r="W574" s="16" t="s">
        <v>987</v>
      </c>
      <c r="X574" s="16" t="s">
        <v>934</v>
      </c>
      <c r="Y574" s="16" t="s">
        <v>934</v>
      </c>
      <c r="Z574" s="16" t="s">
        <v>935</v>
      </c>
      <c r="DA574" s="405" t="s">
        <v>5</v>
      </c>
      <c r="DB574" s="405" t="s">
        <v>363</v>
      </c>
      <c r="DC574" s="406" t="s">
        <v>85</v>
      </c>
      <c r="DD574" s="405" t="s">
        <v>917</v>
      </c>
      <c r="DE574" s="405" t="s">
        <v>5</v>
      </c>
      <c r="DF574" s="406" t="s">
        <v>85</v>
      </c>
      <c r="DG574" s="407">
        <v>45850</v>
      </c>
      <c r="DH574" s="405" t="s">
        <v>6522</v>
      </c>
      <c r="DI574" s="406">
        <v>465455</v>
      </c>
      <c r="DJ574" s="408">
        <v>5</v>
      </c>
      <c r="DK574" s="405">
        <v>1</v>
      </c>
      <c r="DL574" s="82">
        <v>340.55</v>
      </c>
      <c r="DM574" s="409">
        <v>1.70275</v>
      </c>
      <c r="DN574" s="82" t="s">
        <v>85</v>
      </c>
      <c r="DO574" s="82" t="s">
        <v>85</v>
      </c>
      <c r="DP574" s="410" t="s">
        <v>85</v>
      </c>
    </row>
    <row r="575" spans="1:120" x14ac:dyDescent="0.25">
      <c r="A575" s="16" t="s">
        <v>6525</v>
      </c>
      <c r="B575" s="16" t="s">
        <v>6526</v>
      </c>
      <c r="C575" s="16" t="s">
        <v>6527</v>
      </c>
      <c r="D575" s="16" t="s">
        <v>6340</v>
      </c>
      <c r="E575" s="16" t="s">
        <v>6528</v>
      </c>
      <c r="F575" s="16" t="s">
        <v>6529</v>
      </c>
      <c r="G575" s="16" t="s">
        <v>6530</v>
      </c>
      <c r="H575" s="16" t="s">
        <v>6529</v>
      </c>
      <c r="I575" s="16" t="s">
        <v>1214</v>
      </c>
      <c r="J575" s="16" t="s">
        <v>1036</v>
      </c>
      <c r="K575" s="16" t="s">
        <v>1215</v>
      </c>
      <c r="L575" s="16" t="s">
        <v>85</v>
      </c>
      <c r="M575" s="16" t="s">
        <v>1216</v>
      </c>
      <c r="N575" s="16" t="s">
        <v>914</v>
      </c>
      <c r="O575" s="16" t="s">
        <v>946</v>
      </c>
      <c r="P575" s="16" t="s">
        <v>914</v>
      </c>
      <c r="Q575" s="16" t="s">
        <v>946</v>
      </c>
      <c r="R575" s="16" t="s">
        <v>915</v>
      </c>
      <c r="S575" s="16" t="s">
        <v>915</v>
      </c>
      <c r="T575" s="16" t="s">
        <v>1216</v>
      </c>
      <c r="U575" s="16" t="s">
        <v>1217</v>
      </c>
      <c r="V575" s="16" t="s">
        <v>916</v>
      </c>
      <c r="W575" s="16" t="s">
        <v>1217</v>
      </c>
      <c r="X575" s="16" t="s">
        <v>934</v>
      </c>
      <c r="Y575" s="16" t="s">
        <v>934</v>
      </c>
      <c r="Z575" s="16" t="s">
        <v>935</v>
      </c>
      <c r="DA575" s="405" t="s">
        <v>5</v>
      </c>
      <c r="DB575" s="405" t="s">
        <v>363</v>
      </c>
      <c r="DC575" s="406" t="s">
        <v>85</v>
      </c>
      <c r="DD575" s="405" t="s">
        <v>917</v>
      </c>
      <c r="DE575" s="405" t="s">
        <v>5</v>
      </c>
      <c r="DF575" s="406" t="s">
        <v>85</v>
      </c>
      <c r="DG575" s="407">
        <v>45850</v>
      </c>
      <c r="DH575" s="405" t="s">
        <v>6528</v>
      </c>
      <c r="DI575" s="406">
        <v>465455</v>
      </c>
      <c r="DJ575" s="408">
        <v>5</v>
      </c>
      <c r="DK575" s="405">
        <v>1</v>
      </c>
      <c r="DL575" s="82">
        <v>319.22000000000003</v>
      </c>
      <c r="DM575" s="409">
        <v>1.5961000000000001</v>
      </c>
      <c r="DN575" s="82" t="s">
        <v>85</v>
      </c>
      <c r="DO575" s="82" t="s">
        <v>85</v>
      </c>
      <c r="DP575" s="410" t="s">
        <v>85</v>
      </c>
    </row>
    <row r="576" spans="1:120" x14ac:dyDescent="0.25">
      <c r="A576" s="16" t="s">
        <v>6531</v>
      </c>
      <c r="B576" s="16" t="s">
        <v>6532</v>
      </c>
      <c r="C576" s="16" t="s">
        <v>6533</v>
      </c>
      <c r="D576" s="16" t="s">
        <v>6340</v>
      </c>
      <c r="E576" s="16" t="s">
        <v>6534</v>
      </c>
      <c r="F576" s="16" t="s">
        <v>6535</v>
      </c>
      <c r="G576" s="16" t="s">
        <v>6536</v>
      </c>
      <c r="H576" s="16" t="s">
        <v>6535</v>
      </c>
      <c r="I576" s="16" t="s">
        <v>1163</v>
      </c>
      <c r="J576" s="16" t="s">
        <v>995</v>
      </c>
      <c r="K576" s="16" t="s">
        <v>1164</v>
      </c>
      <c r="L576" s="16" t="s">
        <v>85</v>
      </c>
      <c r="M576" s="16" t="s">
        <v>1165</v>
      </c>
      <c r="N576" s="16" t="s">
        <v>914</v>
      </c>
      <c r="O576" s="16" t="s">
        <v>1166</v>
      </c>
      <c r="P576" s="16" t="s">
        <v>914</v>
      </c>
      <c r="Q576" s="16" t="s">
        <v>1166</v>
      </c>
      <c r="R576" s="16" t="s">
        <v>915</v>
      </c>
      <c r="S576" s="16" t="s">
        <v>915</v>
      </c>
      <c r="T576" s="16" t="s">
        <v>1167</v>
      </c>
      <c r="U576" s="16" t="s">
        <v>1168</v>
      </c>
      <c r="V576" s="16" t="s">
        <v>916</v>
      </c>
      <c r="W576" s="16" t="s">
        <v>1168</v>
      </c>
      <c r="X576" s="16" t="s">
        <v>934</v>
      </c>
      <c r="Y576" s="16" t="s">
        <v>934</v>
      </c>
      <c r="Z576" s="16" t="s">
        <v>935</v>
      </c>
      <c r="DA576" s="405" t="s">
        <v>5</v>
      </c>
      <c r="DB576" s="405" t="s">
        <v>363</v>
      </c>
      <c r="DC576" s="406" t="s">
        <v>85</v>
      </c>
      <c r="DD576" s="405" t="s">
        <v>917</v>
      </c>
      <c r="DE576" s="405" t="s">
        <v>5</v>
      </c>
      <c r="DF576" s="406" t="s">
        <v>85</v>
      </c>
      <c r="DG576" s="407">
        <v>45850</v>
      </c>
      <c r="DH576" s="405" t="s">
        <v>6534</v>
      </c>
      <c r="DI576" s="406">
        <v>465455</v>
      </c>
      <c r="DJ576" s="408">
        <v>5</v>
      </c>
      <c r="DK576" s="405">
        <v>1</v>
      </c>
      <c r="DL576" s="82">
        <v>468.28</v>
      </c>
      <c r="DM576" s="409">
        <v>2.3413999999999997</v>
      </c>
      <c r="DN576" s="82" t="s">
        <v>85</v>
      </c>
      <c r="DO576" s="82" t="s">
        <v>85</v>
      </c>
      <c r="DP576" s="410" t="s">
        <v>85</v>
      </c>
    </row>
    <row r="577" spans="1:120" x14ac:dyDescent="0.25">
      <c r="A577" s="16" t="s">
        <v>6537</v>
      </c>
      <c r="B577" s="16" t="s">
        <v>6538</v>
      </c>
      <c r="C577" s="16" t="s">
        <v>6539</v>
      </c>
      <c r="D577" s="16" t="s">
        <v>6340</v>
      </c>
      <c r="E577" s="16" t="s">
        <v>6540</v>
      </c>
      <c r="F577" s="16" t="s">
        <v>6541</v>
      </c>
      <c r="G577" s="16" t="s">
        <v>6542</v>
      </c>
      <c r="H577" s="16" t="s">
        <v>6543</v>
      </c>
      <c r="I577" s="16" t="s">
        <v>1620</v>
      </c>
      <c r="J577" s="16" t="s">
        <v>943</v>
      </c>
      <c r="K577" s="16" t="s">
        <v>1621</v>
      </c>
      <c r="L577" s="16" t="s">
        <v>85</v>
      </c>
      <c r="M577" s="16" t="s">
        <v>984</v>
      </c>
      <c r="N577" s="16" t="s">
        <v>914</v>
      </c>
      <c r="O577" s="16" t="s">
        <v>985</v>
      </c>
      <c r="P577" s="16" t="s">
        <v>914</v>
      </c>
      <c r="Q577" s="16" t="s">
        <v>985</v>
      </c>
      <c r="R577" s="16" t="s">
        <v>915</v>
      </c>
      <c r="S577" s="16" t="s">
        <v>915</v>
      </c>
      <c r="T577" s="16" t="s">
        <v>986</v>
      </c>
      <c r="U577" s="16" t="s">
        <v>987</v>
      </c>
      <c r="V577" s="16" t="s">
        <v>916</v>
      </c>
      <c r="W577" s="16" t="s">
        <v>987</v>
      </c>
      <c r="X577" s="16" t="s">
        <v>934</v>
      </c>
      <c r="Y577" s="16" t="s">
        <v>934</v>
      </c>
      <c r="Z577" s="16" t="s">
        <v>935</v>
      </c>
      <c r="DA577" s="405" t="s">
        <v>5</v>
      </c>
      <c r="DB577" s="405" t="s">
        <v>363</v>
      </c>
      <c r="DC577" s="406" t="s">
        <v>85</v>
      </c>
      <c r="DD577" s="405" t="s">
        <v>917</v>
      </c>
      <c r="DE577" s="405" t="s">
        <v>5</v>
      </c>
      <c r="DF577" s="406" t="s">
        <v>85</v>
      </c>
      <c r="DG577" s="407">
        <v>45850</v>
      </c>
      <c r="DH577" s="405" t="s">
        <v>6540</v>
      </c>
      <c r="DI577" s="406">
        <v>465455</v>
      </c>
      <c r="DJ577" s="408">
        <v>5</v>
      </c>
      <c r="DK577" s="405">
        <v>1</v>
      </c>
      <c r="DL577" s="82">
        <v>340.55</v>
      </c>
      <c r="DM577" s="409">
        <v>1.70275</v>
      </c>
      <c r="DN577" s="82" t="s">
        <v>85</v>
      </c>
      <c r="DO577" s="82" t="s">
        <v>85</v>
      </c>
      <c r="DP577" s="410" t="s">
        <v>85</v>
      </c>
    </row>
    <row r="578" spans="1:120" x14ac:dyDescent="0.25">
      <c r="A578" s="16" t="s">
        <v>6544</v>
      </c>
      <c r="B578" s="16" t="s">
        <v>6545</v>
      </c>
      <c r="C578" s="16" t="s">
        <v>6546</v>
      </c>
      <c r="D578" s="16" t="s">
        <v>6340</v>
      </c>
      <c r="E578" s="16" t="s">
        <v>6547</v>
      </c>
      <c r="F578" s="16" t="s">
        <v>6548</v>
      </c>
      <c r="G578" s="16" t="s">
        <v>6549</v>
      </c>
      <c r="H578" s="16" t="s">
        <v>6548</v>
      </c>
      <c r="I578" s="16" t="s">
        <v>3164</v>
      </c>
      <c r="J578" s="16" t="s">
        <v>995</v>
      </c>
      <c r="K578" s="16" t="s">
        <v>3165</v>
      </c>
      <c r="L578" s="16" t="s">
        <v>85</v>
      </c>
      <c r="M578" s="16" t="s">
        <v>1165</v>
      </c>
      <c r="N578" s="16" t="s">
        <v>914</v>
      </c>
      <c r="O578" s="16" t="s">
        <v>1166</v>
      </c>
      <c r="P578" s="16" t="s">
        <v>914</v>
      </c>
      <c r="Q578" s="16" t="s">
        <v>1166</v>
      </c>
      <c r="R578" s="16" t="s">
        <v>915</v>
      </c>
      <c r="S578" s="16" t="s">
        <v>915</v>
      </c>
      <c r="T578" s="16" t="s">
        <v>1167</v>
      </c>
      <c r="U578" s="16" t="s">
        <v>1168</v>
      </c>
      <c r="V578" s="16" t="s">
        <v>916</v>
      </c>
      <c r="W578" s="16" t="s">
        <v>1168</v>
      </c>
      <c r="X578" s="16" t="s">
        <v>934</v>
      </c>
      <c r="Y578" s="16" t="s">
        <v>934</v>
      </c>
      <c r="Z578" s="16" t="s">
        <v>935</v>
      </c>
      <c r="DA578" s="405" t="s">
        <v>5</v>
      </c>
      <c r="DB578" s="405" t="s">
        <v>363</v>
      </c>
      <c r="DC578" s="406" t="s">
        <v>85</v>
      </c>
      <c r="DD578" s="405" t="s">
        <v>917</v>
      </c>
      <c r="DE578" s="405" t="s">
        <v>5</v>
      </c>
      <c r="DF578" s="406" t="s">
        <v>85</v>
      </c>
      <c r="DG578" s="407">
        <v>45850</v>
      </c>
      <c r="DH578" s="405" t="s">
        <v>6547</v>
      </c>
      <c r="DI578" s="406">
        <v>465455</v>
      </c>
      <c r="DJ578" s="408">
        <v>5</v>
      </c>
      <c r="DK578" s="405">
        <v>1</v>
      </c>
      <c r="DL578" s="82">
        <v>468.28</v>
      </c>
      <c r="DM578" s="409">
        <v>2.3413999999999997</v>
      </c>
      <c r="DN578" s="82" t="s">
        <v>85</v>
      </c>
      <c r="DO578" s="82" t="s">
        <v>85</v>
      </c>
      <c r="DP578" s="410" t="s">
        <v>85</v>
      </c>
    </row>
    <row r="579" spans="1:120" x14ac:dyDescent="0.25">
      <c r="A579" s="16" t="s">
        <v>6550</v>
      </c>
      <c r="B579" s="16" t="s">
        <v>6551</v>
      </c>
      <c r="C579" s="16" t="s">
        <v>6552</v>
      </c>
      <c r="D579" s="16" t="s">
        <v>6340</v>
      </c>
      <c r="E579" s="16" t="s">
        <v>6553</v>
      </c>
      <c r="F579" s="16" t="s">
        <v>6554</v>
      </c>
      <c r="G579" s="16" t="s">
        <v>6555</v>
      </c>
      <c r="H579" s="16" t="s">
        <v>6554</v>
      </c>
      <c r="I579" s="16" t="s">
        <v>1017</v>
      </c>
      <c r="J579" s="16" t="s">
        <v>995</v>
      </c>
      <c r="K579" s="16" t="s">
        <v>1018</v>
      </c>
      <c r="L579" s="16" t="s">
        <v>85</v>
      </c>
      <c r="M579" s="16" t="s">
        <v>1165</v>
      </c>
      <c r="N579" s="16" t="s">
        <v>914</v>
      </c>
      <c r="O579" s="16" t="s">
        <v>1166</v>
      </c>
      <c r="P579" s="16" t="s">
        <v>914</v>
      </c>
      <c r="Q579" s="16" t="s">
        <v>1166</v>
      </c>
      <c r="R579" s="16" t="s">
        <v>915</v>
      </c>
      <c r="S579" s="16" t="s">
        <v>915</v>
      </c>
      <c r="T579" s="16" t="s">
        <v>1167</v>
      </c>
      <c r="U579" s="16" t="s">
        <v>1168</v>
      </c>
      <c r="V579" s="16" t="s">
        <v>916</v>
      </c>
      <c r="W579" s="16" t="s">
        <v>1168</v>
      </c>
      <c r="X579" s="16" t="s">
        <v>934</v>
      </c>
      <c r="Y579" s="16" t="s">
        <v>934</v>
      </c>
      <c r="Z579" s="16" t="s">
        <v>935</v>
      </c>
      <c r="DA579" s="405" t="s">
        <v>5</v>
      </c>
      <c r="DB579" s="405" t="s">
        <v>363</v>
      </c>
      <c r="DC579" s="406" t="s">
        <v>85</v>
      </c>
      <c r="DD579" s="405" t="s">
        <v>917</v>
      </c>
      <c r="DE579" s="405" t="s">
        <v>5</v>
      </c>
      <c r="DF579" s="406" t="s">
        <v>85</v>
      </c>
      <c r="DG579" s="407">
        <v>45850</v>
      </c>
      <c r="DH579" s="405" t="s">
        <v>6553</v>
      </c>
      <c r="DI579" s="406">
        <v>465455</v>
      </c>
      <c r="DJ579" s="408">
        <v>5</v>
      </c>
      <c r="DK579" s="405">
        <v>1</v>
      </c>
      <c r="DL579" s="82">
        <v>468.28</v>
      </c>
      <c r="DM579" s="409">
        <v>2.3413999999999997</v>
      </c>
      <c r="DN579" s="82" t="s">
        <v>85</v>
      </c>
      <c r="DO579" s="82" t="s">
        <v>85</v>
      </c>
      <c r="DP579" s="410" t="s">
        <v>85</v>
      </c>
    </row>
    <row r="580" spans="1:120" x14ac:dyDescent="0.25">
      <c r="A580" s="16" t="s">
        <v>6556</v>
      </c>
      <c r="B580" s="16" t="s">
        <v>6557</v>
      </c>
      <c r="C580" s="16" t="s">
        <v>6558</v>
      </c>
      <c r="D580" s="16" t="s">
        <v>6340</v>
      </c>
      <c r="E580" s="16" t="s">
        <v>6559</v>
      </c>
      <c r="F580" s="16" t="s">
        <v>6560</v>
      </c>
      <c r="G580" s="16" t="s">
        <v>6561</v>
      </c>
      <c r="H580" s="16" t="s">
        <v>6562</v>
      </c>
      <c r="I580" s="16" t="s">
        <v>2958</v>
      </c>
      <c r="J580" s="16" t="s">
        <v>943</v>
      </c>
      <c r="K580" s="16" t="s">
        <v>2959</v>
      </c>
      <c r="L580" s="16" t="s">
        <v>85</v>
      </c>
      <c r="M580" s="16" t="s">
        <v>984</v>
      </c>
      <c r="N580" s="16" t="s">
        <v>914</v>
      </c>
      <c r="O580" s="16" t="s">
        <v>985</v>
      </c>
      <c r="P580" s="16" t="s">
        <v>914</v>
      </c>
      <c r="Q580" s="16" t="s">
        <v>985</v>
      </c>
      <c r="R580" s="16" t="s">
        <v>915</v>
      </c>
      <c r="S580" s="16" t="s">
        <v>915</v>
      </c>
      <c r="T580" s="16" t="s">
        <v>986</v>
      </c>
      <c r="U580" s="16" t="s">
        <v>987</v>
      </c>
      <c r="V580" s="16" t="s">
        <v>916</v>
      </c>
      <c r="W580" s="16" t="s">
        <v>987</v>
      </c>
      <c r="X580" s="16" t="s">
        <v>934</v>
      </c>
      <c r="Y580" s="16" t="s">
        <v>934</v>
      </c>
      <c r="Z580" s="16" t="s">
        <v>935</v>
      </c>
      <c r="DA580" s="405" t="s">
        <v>5</v>
      </c>
      <c r="DB580" s="405" t="s">
        <v>363</v>
      </c>
      <c r="DC580" s="406" t="s">
        <v>85</v>
      </c>
      <c r="DD580" s="405" t="s">
        <v>917</v>
      </c>
      <c r="DE580" s="405" t="s">
        <v>5</v>
      </c>
      <c r="DF580" s="406" t="s">
        <v>85</v>
      </c>
      <c r="DG580" s="407">
        <v>45850</v>
      </c>
      <c r="DH580" s="405" t="s">
        <v>6559</v>
      </c>
      <c r="DI580" s="406">
        <v>465455</v>
      </c>
      <c r="DJ580" s="408">
        <v>5</v>
      </c>
      <c r="DK580" s="405">
        <v>1</v>
      </c>
      <c r="DL580" s="82">
        <v>340.55</v>
      </c>
      <c r="DM580" s="409">
        <v>1.70275</v>
      </c>
      <c r="DN580" s="82" t="s">
        <v>85</v>
      </c>
      <c r="DO580" s="82" t="s">
        <v>85</v>
      </c>
      <c r="DP580" s="410" t="s">
        <v>85</v>
      </c>
    </row>
    <row r="581" spans="1:120" x14ac:dyDescent="0.25">
      <c r="A581" s="16" t="s">
        <v>6563</v>
      </c>
      <c r="B581" s="16" t="s">
        <v>6564</v>
      </c>
      <c r="C581" s="16" t="s">
        <v>6565</v>
      </c>
      <c r="D581" s="16" t="s">
        <v>6340</v>
      </c>
      <c r="E581" s="16" t="s">
        <v>6566</v>
      </c>
      <c r="F581" s="16" t="s">
        <v>6567</v>
      </c>
      <c r="G581" s="16" t="s">
        <v>6568</v>
      </c>
      <c r="H581" s="16" t="s">
        <v>6560</v>
      </c>
      <c r="I581" s="16" t="s">
        <v>942</v>
      </c>
      <c r="J581" s="16" t="s">
        <v>943</v>
      </c>
      <c r="K581" s="16" t="s">
        <v>944</v>
      </c>
      <c r="L581" s="16" t="s">
        <v>85</v>
      </c>
      <c r="M581" s="16" t="s">
        <v>984</v>
      </c>
      <c r="N581" s="16" t="s">
        <v>914</v>
      </c>
      <c r="O581" s="16" t="s">
        <v>985</v>
      </c>
      <c r="P581" s="16" t="s">
        <v>914</v>
      </c>
      <c r="Q581" s="16" t="s">
        <v>985</v>
      </c>
      <c r="R581" s="16" t="s">
        <v>915</v>
      </c>
      <c r="S581" s="16" t="s">
        <v>915</v>
      </c>
      <c r="T581" s="16" t="s">
        <v>986</v>
      </c>
      <c r="U581" s="16" t="s">
        <v>987</v>
      </c>
      <c r="V581" s="16" t="s">
        <v>916</v>
      </c>
      <c r="W581" s="16" t="s">
        <v>987</v>
      </c>
      <c r="X581" s="16" t="s">
        <v>934</v>
      </c>
      <c r="Y581" s="16" t="s">
        <v>934</v>
      </c>
      <c r="Z581" s="16" t="s">
        <v>935</v>
      </c>
      <c r="DA581" s="405" t="s">
        <v>5</v>
      </c>
      <c r="DB581" s="405" t="s">
        <v>363</v>
      </c>
      <c r="DC581" s="406" t="s">
        <v>85</v>
      </c>
      <c r="DD581" s="405" t="s">
        <v>917</v>
      </c>
      <c r="DE581" s="405" t="s">
        <v>5</v>
      </c>
      <c r="DF581" s="406" t="s">
        <v>85</v>
      </c>
      <c r="DG581" s="407">
        <v>45850</v>
      </c>
      <c r="DH581" s="405" t="s">
        <v>6566</v>
      </c>
      <c r="DI581" s="406">
        <v>465455</v>
      </c>
      <c r="DJ581" s="408">
        <v>5</v>
      </c>
      <c r="DK581" s="405">
        <v>1</v>
      </c>
      <c r="DL581" s="82">
        <v>340.55</v>
      </c>
      <c r="DM581" s="409">
        <v>1.70275</v>
      </c>
      <c r="DN581" s="82" t="s">
        <v>85</v>
      </c>
      <c r="DO581" s="82" t="s">
        <v>85</v>
      </c>
      <c r="DP581" s="410" t="s">
        <v>85</v>
      </c>
    </row>
    <row r="582" spans="1:120" x14ac:dyDescent="0.25">
      <c r="A582" s="16" t="s">
        <v>6563</v>
      </c>
      <c r="B582" s="16" t="s">
        <v>6564</v>
      </c>
      <c r="C582" s="16" t="s">
        <v>6565</v>
      </c>
      <c r="D582" s="16" t="s">
        <v>6340</v>
      </c>
      <c r="E582" s="16" t="s">
        <v>6566</v>
      </c>
      <c r="F582" s="16" t="s">
        <v>6567</v>
      </c>
      <c r="G582" s="16" t="s">
        <v>6568</v>
      </c>
      <c r="H582" s="16" t="s">
        <v>6560</v>
      </c>
      <c r="I582" s="16" t="s">
        <v>1026</v>
      </c>
      <c r="J582" s="16" t="s">
        <v>943</v>
      </c>
      <c r="K582" s="16" t="s">
        <v>1027</v>
      </c>
      <c r="L582" s="16" t="s">
        <v>85</v>
      </c>
      <c r="M582" s="16" t="s">
        <v>984</v>
      </c>
      <c r="N582" s="16" t="s">
        <v>914</v>
      </c>
      <c r="O582" s="16" t="s">
        <v>985</v>
      </c>
      <c r="P582" s="16" t="s">
        <v>914</v>
      </c>
      <c r="Q582" s="16" t="s">
        <v>985</v>
      </c>
      <c r="R582" s="16" t="s">
        <v>915</v>
      </c>
      <c r="S582" s="16" t="s">
        <v>915</v>
      </c>
      <c r="T582" s="16" t="s">
        <v>986</v>
      </c>
      <c r="U582" s="16" t="s">
        <v>987</v>
      </c>
      <c r="V582" s="16" t="s">
        <v>916</v>
      </c>
      <c r="W582" s="16" t="s">
        <v>987</v>
      </c>
      <c r="X582" s="16" t="s">
        <v>934</v>
      </c>
      <c r="Y582" s="16" t="s">
        <v>934</v>
      </c>
      <c r="Z582" s="16" t="s">
        <v>935</v>
      </c>
      <c r="DA582" s="405" t="s">
        <v>5</v>
      </c>
      <c r="DB582" s="405" t="s">
        <v>363</v>
      </c>
      <c r="DC582" s="406" t="s">
        <v>85</v>
      </c>
      <c r="DD582" s="405" t="s">
        <v>917</v>
      </c>
      <c r="DE582" s="405" t="s">
        <v>5</v>
      </c>
      <c r="DF582" s="406" t="s">
        <v>85</v>
      </c>
      <c r="DG582" s="407">
        <v>45850</v>
      </c>
      <c r="DH582" s="405" t="s">
        <v>6566</v>
      </c>
      <c r="DI582" s="406">
        <v>465455</v>
      </c>
      <c r="DJ582" s="408">
        <v>5</v>
      </c>
      <c r="DK582" s="405">
        <v>1</v>
      </c>
      <c r="DL582" s="82">
        <v>340.55</v>
      </c>
      <c r="DM582" s="409">
        <v>1.70275</v>
      </c>
      <c r="DN582" s="82" t="s">
        <v>85</v>
      </c>
      <c r="DO582" s="82" t="s">
        <v>85</v>
      </c>
      <c r="DP582" s="410" t="s">
        <v>85</v>
      </c>
    </row>
    <row r="583" spans="1:120" x14ac:dyDescent="0.25">
      <c r="A583" s="16" t="s">
        <v>6563</v>
      </c>
      <c r="B583" s="16" t="s">
        <v>6564</v>
      </c>
      <c r="C583" s="16" t="s">
        <v>6565</v>
      </c>
      <c r="D583" s="16" t="s">
        <v>6340</v>
      </c>
      <c r="E583" s="16" t="s">
        <v>6566</v>
      </c>
      <c r="F583" s="16" t="s">
        <v>6567</v>
      </c>
      <c r="G583" s="16" t="s">
        <v>6568</v>
      </c>
      <c r="H583" s="16" t="s">
        <v>6560</v>
      </c>
      <c r="I583" s="16" t="s">
        <v>4273</v>
      </c>
      <c r="J583" s="16" t="s">
        <v>943</v>
      </c>
      <c r="K583" s="16" t="s">
        <v>4274</v>
      </c>
      <c r="L583" s="16" t="s">
        <v>85</v>
      </c>
      <c r="M583" s="16" t="s">
        <v>984</v>
      </c>
      <c r="N583" s="16" t="s">
        <v>914</v>
      </c>
      <c r="O583" s="16" t="s">
        <v>985</v>
      </c>
      <c r="P583" s="16" t="s">
        <v>914</v>
      </c>
      <c r="Q583" s="16" t="s">
        <v>985</v>
      </c>
      <c r="R583" s="16" t="s">
        <v>915</v>
      </c>
      <c r="S583" s="16" t="s">
        <v>915</v>
      </c>
      <c r="T583" s="16" t="s">
        <v>986</v>
      </c>
      <c r="U583" s="16" t="s">
        <v>987</v>
      </c>
      <c r="V583" s="16" t="s">
        <v>916</v>
      </c>
      <c r="W583" s="16" t="s">
        <v>987</v>
      </c>
      <c r="X583" s="16" t="s">
        <v>934</v>
      </c>
      <c r="Y583" s="16" t="s">
        <v>934</v>
      </c>
      <c r="Z583" s="16" t="s">
        <v>935</v>
      </c>
      <c r="DA583" s="405" t="s">
        <v>5</v>
      </c>
      <c r="DB583" s="405" t="s">
        <v>363</v>
      </c>
      <c r="DC583" s="406" t="s">
        <v>85</v>
      </c>
      <c r="DD583" s="405" t="s">
        <v>917</v>
      </c>
      <c r="DE583" s="405" t="s">
        <v>5</v>
      </c>
      <c r="DF583" s="406" t="s">
        <v>85</v>
      </c>
      <c r="DG583" s="407">
        <v>45850</v>
      </c>
      <c r="DH583" s="405" t="s">
        <v>6566</v>
      </c>
      <c r="DI583" s="406">
        <v>465455</v>
      </c>
      <c r="DJ583" s="408">
        <v>5</v>
      </c>
      <c r="DK583" s="405">
        <v>1</v>
      </c>
      <c r="DL583" s="82">
        <v>340.55</v>
      </c>
      <c r="DM583" s="409">
        <v>1.70275</v>
      </c>
      <c r="DN583" s="82" t="s">
        <v>85</v>
      </c>
      <c r="DO583" s="82" t="s">
        <v>85</v>
      </c>
      <c r="DP583" s="410" t="s">
        <v>85</v>
      </c>
    </row>
    <row r="584" spans="1:120" x14ac:dyDescent="0.25">
      <c r="A584" s="16" t="s">
        <v>6569</v>
      </c>
      <c r="B584" s="16" t="s">
        <v>6570</v>
      </c>
      <c r="C584" s="16" t="s">
        <v>6571</v>
      </c>
      <c r="D584" s="16" t="s">
        <v>6340</v>
      </c>
      <c r="E584" s="16" t="s">
        <v>6572</v>
      </c>
      <c r="F584" s="16" t="s">
        <v>6573</v>
      </c>
      <c r="G584" s="16" t="s">
        <v>6574</v>
      </c>
      <c r="H584" s="16" t="s">
        <v>6575</v>
      </c>
      <c r="I584" s="16" t="s">
        <v>927</v>
      </c>
      <c r="J584" s="16" t="s">
        <v>928</v>
      </c>
      <c r="K584" s="16" t="s">
        <v>929</v>
      </c>
      <c r="L584" s="16" t="s">
        <v>85</v>
      </c>
      <c r="M584" s="16" t="s">
        <v>1322</v>
      </c>
      <c r="N584" s="16" t="s">
        <v>914</v>
      </c>
      <c r="O584" s="16" t="s">
        <v>1323</v>
      </c>
      <c r="P584" s="16" t="s">
        <v>914</v>
      </c>
      <c r="Q584" s="16" t="s">
        <v>1323</v>
      </c>
      <c r="R584" s="16" t="s">
        <v>915</v>
      </c>
      <c r="S584" s="16" t="s">
        <v>915</v>
      </c>
      <c r="T584" s="16" t="s">
        <v>1322</v>
      </c>
      <c r="U584" s="16" t="s">
        <v>1324</v>
      </c>
      <c r="V584" s="16" t="s">
        <v>916</v>
      </c>
      <c r="W584" s="16" t="s">
        <v>1324</v>
      </c>
      <c r="X584" s="16" t="s">
        <v>934</v>
      </c>
      <c r="Y584" s="16" t="s">
        <v>934</v>
      </c>
      <c r="Z584" s="16" t="s">
        <v>935</v>
      </c>
      <c r="DA584" s="405" t="s">
        <v>5</v>
      </c>
      <c r="DB584" s="405" t="s">
        <v>363</v>
      </c>
      <c r="DC584" s="406" t="s">
        <v>85</v>
      </c>
      <c r="DD584" s="405" t="s">
        <v>917</v>
      </c>
      <c r="DE584" s="405" t="s">
        <v>5</v>
      </c>
      <c r="DF584" s="406" t="s">
        <v>85</v>
      </c>
      <c r="DG584" s="407">
        <v>45850</v>
      </c>
      <c r="DH584" s="405" t="s">
        <v>6572</v>
      </c>
      <c r="DI584" s="406">
        <v>465455</v>
      </c>
      <c r="DJ584" s="408">
        <v>5</v>
      </c>
      <c r="DK584" s="405">
        <v>1</v>
      </c>
      <c r="DL584" s="82">
        <v>332.47</v>
      </c>
      <c r="DM584" s="409">
        <v>1.6623500000000002</v>
      </c>
      <c r="DN584" s="82" t="s">
        <v>85</v>
      </c>
      <c r="DO584" s="82" t="s">
        <v>85</v>
      </c>
      <c r="DP584" s="410" t="s">
        <v>85</v>
      </c>
    </row>
    <row r="585" spans="1:120" x14ac:dyDescent="0.25">
      <c r="A585" s="16" t="s">
        <v>6569</v>
      </c>
      <c r="B585" s="16" t="s">
        <v>6570</v>
      </c>
      <c r="C585" s="16" t="s">
        <v>6571</v>
      </c>
      <c r="D585" s="16" t="s">
        <v>6340</v>
      </c>
      <c r="E585" s="16" t="s">
        <v>6572</v>
      </c>
      <c r="F585" s="16" t="s">
        <v>6573</v>
      </c>
      <c r="G585" s="16" t="s">
        <v>6574</v>
      </c>
      <c r="H585" s="16" t="s">
        <v>6575</v>
      </c>
      <c r="I585" s="16" t="s">
        <v>4500</v>
      </c>
      <c r="J585" s="16" t="s">
        <v>928</v>
      </c>
      <c r="K585" s="16" t="s">
        <v>4501</v>
      </c>
      <c r="L585" s="16" t="s">
        <v>85</v>
      </c>
      <c r="M585" s="16" t="s">
        <v>1322</v>
      </c>
      <c r="N585" s="16" t="s">
        <v>914</v>
      </c>
      <c r="O585" s="16" t="s">
        <v>1323</v>
      </c>
      <c r="P585" s="16" t="s">
        <v>914</v>
      </c>
      <c r="Q585" s="16" t="s">
        <v>1323</v>
      </c>
      <c r="R585" s="16" t="s">
        <v>915</v>
      </c>
      <c r="S585" s="16" t="s">
        <v>915</v>
      </c>
      <c r="T585" s="16" t="s">
        <v>1322</v>
      </c>
      <c r="U585" s="16" t="s">
        <v>1324</v>
      </c>
      <c r="V585" s="16" t="s">
        <v>916</v>
      </c>
      <c r="W585" s="16" t="s">
        <v>1324</v>
      </c>
      <c r="X585" s="16" t="s">
        <v>934</v>
      </c>
      <c r="Y585" s="16" t="s">
        <v>934</v>
      </c>
      <c r="Z585" s="16" t="s">
        <v>935</v>
      </c>
      <c r="DA585" s="405" t="s">
        <v>5</v>
      </c>
      <c r="DB585" s="405" t="s">
        <v>363</v>
      </c>
      <c r="DC585" s="406" t="s">
        <v>85</v>
      </c>
      <c r="DD585" s="405" t="s">
        <v>917</v>
      </c>
      <c r="DE585" s="405" t="s">
        <v>5</v>
      </c>
      <c r="DF585" s="406" t="s">
        <v>85</v>
      </c>
      <c r="DG585" s="407">
        <v>45850</v>
      </c>
      <c r="DH585" s="405" t="s">
        <v>6572</v>
      </c>
      <c r="DI585" s="406">
        <v>465455</v>
      </c>
      <c r="DJ585" s="408">
        <v>5</v>
      </c>
      <c r="DK585" s="405">
        <v>1</v>
      </c>
      <c r="DL585" s="82">
        <v>332.47</v>
      </c>
      <c r="DM585" s="409">
        <v>1.6623500000000002</v>
      </c>
      <c r="DN585" s="82" t="s">
        <v>85</v>
      </c>
      <c r="DO585" s="82" t="s">
        <v>85</v>
      </c>
      <c r="DP585" s="410" t="s">
        <v>85</v>
      </c>
    </row>
    <row r="586" spans="1:120" x14ac:dyDescent="0.25">
      <c r="A586" s="16" t="s">
        <v>6569</v>
      </c>
      <c r="B586" s="16" t="s">
        <v>6570</v>
      </c>
      <c r="C586" s="16" t="s">
        <v>6571</v>
      </c>
      <c r="D586" s="16" t="s">
        <v>6340</v>
      </c>
      <c r="E586" s="16" t="s">
        <v>6572</v>
      </c>
      <c r="F586" s="16" t="s">
        <v>6573</v>
      </c>
      <c r="G586" s="16" t="s">
        <v>6574</v>
      </c>
      <c r="H586" s="16" t="s">
        <v>6575</v>
      </c>
      <c r="I586" s="16" t="s">
        <v>6576</v>
      </c>
      <c r="J586" s="16" t="s">
        <v>928</v>
      </c>
      <c r="K586" s="16" t="s">
        <v>6577</v>
      </c>
      <c r="L586" s="16" t="s">
        <v>85</v>
      </c>
      <c r="M586" s="16" t="s">
        <v>1322</v>
      </c>
      <c r="N586" s="16" t="s">
        <v>914</v>
      </c>
      <c r="O586" s="16" t="s">
        <v>1323</v>
      </c>
      <c r="P586" s="16" t="s">
        <v>914</v>
      </c>
      <c r="Q586" s="16" t="s">
        <v>1323</v>
      </c>
      <c r="R586" s="16" t="s">
        <v>915</v>
      </c>
      <c r="S586" s="16" t="s">
        <v>915</v>
      </c>
      <c r="T586" s="16" t="s">
        <v>1322</v>
      </c>
      <c r="U586" s="16" t="s">
        <v>1324</v>
      </c>
      <c r="V586" s="16" t="s">
        <v>916</v>
      </c>
      <c r="W586" s="16" t="s">
        <v>1324</v>
      </c>
      <c r="X586" s="16" t="s">
        <v>934</v>
      </c>
      <c r="Y586" s="16" t="s">
        <v>934</v>
      </c>
      <c r="Z586" s="16" t="s">
        <v>935</v>
      </c>
      <c r="DA586" s="405" t="s">
        <v>5</v>
      </c>
      <c r="DB586" s="405" t="s">
        <v>363</v>
      </c>
      <c r="DC586" s="406" t="s">
        <v>85</v>
      </c>
      <c r="DD586" s="405" t="s">
        <v>917</v>
      </c>
      <c r="DE586" s="405" t="s">
        <v>5</v>
      </c>
      <c r="DF586" s="406" t="s">
        <v>85</v>
      </c>
      <c r="DG586" s="407">
        <v>45850</v>
      </c>
      <c r="DH586" s="405" t="s">
        <v>6572</v>
      </c>
      <c r="DI586" s="406">
        <v>465455</v>
      </c>
      <c r="DJ586" s="408">
        <v>5</v>
      </c>
      <c r="DK586" s="405">
        <v>1</v>
      </c>
      <c r="DL586" s="82">
        <v>332.47</v>
      </c>
      <c r="DM586" s="409">
        <v>1.6623500000000002</v>
      </c>
      <c r="DN586" s="82" t="s">
        <v>85</v>
      </c>
      <c r="DO586" s="82" t="s">
        <v>85</v>
      </c>
      <c r="DP586" s="410" t="s">
        <v>85</v>
      </c>
    </row>
    <row r="587" spans="1:120" x14ac:dyDescent="0.25">
      <c r="A587" s="16" t="s">
        <v>6569</v>
      </c>
      <c r="B587" s="16" t="s">
        <v>6570</v>
      </c>
      <c r="C587" s="16" t="s">
        <v>6571</v>
      </c>
      <c r="D587" s="16" t="s">
        <v>6340</v>
      </c>
      <c r="E587" s="16" t="s">
        <v>6572</v>
      </c>
      <c r="F587" s="16" t="s">
        <v>6573</v>
      </c>
      <c r="G587" s="16" t="s">
        <v>6574</v>
      </c>
      <c r="H587" s="16" t="s">
        <v>6575</v>
      </c>
      <c r="I587" s="16" t="s">
        <v>6578</v>
      </c>
      <c r="J587" s="16" t="s">
        <v>928</v>
      </c>
      <c r="K587" s="16" t="s">
        <v>6579</v>
      </c>
      <c r="L587" s="16" t="s">
        <v>85</v>
      </c>
      <c r="M587" s="16" t="s">
        <v>1322</v>
      </c>
      <c r="N587" s="16" t="s">
        <v>914</v>
      </c>
      <c r="O587" s="16" t="s">
        <v>1323</v>
      </c>
      <c r="P587" s="16" t="s">
        <v>914</v>
      </c>
      <c r="Q587" s="16" t="s">
        <v>1323</v>
      </c>
      <c r="R587" s="16" t="s">
        <v>915</v>
      </c>
      <c r="S587" s="16" t="s">
        <v>915</v>
      </c>
      <c r="T587" s="16" t="s">
        <v>1322</v>
      </c>
      <c r="U587" s="16" t="s">
        <v>1324</v>
      </c>
      <c r="V587" s="16" t="s">
        <v>916</v>
      </c>
      <c r="W587" s="16" t="s">
        <v>1324</v>
      </c>
      <c r="X587" s="16" t="s">
        <v>934</v>
      </c>
      <c r="Y587" s="16" t="s">
        <v>934</v>
      </c>
      <c r="Z587" s="16" t="s">
        <v>935</v>
      </c>
      <c r="DA587" s="405" t="s">
        <v>5</v>
      </c>
      <c r="DB587" s="405" t="s">
        <v>363</v>
      </c>
      <c r="DC587" s="406" t="s">
        <v>85</v>
      </c>
      <c r="DD587" s="405" t="s">
        <v>917</v>
      </c>
      <c r="DE587" s="405" t="s">
        <v>5</v>
      </c>
      <c r="DF587" s="406" t="s">
        <v>85</v>
      </c>
      <c r="DG587" s="407">
        <v>45850</v>
      </c>
      <c r="DH587" s="405" t="s">
        <v>6572</v>
      </c>
      <c r="DI587" s="406">
        <v>465455</v>
      </c>
      <c r="DJ587" s="408">
        <v>5</v>
      </c>
      <c r="DK587" s="405">
        <v>1</v>
      </c>
      <c r="DL587" s="82">
        <v>332.47</v>
      </c>
      <c r="DM587" s="409">
        <v>1.6623500000000002</v>
      </c>
      <c r="DN587" s="82" t="s">
        <v>85</v>
      </c>
      <c r="DO587" s="82" t="s">
        <v>85</v>
      </c>
      <c r="DP587" s="410" t="s">
        <v>85</v>
      </c>
    </row>
    <row r="588" spans="1:120" x14ac:dyDescent="0.25">
      <c r="A588" s="16" t="s">
        <v>6580</v>
      </c>
      <c r="B588" s="16" t="s">
        <v>6581</v>
      </c>
      <c r="C588" s="16" t="s">
        <v>6582</v>
      </c>
      <c r="D588" s="16" t="s">
        <v>6340</v>
      </c>
      <c r="E588" s="16" t="s">
        <v>6583</v>
      </c>
      <c r="F588" s="16" t="s">
        <v>6584</v>
      </c>
      <c r="G588" s="16" t="s">
        <v>6585</v>
      </c>
      <c r="H588" s="16" t="s">
        <v>6586</v>
      </c>
      <c r="I588" s="16" t="s">
        <v>1448</v>
      </c>
      <c r="J588" s="16" t="s">
        <v>1036</v>
      </c>
      <c r="K588" s="16" t="s">
        <v>1449</v>
      </c>
      <c r="L588" s="16" t="s">
        <v>85</v>
      </c>
      <c r="M588" s="16" t="s">
        <v>1216</v>
      </c>
      <c r="N588" s="16" t="s">
        <v>914</v>
      </c>
      <c r="O588" s="16" t="s">
        <v>946</v>
      </c>
      <c r="P588" s="16" t="s">
        <v>914</v>
      </c>
      <c r="Q588" s="16" t="s">
        <v>946</v>
      </c>
      <c r="R588" s="16" t="s">
        <v>915</v>
      </c>
      <c r="S588" s="16" t="s">
        <v>915</v>
      </c>
      <c r="T588" s="16" t="s">
        <v>1216</v>
      </c>
      <c r="U588" s="16" t="s">
        <v>1217</v>
      </c>
      <c r="V588" s="16" t="s">
        <v>916</v>
      </c>
      <c r="W588" s="16" t="s">
        <v>1217</v>
      </c>
      <c r="X588" s="16" t="s">
        <v>934</v>
      </c>
      <c r="Y588" s="16" t="s">
        <v>934</v>
      </c>
      <c r="Z588" s="16" t="s">
        <v>935</v>
      </c>
      <c r="DA588" s="405" t="s">
        <v>5</v>
      </c>
      <c r="DB588" s="405" t="s">
        <v>363</v>
      </c>
      <c r="DC588" s="406" t="s">
        <v>85</v>
      </c>
      <c r="DD588" s="405" t="s">
        <v>917</v>
      </c>
      <c r="DE588" s="405" t="s">
        <v>5</v>
      </c>
      <c r="DF588" s="406" t="s">
        <v>85</v>
      </c>
      <c r="DG588" s="407">
        <v>45850</v>
      </c>
      <c r="DH588" s="405" t="s">
        <v>6583</v>
      </c>
      <c r="DI588" s="406">
        <v>465455</v>
      </c>
      <c r="DJ588" s="408">
        <v>5</v>
      </c>
      <c r="DK588" s="405">
        <v>1</v>
      </c>
      <c r="DL588" s="82">
        <v>319.22000000000003</v>
      </c>
      <c r="DM588" s="409">
        <v>1.5961000000000001</v>
      </c>
      <c r="DN588" s="82" t="s">
        <v>85</v>
      </c>
      <c r="DO588" s="82" t="s">
        <v>85</v>
      </c>
      <c r="DP588" s="410" t="s">
        <v>85</v>
      </c>
    </row>
    <row r="589" spans="1:120" x14ac:dyDescent="0.25">
      <c r="A589" s="16" t="s">
        <v>6587</v>
      </c>
      <c r="B589" s="16" t="s">
        <v>6588</v>
      </c>
      <c r="C589" s="16" t="s">
        <v>6589</v>
      </c>
      <c r="D589" s="16" t="s">
        <v>6340</v>
      </c>
      <c r="E589" s="16" t="s">
        <v>6590</v>
      </c>
      <c r="F589" s="16" t="s">
        <v>6591</v>
      </c>
      <c r="G589" s="16" t="s">
        <v>6592</v>
      </c>
      <c r="H589" s="16" t="s">
        <v>6593</v>
      </c>
      <c r="I589" s="16" t="s">
        <v>6594</v>
      </c>
      <c r="J589" s="16" t="s">
        <v>928</v>
      </c>
      <c r="K589" s="16" t="s">
        <v>6595</v>
      </c>
      <c r="L589" s="16" t="s">
        <v>85</v>
      </c>
      <c r="M589" s="16" t="s">
        <v>1322</v>
      </c>
      <c r="N589" s="16" t="s">
        <v>914</v>
      </c>
      <c r="O589" s="16" t="s">
        <v>1323</v>
      </c>
      <c r="P589" s="16" t="s">
        <v>914</v>
      </c>
      <c r="Q589" s="16" t="s">
        <v>1323</v>
      </c>
      <c r="R589" s="16" t="s">
        <v>915</v>
      </c>
      <c r="S589" s="16" t="s">
        <v>915</v>
      </c>
      <c r="T589" s="16" t="s">
        <v>1322</v>
      </c>
      <c r="U589" s="16" t="s">
        <v>1324</v>
      </c>
      <c r="V589" s="16" t="s">
        <v>916</v>
      </c>
      <c r="W589" s="16" t="s">
        <v>1324</v>
      </c>
      <c r="X589" s="16" t="s">
        <v>934</v>
      </c>
      <c r="Y589" s="16" t="s">
        <v>934</v>
      </c>
      <c r="Z589" s="16" t="s">
        <v>935</v>
      </c>
      <c r="DA589" s="405" t="s">
        <v>5</v>
      </c>
      <c r="DB589" s="405" t="s">
        <v>363</v>
      </c>
      <c r="DC589" s="406" t="s">
        <v>85</v>
      </c>
      <c r="DD589" s="405" t="s">
        <v>917</v>
      </c>
      <c r="DE589" s="405" t="s">
        <v>5</v>
      </c>
      <c r="DF589" s="406" t="s">
        <v>85</v>
      </c>
      <c r="DG589" s="407">
        <v>45850</v>
      </c>
      <c r="DH589" s="405" t="s">
        <v>6590</v>
      </c>
      <c r="DI589" s="406">
        <v>465455</v>
      </c>
      <c r="DJ589" s="408">
        <v>5</v>
      </c>
      <c r="DK589" s="405">
        <v>1</v>
      </c>
      <c r="DL589" s="82">
        <v>332.47</v>
      </c>
      <c r="DM589" s="409">
        <v>1.6623500000000002</v>
      </c>
      <c r="DN589" s="82" t="s">
        <v>85</v>
      </c>
      <c r="DO589" s="82" t="s">
        <v>85</v>
      </c>
      <c r="DP589" s="410" t="s">
        <v>85</v>
      </c>
    </row>
    <row r="590" spans="1:120" x14ac:dyDescent="0.25">
      <c r="A590" s="16" t="s">
        <v>6596</v>
      </c>
      <c r="B590" s="16" t="s">
        <v>6597</v>
      </c>
      <c r="C590" s="16" t="s">
        <v>6598</v>
      </c>
      <c r="D590" s="16" t="s">
        <v>6340</v>
      </c>
      <c r="E590" s="16" t="s">
        <v>6599</v>
      </c>
      <c r="F590" s="16" t="s">
        <v>6600</v>
      </c>
      <c r="G590" s="16" t="s">
        <v>6601</v>
      </c>
      <c r="H590" s="16" t="s">
        <v>6600</v>
      </c>
      <c r="I590" s="16" t="s">
        <v>1494</v>
      </c>
      <c r="J590" s="16" t="s">
        <v>943</v>
      </c>
      <c r="K590" s="16" t="s">
        <v>1495</v>
      </c>
      <c r="L590" s="16" t="s">
        <v>85</v>
      </c>
      <c r="M590" s="16" t="s">
        <v>984</v>
      </c>
      <c r="N590" s="16" t="s">
        <v>914</v>
      </c>
      <c r="O590" s="16" t="s">
        <v>985</v>
      </c>
      <c r="P590" s="16" t="s">
        <v>914</v>
      </c>
      <c r="Q590" s="16" t="s">
        <v>985</v>
      </c>
      <c r="R590" s="16" t="s">
        <v>915</v>
      </c>
      <c r="S590" s="16" t="s">
        <v>915</v>
      </c>
      <c r="T590" s="16" t="s">
        <v>986</v>
      </c>
      <c r="U590" s="16" t="s">
        <v>987</v>
      </c>
      <c r="V590" s="16" t="s">
        <v>916</v>
      </c>
      <c r="W590" s="16" t="s">
        <v>987</v>
      </c>
      <c r="X590" s="16" t="s">
        <v>934</v>
      </c>
      <c r="Y590" s="16" t="s">
        <v>934</v>
      </c>
      <c r="Z590" s="16" t="s">
        <v>935</v>
      </c>
      <c r="DA590" s="405" t="s">
        <v>5</v>
      </c>
      <c r="DB590" s="405" t="s">
        <v>363</v>
      </c>
      <c r="DC590" s="406" t="s">
        <v>85</v>
      </c>
      <c r="DD590" s="405" t="s">
        <v>917</v>
      </c>
      <c r="DE590" s="405" t="s">
        <v>5</v>
      </c>
      <c r="DF590" s="406" t="s">
        <v>85</v>
      </c>
      <c r="DG590" s="407">
        <v>45850</v>
      </c>
      <c r="DH590" s="405" t="s">
        <v>6599</v>
      </c>
      <c r="DI590" s="406">
        <v>465455</v>
      </c>
      <c r="DJ590" s="408">
        <v>5</v>
      </c>
      <c r="DK590" s="405">
        <v>1</v>
      </c>
      <c r="DL590" s="82">
        <v>340.55</v>
      </c>
      <c r="DM590" s="409">
        <v>1.70275</v>
      </c>
      <c r="DN590" s="82" t="s">
        <v>85</v>
      </c>
      <c r="DO590" s="82" t="s">
        <v>85</v>
      </c>
      <c r="DP590" s="410" t="s">
        <v>85</v>
      </c>
    </row>
    <row r="591" spans="1:120" x14ac:dyDescent="0.25">
      <c r="A591" s="16" t="s">
        <v>6602</v>
      </c>
      <c r="B591" s="16" t="s">
        <v>6603</v>
      </c>
      <c r="C591" s="16" t="s">
        <v>6604</v>
      </c>
      <c r="D591" s="16" t="s">
        <v>6340</v>
      </c>
      <c r="E591" s="16" t="s">
        <v>6605</v>
      </c>
      <c r="F591" s="16" t="s">
        <v>6606</v>
      </c>
      <c r="G591" s="16" t="s">
        <v>6607</v>
      </c>
      <c r="H591" s="16" t="s">
        <v>6600</v>
      </c>
      <c r="I591" s="16" t="s">
        <v>1584</v>
      </c>
      <c r="J591" s="16" t="s">
        <v>928</v>
      </c>
      <c r="K591" s="16" t="s">
        <v>1585</v>
      </c>
      <c r="L591" s="16" t="s">
        <v>85</v>
      </c>
      <c r="M591" s="16" t="s">
        <v>1322</v>
      </c>
      <c r="N591" s="16" t="s">
        <v>914</v>
      </c>
      <c r="O591" s="16" t="s">
        <v>1323</v>
      </c>
      <c r="P591" s="16" t="s">
        <v>914</v>
      </c>
      <c r="Q591" s="16" t="s">
        <v>1323</v>
      </c>
      <c r="R591" s="16" t="s">
        <v>915</v>
      </c>
      <c r="S591" s="16" t="s">
        <v>915</v>
      </c>
      <c r="T591" s="16" t="s">
        <v>1322</v>
      </c>
      <c r="U591" s="16" t="s">
        <v>1324</v>
      </c>
      <c r="V591" s="16" t="s">
        <v>916</v>
      </c>
      <c r="W591" s="16" t="s">
        <v>1324</v>
      </c>
      <c r="X591" s="16" t="s">
        <v>934</v>
      </c>
      <c r="Y591" s="16" t="s">
        <v>934</v>
      </c>
      <c r="Z591" s="16" t="s">
        <v>935</v>
      </c>
      <c r="DA591" s="405" t="s">
        <v>5</v>
      </c>
      <c r="DB591" s="405" t="s">
        <v>363</v>
      </c>
      <c r="DC591" s="406" t="s">
        <v>85</v>
      </c>
      <c r="DD591" s="405" t="s">
        <v>917</v>
      </c>
      <c r="DE591" s="405" t="s">
        <v>5</v>
      </c>
      <c r="DF591" s="406" t="s">
        <v>85</v>
      </c>
      <c r="DG591" s="407">
        <v>45850</v>
      </c>
      <c r="DH591" s="405" t="s">
        <v>6605</v>
      </c>
      <c r="DI591" s="406">
        <v>465455</v>
      </c>
      <c r="DJ591" s="408">
        <v>5</v>
      </c>
      <c r="DK591" s="405">
        <v>1</v>
      </c>
      <c r="DL591" s="82">
        <v>332.47</v>
      </c>
      <c r="DM591" s="409">
        <v>1.6623500000000002</v>
      </c>
      <c r="DN591" s="82" t="s">
        <v>85</v>
      </c>
      <c r="DO591" s="82" t="s">
        <v>85</v>
      </c>
      <c r="DP591" s="410" t="s">
        <v>85</v>
      </c>
    </row>
    <row r="592" spans="1:120" x14ac:dyDescent="0.25">
      <c r="A592" s="16" t="s">
        <v>6608</v>
      </c>
      <c r="B592" s="16" t="s">
        <v>6609</v>
      </c>
      <c r="C592" s="16" t="s">
        <v>6610</v>
      </c>
      <c r="D592" s="16" t="s">
        <v>6340</v>
      </c>
      <c r="E592" s="16" t="s">
        <v>6611</v>
      </c>
      <c r="F592" s="16" t="s">
        <v>6612</v>
      </c>
      <c r="G592" s="16" t="s">
        <v>6613</v>
      </c>
      <c r="H592" s="16" t="s">
        <v>6614</v>
      </c>
      <c r="I592" s="16" t="s">
        <v>1914</v>
      </c>
      <c r="J592" s="16" t="s">
        <v>928</v>
      </c>
      <c r="K592" s="16" t="s">
        <v>1915</v>
      </c>
      <c r="L592" s="16" t="s">
        <v>85</v>
      </c>
      <c r="M592" s="16" t="s">
        <v>1322</v>
      </c>
      <c r="N592" s="16" t="s">
        <v>914</v>
      </c>
      <c r="O592" s="16" t="s">
        <v>1323</v>
      </c>
      <c r="P592" s="16" t="s">
        <v>914</v>
      </c>
      <c r="Q592" s="16" t="s">
        <v>1323</v>
      </c>
      <c r="R592" s="16" t="s">
        <v>915</v>
      </c>
      <c r="S592" s="16" t="s">
        <v>915</v>
      </c>
      <c r="T592" s="16" t="s">
        <v>1322</v>
      </c>
      <c r="U592" s="16" t="s">
        <v>1324</v>
      </c>
      <c r="V592" s="16" t="s">
        <v>916</v>
      </c>
      <c r="W592" s="16" t="s">
        <v>1324</v>
      </c>
      <c r="X592" s="16" t="s">
        <v>934</v>
      </c>
      <c r="Y592" s="16" t="s">
        <v>934</v>
      </c>
      <c r="Z592" s="16" t="s">
        <v>935</v>
      </c>
      <c r="DA592" s="405" t="s">
        <v>5</v>
      </c>
      <c r="DB592" s="405" t="s">
        <v>363</v>
      </c>
      <c r="DC592" s="406" t="s">
        <v>85</v>
      </c>
      <c r="DD592" s="405" t="s">
        <v>917</v>
      </c>
      <c r="DE592" s="405" t="s">
        <v>5</v>
      </c>
      <c r="DF592" s="406" t="s">
        <v>85</v>
      </c>
      <c r="DG592" s="407">
        <v>45850</v>
      </c>
      <c r="DH592" s="405" t="s">
        <v>6611</v>
      </c>
      <c r="DI592" s="406">
        <v>465455</v>
      </c>
      <c r="DJ592" s="408">
        <v>5</v>
      </c>
      <c r="DK592" s="405">
        <v>1</v>
      </c>
      <c r="DL592" s="82">
        <v>332.47</v>
      </c>
      <c r="DM592" s="409">
        <v>1.6623500000000002</v>
      </c>
      <c r="DN592" s="82" t="s">
        <v>85</v>
      </c>
      <c r="DO592" s="82" t="s">
        <v>85</v>
      </c>
      <c r="DP592" s="410" t="s">
        <v>85</v>
      </c>
    </row>
    <row r="593" spans="1:120" x14ac:dyDescent="0.25">
      <c r="A593" s="16" t="s">
        <v>6615</v>
      </c>
      <c r="B593" s="16" t="s">
        <v>6616</v>
      </c>
      <c r="C593" s="16" t="s">
        <v>6617</v>
      </c>
      <c r="D593" s="16" t="s">
        <v>6340</v>
      </c>
      <c r="E593" s="16" t="s">
        <v>6618</v>
      </c>
      <c r="F593" s="16" t="s">
        <v>6619</v>
      </c>
      <c r="G593" s="16" t="s">
        <v>6620</v>
      </c>
      <c r="H593" s="16" t="s">
        <v>6621</v>
      </c>
      <c r="I593" s="16" t="s">
        <v>2997</v>
      </c>
      <c r="J593" s="16" t="s">
        <v>943</v>
      </c>
      <c r="K593" s="16" t="s">
        <v>2998</v>
      </c>
      <c r="L593" s="16" t="s">
        <v>85</v>
      </c>
      <c r="M593" s="16" t="s">
        <v>984</v>
      </c>
      <c r="N593" s="16" t="s">
        <v>914</v>
      </c>
      <c r="O593" s="16" t="s">
        <v>985</v>
      </c>
      <c r="P593" s="16" t="s">
        <v>914</v>
      </c>
      <c r="Q593" s="16" t="s">
        <v>985</v>
      </c>
      <c r="R593" s="16" t="s">
        <v>915</v>
      </c>
      <c r="S593" s="16" t="s">
        <v>915</v>
      </c>
      <c r="T593" s="16" t="s">
        <v>986</v>
      </c>
      <c r="U593" s="16" t="s">
        <v>987</v>
      </c>
      <c r="V593" s="16" t="s">
        <v>916</v>
      </c>
      <c r="W593" s="16" t="s">
        <v>987</v>
      </c>
      <c r="X593" s="16" t="s">
        <v>934</v>
      </c>
      <c r="Y593" s="16" t="s">
        <v>934</v>
      </c>
      <c r="Z593" s="16" t="s">
        <v>935</v>
      </c>
      <c r="DA593" s="405" t="s">
        <v>5</v>
      </c>
      <c r="DB593" s="405" t="s">
        <v>363</v>
      </c>
      <c r="DC593" s="406" t="s">
        <v>85</v>
      </c>
      <c r="DD593" s="405" t="s">
        <v>917</v>
      </c>
      <c r="DE593" s="405" t="s">
        <v>5</v>
      </c>
      <c r="DF593" s="406" t="s">
        <v>85</v>
      </c>
      <c r="DG593" s="407">
        <v>45850</v>
      </c>
      <c r="DH593" s="405" t="s">
        <v>6618</v>
      </c>
      <c r="DI593" s="406">
        <v>465455</v>
      </c>
      <c r="DJ593" s="408">
        <v>5</v>
      </c>
      <c r="DK593" s="405">
        <v>1</v>
      </c>
      <c r="DL593" s="82">
        <v>340.55</v>
      </c>
      <c r="DM593" s="409">
        <v>1.70275</v>
      </c>
      <c r="DN593" s="82" t="s">
        <v>85</v>
      </c>
      <c r="DO593" s="82" t="s">
        <v>85</v>
      </c>
      <c r="DP593" s="410" t="s">
        <v>85</v>
      </c>
    </row>
    <row r="594" spans="1:120" x14ac:dyDescent="0.25">
      <c r="A594" s="16" t="s">
        <v>6107</v>
      </c>
      <c r="B594" s="16" t="s">
        <v>6108</v>
      </c>
      <c r="C594" s="16" t="s">
        <v>6109</v>
      </c>
      <c r="D594" s="16" t="s">
        <v>6110</v>
      </c>
      <c r="E594" s="16" t="s">
        <v>6111</v>
      </c>
      <c r="F594" s="16" t="s">
        <v>6112</v>
      </c>
      <c r="G594" s="16" t="s">
        <v>6113</v>
      </c>
      <c r="H594" s="16" t="s">
        <v>6112</v>
      </c>
      <c r="I594" s="16" t="s">
        <v>1737</v>
      </c>
      <c r="J594" s="16" t="s">
        <v>1123</v>
      </c>
      <c r="K594" s="16" t="s">
        <v>1738</v>
      </c>
      <c r="L594" s="16" t="s">
        <v>85</v>
      </c>
      <c r="M594" s="16" t="s">
        <v>1238</v>
      </c>
      <c r="N594" s="16" t="s">
        <v>914</v>
      </c>
      <c r="O594" s="16" t="s">
        <v>1239</v>
      </c>
      <c r="P594" s="16" t="s">
        <v>914</v>
      </c>
      <c r="Q594" s="16" t="s">
        <v>1239</v>
      </c>
      <c r="R594" s="16" t="s">
        <v>915</v>
      </c>
      <c r="S594" s="16" t="s">
        <v>915</v>
      </c>
      <c r="T594" s="16" t="s">
        <v>1238</v>
      </c>
      <c r="U594" s="16" t="s">
        <v>1240</v>
      </c>
      <c r="V594" s="16" t="s">
        <v>916</v>
      </c>
      <c r="W594" s="16" t="s">
        <v>1240</v>
      </c>
      <c r="X594" s="16" t="s">
        <v>934</v>
      </c>
      <c r="Y594" s="16" t="s">
        <v>934</v>
      </c>
      <c r="Z594" s="16" t="s">
        <v>935</v>
      </c>
      <c r="DA594" s="405" t="s">
        <v>5</v>
      </c>
      <c r="DB594" s="405" t="s">
        <v>363</v>
      </c>
      <c r="DC594" s="406" t="s">
        <v>85</v>
      </c>
      <c r="DD594" s="405" t="s">
        <v>917</v>
      </c>
      <c r="DE594" s="405" t="s">
        <v>5</v>
      </c>
      <c r="DF594" s="406" t="s">
        <v>85</v>
      </c>
      <c r="DG594" s="407">
        <v>45851</v>
      </c>
      <c r="DH594" s="405" t="s">
        <v>6111</v>
      </c>
      <c r="DI594" s="406">
        <v>465455</v>
      </c>
      <c r="DJ594" s="408">
        <v>5</v>
      </c>
      <c r="DK594" s="405">
        <v>1</v>
      </c>
      <c r="DL594" s="82">
        <v>383.16</v>
      </c>
      <c r="DM594" s="409">
        <v>1.9158000000000002</v>
      </c>
      <c r="DN594" s="82" t="s">
        <v>85</v>
      </c>
      <c r="DO594" s="82" t="s">
        <v>85</v>
      </c>
      <c r="DP594" s="410" t="s">
        <v>85</v>
      </c>
    </row>
    <row r="595" spans="1:120" x14ac:dyDescent="0.25">
      <c r="A595" s="16" t="s">
        <v>6114</v>
      </c>
      <c r="B595" s="16" t="s">
        <v>6115</v>
      </c>
      <c r="C595" s="16" t="s">
        <v>6116</v>
      </c>
      <c r="D595" s="16" t="s">
        <v>6110</v>
      </c>
      <c r="E595" s="16" t="s">
        <v>6117</v>
      </c>
      <c r="F595" s="16" t="s">
        <v>6118</v>
      </c>
      <c r="G595" s="16" t="s">
        <v>6119</v>
      </c>
      <c r="H595" s="16" t="s">
        <v>6118</v>
      </c>
      <c r="I595" s="16" t="s">
        <v>4041</v>
      </c>
      <c r="J595" s="16" t="s">
        <v>1123</v>
      </c>
      <c r="K595" s="16" t="s">
        <v>4042</v>
      </c>
      <c r="L595" s="16" t="s">
        <v>85</v>
      </c>
      <c r="M595" s="16" t="s">
        <v>1238</v>
      </c>
      <c r="N595" s="16" t="s">
        <v>914</v>
      </c>
      <c r="O595" s="16" t="s">
        <v>1239</v>
      </c>
      <c r="P595" s="16" t="s">
        <v>914</v>
      </c>
      <c r="Q595" s="16" t="s">
        <v>1239</v>
      </c>
      <c r="R595" s="16" t="s">
        <v>915</v>
      </c>
      <c r="S595" s="16" t="s">
        <v>915</v>
      </c>
      <c r="T595" s="16" t="s">
        <v>1238</v>
      </c>
      <c r="U595" s="16" t="s">
        <v>1240</v>
      </c>
      <c r="V595" s="16" t="s">
        <v>916</v>
      </c>
      <c r="W595" s="16" t="s">
        <v>1240</v>
      </c>
      <c r="X595" s="16" t="s">
        <v>934</v>
      </c>
      <c r="Y595" s="16" t="s">
        <v>934</v>
      </c>
      <c r="Z595" s="16" t="s">
        <v>935</v>
      </c>
      <c r="DA595" s="405" t="s">
        <v>5</v>
      </c>
      <c r="DB595" s="405" t="s">
        <v>363</v>
      </c>
      <c r="DC595" s="406" t="s">
        <v>85</v>
      </c>
      <c r="DD595" s="405" t="s">
        <v>917</v>
      </c>
      <c r="DE595" s="405" t="s">
        <v>5</v>
      </c>
      <c r="DF595" s="406" t="s">
        <v>85</v>
      </c>
      <c r="DG595" s="407">
        <v>45851</v>
      </c>
      <c r="DH595" s="405" t="s">
        <v>6117</v>
      </c>
      <c r="DI595" s="406">
        <v>465455</v>
      </c>
      <c r="DJ595" s="408">
        <v>5</v>
      </c>
      <c r="DK595" s="405">
        <v>1</v>
      </c>
      <c r="DL595" s="82">
        <v>383.16</v>
      </c>
      <c r="DM595" s="409">
        <v>1.9158000000000002</v>
      </c>
      <c r="DN595" s="82" t="s">
        <v>85</v>
      </c>
      <c r="DO595" s="82" t="s">
        <v>85</v>
      </c>
      <c r="DP595" s="410" t="s">
        <v>85</v>
      </c>
    </row>
    <row r="596" spans="1:120" x14ac:dyDescent="0.25">
      <c r="A596" s="16" t="s">
        <v>6120</v>
      </c>
      <c r="B596" s="16" t="s">
        <v>6121</v>
      </c>
      <c r="C596" s="16" t="s">
        <v>6122</v>
      </c>
      <c r="D596" s="16" t="s">
        <v>6110</v>
      </c>
      <c r="E596" s="16" t="s">
        <v>6123</v>
      </c>
      <c r="F596" s="16" t="s">
        <v>6124</v>
      </c>
      <c r="G596" s="16" t="s">
        <v>6125</v>
      </c>
      <c r="H596" s="16" t="s">
        <v>6124</v>
      </c>
      <c r="I596" s="16" t="s">
        <v>1017</v>
      </c>
      <c r="J596" s="16" t="s">
        <v>995</v>
      </c>
      <c r="K596" s="16" t="s">
        <v>1018</v>
      </c>
      <c r="L596" s="16" t="s">
        <v>85</v>
      </c>
      <c r="M596" s="16" t="s">
        <v>1165</v>
      </c>
      <c r="N596" s="16" t="s">
        <v>914</v>
      </c>
      <c r="O596" s="16" t="s">
        <v>1166</v>
      </c>
      <c r="P596" s="16" t="s">
        <v>914</v>
      </c>
      <c r="Q596" s="16" t="s">
        <v>1166</v>
      </c>
      <c r="R596" s="16" t="s">
        <v>915</v>
      </c>
      <c r="S596" s="16" t="s">
        <v>915</v>
      </c>
      <c r="T596" s="16" t="s">
        <v>1167</v>
      </c>
      <c r="U596" s="16" t="s">
        <v>1168</v>
      </c>
      <c r="V596" s="16" t="s">
        <v>916</v>
      </c>
      <c r="W596" s="16" t="s">
        <v>1168</v>
      </c>
      <c r="X596" s="16" t="s">
        <v>934</v>
      </c>
      <c r="Y596" s="16" t="s">
        <v>934</v>
      </c>
      <c r="Z596" s="16" t="s">
        <v>935</v>
      </c>
      <c r="DA596" s="405" t="s">
        <v>5</v>
      </c>
      <c r="DB596" s="405" t="s">
        <v>363</v>
      </c>
      <c r="DC596" s="406" t="s">
        <v>85</v>
      </c>
      <c r="DD596" s="405" t="s">
        <v>917</v>
      </c>
      <c r="DE596" s="405" t="s">
        <v>5</v>
      </c>
      <c r="DF596" s="406" t="s">
        <v>85</v>
      </c>
      <c r="DG596" s="407">
        <v>45851</v>
      </c>
      <c r="DH596" s="405" t="s">
        <v>6123</v>
      </c>
      <c r="DI596" s="406">
        <v>465455</v>
      </c>
      <c r="DJ596" s="408">
        <v>5</v>
      </c>
      <c r="DK596" s="405">
        <v>1</v>
      </c>
      <c r="DL596" s="82">
        <v>468.28</v>
      </c>
      <c r="DM596" s="409">
        <v>2.3413999999999997</v>
      </c>
      <c r="DN596" s="82" t="s">
        <v>85</v>
      </c>
      <c r="DO596" s="82" t="s">
        <v>85</v>
      </c>
      <c r="DP596" s="410" t="s">
        <v>85</v>
      </c>
    </row>
    <row r="597" spans="1:120" x14ac:dyDescent="0.25">
      <c r="A597" s="16" t="s">
        <v>6126</v>
      </c>
      <c r="B597" s="16" t="s">
        <v>6127</v>
      </c>
      <c r="C597" s="16" t="s">
        <v>6128</v>
      </c>
      <c r="D597" s="16" t="s">
        <v>6110</v>
      </c>
      <c r="E597" s="16" t="s">
        <v>6129</v>
      </c>
      <c r="F597" s="16" t="s">
        <v>6130</v>
      </c>
      <c r="G597" s="16" t="s">
        <v>6131</v>
      </c>
      <c r="H597" s="16" t="s">
        <v>6132</v>
      </c>
      <c r="I597" s="16" t="s">
        <v>2690</v>
      </c>
      <c r="J597" s="16" t="s">
        <v>1123</v>
      </c>
      <c r="K597" s="16" t="s">
        <v>2691</v>
      </c>
      <c r="L597" s="16" t="s">
        <v>85</v>
      </c>
      <c r="M597" s="16" t="s">
        <v>1238</v>
      </c>
      <c r="N597" s="16" t="s">
        <v>914</v>
      </c>
      <c r="O597" s="16" t="s">
        <v>1239</v>
      </c>
      <c r="P597" s="16" t="s">
        <v>914</v>
      </c>
      <c r="Q597" s="16" t="s">
        <v>1239</v>
      </c>
      <c r="R597" s="16" t="s">
        <v>915</v>
      </c>
      <c r="S597" s="16" t="s">
        <v>915</v>
      </c>
      <c r="T597" s="16" t="s">
        <v>1238</v>
      </c>
      <c r="U597" s="16" t="s">
        <v>1240</v>
      </c>
      <c r="V597" s="16" t="s">
        <v>916</v>
      </c>
      <c r="W597" s="16" t="s">
        <v>1240</v>
      </c>
      <c r="X597" s="16" t="s">
        <v>934</v>
      </c>
      <c r="Y597" s="16" t="s">
        <v>934</v>
      </c>
      <c r="Z597" s="16" t="s">
        <v>935</v>
      </c>
      <c r="DA597" s="405" t="s">
        <v>5</v>
      </c>
      <c r="DB597" s="405" t="s">
        <v>363</v>
      </c>
      <c r="DC597" s="406" t="s">
        <v>85</v>
      </c>
      <c r="DD597" s="405" t="s">
        <v>917</v>
      </c>
      <c r="DE597" s="405" t="s">
        <v>5</v>
      </c>
      <c r="DF597" s="406" t="s">
        <v>85</v>
      </c>
      <c r="DG597" s="407">
        <v>45851</v>
      </c>
      <c r="DH597" s="405" t="s">
        <v>6129</v>
      </c>
      <c r="DI597" s="406">
        <v>465455</v>
      </c>
      <c r="DJ597" s="408">
        <v>5</v>
      </c>
      <c r="DK597" s="405">
        <v>1</v>
      </c>
      <c r="DL597" s="82">
        <v>383.16</v>
      </c>
      <c r="DM597" s="409">
        <v>1.9158000000000002</v>
      </c>
      <c r="DN597" s="82" t="s">
        <v>85</v>
      </c>
      <c r="DO597" s="82" t="s">
        <v>85</v>
      </c>
      <c r="DP597" s="410" t="s">
        <v>85</v>
      </c>
    </row>
    <row r="598" spans="1:120" x14ac:dyDescent="0.25">
      <c r="A598" s="16" t="s">
        <v>6126</v>
      </c>
      <c r="B598" s="16" t="s">
        <v>6127</v>
      </c>
      <c r="C598" s="16" t="s">
        <v>6128</v>
      </c>
      <c r="D598" s="16" t="s">
        <v>6110</v>
      </c>
      <c r="E598" s="16" t="s">
        <v>6129</v>
      </c>
      <c r="F598" s="16" t="s">
        <v>6130</v>
      </c>
      <c r="G598" s="16" t="s">
        <v>6131</v>
      </c>
      <c r="H598" s="16" t="s">
        <v>6132</v>
      </c>
      <c r="I598" s="16" t="s">
        <v>1368</v>
      </c>
      <c r="J598" s="16" t="s">
        <v>1123</v>
      </c>
      <c r="K598" s="16" t="s">
        <v>1369</v>
      </c>
      <c r="L598" s="16" t="s">
        <v>85</v>
      </c>
      <c r="M598" s="16" t="s">
        <v>1238</v>
      </c>
      <c r="N598" s="16" t="s">
        <v>914</v>
      </c>
      <c r="O598" s="16" t="s">
        <v>1239</v>
      </c>
      <c r="P598" s="16" t="s">
        <v>914</v>
      </c>
      <c r="Q598" s="16" t="s">
        <v>1239</v>
      </c>
      <c r="R598" s="16" t="s">
        <v>915</v>
      </c>
      <c r="S598" s="16" t="s">
        <v>915</v>
      </c>
      <c r="T598" s="16" t="s">
        <v>1238</v>
      </c>
      <c r="U598" s="16" t="s">
        <v>1240</v>
      </c>
      <c r="V598" s="16" t="s">
        <v>916</v>
      </c>
      <c r="W598" s="16" t="s">
        <v>1240</v>
      </c>
      <c r="X598" s="16" t="s">
        <v>934</v>
      </c>
      <c r="Y598" s="16" t="s">
        <v>934</v>
      </c>
      <c r="Z598" s="16" t="s">
        <v>935</v>
      </c>
      <c r="DA598" s="405" t="s">
        <v>5</v>
      </c>
      <c r="DB598" s="405" t="s">
        <v>363</v>
      </c>
      <c r="DC598" s="406" t="s">
        <v>85</v>
      </c>
      <c r="DD598" s="405" t="s">
        <v>917</v>
      </c>
      <c r="DE598" s="405" t="s">
        <v>5</v>
      </c>
      <c r="DF598" s="406" t="s">
        <v>85</v>
      </c>
      <c r="DG598" s="407">
        <v>45851</v>
      </c>
      <c r="DH598" s="405" t="s">
        <v>6129</v>
      </c>
      <c r="DI598" s="406">
        <v>465455</v>
      </c>
      <c r="DJ598" s="408">
        <v>5</v>
      </c>
      <c r="DK598" s="405">
        <v>1</v>
      </c>
      <c r="DL598" s="82">
        <v>383.16</v>
      </c>
      <c r="DM598" s="409">
        <v>1.9158000000000002</v>
      </c>
      <c r="DN598" s="82" t="s">
        <v>85</v>
      </c>
      <c r="DO598" s="82" t="s">
        <v>85</v>
      </c>
      <c r="DP598" s="410" t="s">
        <v>85</v>
      </c>
    </row>
    <row r="599" spans="1:120" x14ac:dyDescent="0.25">
      <c r="A599" s="16" t="s">
        <v>6133</v>
      </c>
      <c r="B599" s="16" t="s">
        <v>6134</v>
      </c>
      <c r="C599" s="16" t="s">
        <v>6135</v>
      </c>
      <c r="D599" s="16" t="s">
        <v>6110</v>
      </c>
      <c r="E599" s="16" t="s">
        <v>6136</v>
      </c>
      <c r="F599" s="16" t="s">
        <v>6137</v>
      </c>
      <c r="G599" s="16" t="s">
        <v>6138</v>
      </c>
      <c r="H599" s="16" t="s">
        <v>6137</v>
      </c>
      <c r="I599" s="16" t="s">
        <v>2136</v>
      </c>
      <c r="J599" s="16" t="s">
        <v>943</v>
      </c>
      <c r="K599" s="16" t="s">
        <v>2137</v>
      </c>
      <c r="L599" s="16" t="s">
        <v>85</v>
      </c>
      <c r="M599" s="16" t="s">
        <v>984</v>
      </c>
      <c r="N599" s="16" t="s">
        <v>914</v>
      </c>
      <c r="O599" s="16" t="s">
        <v>985</v>
      </c>
      <c r="P599" s="16" t="s">
        <v>914</v>
      </c>
      <c r="Q599" s="16" t="s">
        <v>985</v>
      </c>
      <c r="R599" s="16" t="s">
        <v>915</v>
      </c>
      <c r="S599" s="16" t="s">
        <v>915</v>
      </c>
      <c r="T599" s="16" t="s">
        <v>986</v>
      </c>
      <c r="U599" s="16" t="s">
        <v>987</v>
      </c>
      <c r="V599" s="16" t="s">
        <v>916</v>
      </c>
      <c r="W599" s="16" t="s">
        <v>987</v>
      </c>
      <c r="X599" s="16" t="s">
        <v>934</v>
      </c>
      <c r="Y599" s="16" t="s">
        <v>934</v>
      </c>
      <c r="Z599" s="16" t="s">
        <v>935</v>
      </c>
      <c r="DA599" s="405" t="s">
        <v>5</v>
      </c>
      <c r="DB599" s="405" t="s">
        <v>363</v>
      </c>
      <c r="DC599" s="406" t="s">
        <v>85</v>
      </c>
      <c r="DD599" s="405" t="s">
        <v>917</v>
      </c>
      <c r="DE599" s="405" t="s">
        <v>5</v>
      </c>
      <c r="DF599" s="406" t="s">
        <v>85</v>
      </c>
      <c r="DG599" s="407">
        <v>45851</v>
      </c>
      <c r="DH599" s="405" t="s">
        <v>6136</v>
      </c>
      <c r="DI599" s="406">
        <v>465455</v>
      </c>
      <c r="DJ599" s="408">
        <v>5</v>
      </c>
      <c r="DK599" s="405">
        <v>1</v>
      </c>
      <c r="DL599" s="82">
        <v>340.55</v>
      </c>
      <c r="DM599" s="409">
        <v>1.70275</v>
      </c>
      <c r="DN599" s="82" t="s">
        <v>85</v>
      </c>
      <c r="DO599" s="82" t="s">
        <v>85</v>
      </c>
      <c r="DP599" s="410" t="s">
        <v>85</v>
      </c>
    </row>
    <row r="600" spans="1:120" x14ac:dyDescent="0.25">
      <c r="A600" s="16" t="s">
        <v>6139</v>
      </c>
      <c r="B600" s="16" t="s">
        <v>6140</v>
      </c>
      <c r="C600" s="16" t="s">
        <v>6141</v>
      </c>
      <c r="D600" s="16" t="s">
        <v>6110</v>
      </c>
      <c r="E600" s="16" t="s">
        <v>6142</v>
      </c>
      <c r="F600" s="16" t="s">
        <v>6143</v>
      </c>
      <c r="G600" s="16" t="s">
        <v>6144</v>
      </c>
      <c r="H600" s="16" t="s">
        <v>6145</v>
      </c>
      <c r="I600" s="16" t="s">
        <v>1719</v>
      </c>
      <c r="J600" s="16" t="s">
        <v>943</v>
      </c>
      <c r="K600" s="16" t="s">
        <v>1720</v>
      </c>
      <c r="L600" s="16" t="s">
        <v>85</v>
      </c>
      <c r="M600" s="16" t="s">
        <v>984</v>
      </c>
      <c r="N600" s="16" t="s">
        <v>914</v>
      </c>
      <c r="O600" s="16" t="s">
        <v>985</v>
      </c>
      <c r="P600" s="16" t="s">
        <v>914</v>
      </c>
      <c r="Q600" s="16" t="s">
        <v>985</v>
      </c>
      <c r="R600" s="16" t="s">
        <v>915</v>
      </c>
      <c r="S600" s="16" t="s">
        <v>915</v>
      </c>
      <c r="T600" s="16" t="s">
        <v>986</v>
      </c>
      <c r="U600" s="16" t="s">
        <v>987</v>
      </c>
      <c r="V600" s="16" t="s">
        <v>916</v>
      </c>
      <c r="W600" s="16" t="s">
        <v>987</v>
      </c>
      <c r="X600" s="16" t="s">
        <v>934</v>
      </c>
      <c r="Y600" s="16" t="s">
        <v>934</v>
      </c>
      <c r="Z600" s="16" t="s">
        <v>935</v>
      </c>
      <c r="DA600" s="405" t="s">
        <v>5</v>
      </c>
      <c r="DB600" s="405" t="s">
        <v>363</v>
      </c>
      <c r="DC600" s="406" t="s">
        <v>85</v>
      </c>
      <c r="DD600" s="405" t="s">
        <v>917</v>
      </c>
      <c r="DE600" s="405" t="s">
        <v>5</v>
      </c>
      <c r="DF600" s="406" t="s">
        <v>85</v>
      </c>
      <c r="DG600" s="407">
        <v>45851</v>
      </c>
      <c r="DH600" s="405" t="s">
        <v>6142</v>
      </c>
      <c r="DI600" s="406">
        <v>465455</v>
      </c>
      <c r="DJ600" s="408">
        <v>5</v>
      </c>
      <c r="DK600" s="405">
        <v>1</v>
      </c>
      <c r="DL600" s="82">
        <v>340.55</v>
      </c>
      <c r="DM600" s="409">
        <v>1.70275</v>
      </c>
      <c r="DN600" s="82" t="s">
        <v>85</v>
      </c>
      <c r="DO600" s="82" t="s">
        <v>85</v>
      </c>
      <c r="DP600" s="410" t="s">
        <v>85</v>
      </c>
    </row>
    <row r="601" spans="1:120" x14ac:dyDescent="0.25">
      <c r="A601" s="16" t="s">
        <v>6146</v>
      </c>
      <c r="B601" s="16" t="s">
        <v>6147</v>
      </c>
      <c r="C601" s="16" t="s">
        <v>6148</v>
      </c>
      <c r="D601" s="16" t="s">
        <v>6110</v>
      </c>
      <c r="E601" s="16" t="s">
        <v>6149</v>
      </c>
      <c r="F601" s="16" t="s">
        <v>6150</v>
      </c>
      <c r="G601" s="16" t="s">
        <v>6151</v>
      </c>
      <c r="H601" s="16" t="s">
        <v>6152</v>
      </c>
      <c r="I601" s="16" t="s">
        <v>2136</v>
      </c>
      <c r="J601" s="16" t="s">
        <v>943</v>
      </c>
      <c r="K601" s="16" t="s">
        <v>2137</v>
      </c>
      <c r="L601" s="16" t="s">
        <v>85</v>
      </c>
      <c r="M601" s="16" t="s">
        <v>984</v>
      </c>
      <c r="N601" s="16" t="s">
        <v>914</v>
      </c>
      <c r="O601" s="16" t="s">
        <v>985</v>
      </c>
      <c r="P601" s="16" t="s">
        <v>914</v>
      </c>
      <c r="Q601" s="16" t="s">
        <v>985</v>
      </c>
      <c r="R601" s="16" t="s">
        <v>915</v>
      </c>
      <c r="S601" s="16" t="s">
        <v>915</v>
      </c>
      <c r="T601" s="16" t="s">
        <v>986</v>
      </c>
      <c r="U601" s="16" t="s">
        <v>987</v>
      </c>
      <c r="V601" s="16" t="s">
        <v>916</v>
      </c>
      <c r="W601" s="16" t="s">
        <v>987</v>
      </c>
      <c r="X601" s="16" t="s">
        <v>934</v>
      </c>
      <c r="Y601" s="16" t="s">
        <v>934</v>
      </c>
      <c r="Z601" s="16" t="s">
        <v>935</v>
      </c>
      <c r="DA601" s="405" t="s">
        <v>5</v>
      </c>
      <c r="DB601" s="405" t="s">
        <v>363</v>
      </c>
      <c r="DC601" s="406" t="s">
        <v>85</v>
      </c>
      <c r="DD601" s="405" t="s">
        <v>917</v>
      </c>
      <c r="DE601" s="405" t="s">
        <v>5</v>
      </c>
      <c r="DF601" s="406" t="s">
        <v>85</v>
      </c>
      <c r="DG601" s="407">
        <v>45851</v>
      </c>
      <c r="DH601" s="405" t="s">
        <v>6149</v>
      </c>
      <c r="DI601" s="406">
        <v>465455</v>
      </c>
      <c r="DJ601" s="408">
        <v>5</v>
      </c>
      <c r="DK601" s="405">
        <v>1</v>
      </c>
      <c r="DL601" s="82">
        <v>340.55</v>
      </c>
      <c r="DM601" s="409">
        <v>1.70275</v>
      </c>
      <c r="DN601" s="82" t="s">
        <v>85</v>
      </c>
      <c r="DO601" s="82" t="s">
        <v>85</v>
      </c>
      <c r="DP601" s="410" t="s">
        <v>85</v>
      </c>
    </row>
    <row r="602" spans="1:120" x14ac:dyDescent="0.25">
      <c r="A602" s="16" t="s">
        <v>6153</v>
      </c>
      <c r="B602" s="16" t="s">
        <v>6154</v>
      </c>
      <c r="C602" s="16" t="s">
        <v>6155</v>
      </c>
      <c r="D602" s="16" t="s">
        <v>6110</v>
      </c>
      <c r="E602" s="16" t="s">
        <v>6156</v>
      </c>
      <c r="F602" s="16" t="s">
        <v>6157</v>
      </c>
      <c r="G602" s="16" t="s">
        <v>6158</v>
      </c>
      <c r="H602" s="16" t="s">
        <v>6157</v>
      </c>
      <c r="I602" s="16" t="s">
        <v>6159</v>
      </c>
      <c r="J602" s="16" t="s">
        <v>1123</v>
      </c>
      <c r="K602" s="16" t="s">
        <v>6160</v>
      </c>
      <c r="L602" s="16" t="s">
        <v>85</v>
      </c>
      <c r="M602" s="16" t="s">
        <v>1238</v>
      </c>
      <c r="N602" s="16" t="s">
        <v>914</v>
      </c>
      <c r="O602" s="16" t="s">
        <v>1239</v>
      </c>
      <c r="P602" s="16" t="s">
        <v>914</v>
      </c>
      <c r="Q602" s="16" t="s">
        <v>1239</v>
      </c>
      <c r="R602" s="16" t="s">
        <v>915</v>
      </c>
      <c r="S602" s="16" t="s">
        <v>915</v>
      </c>
      <c r="T602" s="16" t="s">
        <v>1238</v>
      </c>
      <c r="U602" s="16" t="s">
        <v>1240</v>
      </c>
      <c r="V602" s="16" t="s">
        <v>916</v>
      </c>
      <c r="W602" s="16" t="s">
        <v>1240</v>
      </c>
      <c r="X602" s="16" t="s">
        <v>934</v>
      </c>
      <c r="Y602" s="16" t="s">
        <v>934</v>
      </c>
      <c r="Z602" s="16" t="s">
        <v>935</v>
      </c>
      <c r="DA602" s="405" t="s">
        <v>5</v>
      </c>
      <c r="DB602" s="405" t="s">
        <v>363</v>
      </c>
      <c r="DC602" s="406" t="s">
        <v>85</v>
      </c>
      <c r="DD602" s="405" t="s">
        <v>917</v>
      </c>
      <c r="DE602" s="405" t="s">
        <v>5</v>
      </c>
      <c r="DF602" s="406" t="s">
        <v>85</v>
      </c>
      <c r="DG602" s="407">
        <v>45851</v>
      </c>
      <c r="DH602" s="405" t="s">
        <v>6156</v>
      </c>
      <c r="DI602" s="406">
        <v>465455</v>
      </c>
      <c r="DJ602" s="408">
        <v>5</v>
      </c>
      <c r="DK602" s="405">
        <v>1</v>
      </c>
      <c r="DL602" s="82">
        <v>383.16</v>
      </c>
      <c r="DM602" s="409">
        <v>1.9158000000000002</v>
      </c>
      <c r="DN602" s="82" t="s">
        <v>85</v>
      </c>
      <c r="DO602" s="82" t="s">
        <v>85</v>
      </c>
      <c r="DP602" s="410" t="s">
        <v>85</v>
      </c>
    </row>
    <row r="603" spans="1:120" x14ac:dyDescent="0.25">
      <c r="A603" s="16" t="s">
        <v>6161</v>
      </c>
      <c r="B603" s="16" t="s">
        <v>6162</v>
      </c>
      <c r="C603" s="16" t="s">
        <v>6163</v>
      </c>
      <c r="D603" s="16" t="s">
        <v>6110</v>
      </c>
      <c r="E603" s="16" t="s">
        <v>6164</v>
      </c>
      <c r="F603" s="16" t="s">
        <v>6165</v>
      </c>
      <c r="G603" s="16" t="s">
        <v>6166</v>
      </c>
      <c r="H603" s="16" t="s">
        <v>6167</v>
      </c>
      <c r="I603" s="16" t="s">
        <v>1057</v>
      </c>
      <c r="J603" s="16" t="s">
        <v>943</v>
      </c>
      <c r="K603" s="16" t="s">
        <v>1058</v>
      </c>
      <c r="L603" s="16" t="s">
        <v>85</v>
      </c>
      <c r="M603" s="16" t="s">
        <v>984</v>
      </c>
      <c r="N603" s="16" t="s">
        <v>914</v>
      </c>
      <c r="O603" s="16" t="s">
        <v>985</v>
      </c>
      <c r="P603" s="16" t="s">
        <v>914</v>
      </c>
      <c r="Q603" s="16" t="s">
        <v>985</v>
      </c>
      <c r="R603" s="16" t="s">
        <v>915</v>
      </c>
      <c r="S603" s="16" t="s">
        <v>915</v>
      </c>
      <c r="T603" s="16" t="s">
        <v>986</v>
      </c>
      <c r="U603" s="16" t="s">
        <v>987</v>
      </c>
      <c r="V603" s="16" t="s">
        <v>916</v>
      </c>
      <c r="W603" s="16" t="s">
        <v>987</v>
      </c>
      <c r="X603" s="16" t="s">
        <v>934</v>
      </c>
      <c r="Y603" s="16" t="s">
        <v>934</v>
      </c>
      <c r="Z603" s="16" t="s">
        <v>935</v>
      </c>
      <c r="DA603" s="405" t="s">
        <v>5</v>
      </c>
      <c r="DB603" s="405" t="s">
        <v>363</v>
      </c>
      <c r="DC603" s="406" t="s">
        <v>85</v>
      </c>
      <c r="DD603" s="405" t="s">
        <v>917</v>
      </c>
      <c r="DE603" s="405" t="s">
        <v>5</v>
      </c>
      <c r="DF603" s="406" t="s">
        <v>85</v>
      </c>
      <c r="DG603" s="407">
        <v>45851</v>
      </c>
      <c r="DH603" s="405" t="s">
        <v>6164</v>
      </c>
      <c r="DI603" s="406">
        <v>465455</v>
      </c>
      <c r="DJ603" s="408">
        <v>5</v>
      </c>
      <c r="DK603" s="405">
        <v>1</v>
      </c>
      <c r="DL603" s="82">
        <v>340.55</v>
      </c>
      <c r="DM603" s="409">
        <v>1.70275</v>
      </c>
      <c r="DN603" s="82" t="s">
        <v>85</v>
      </c>
      <c r="DO603" s="82" t="s">
        <v>85</v>
      </c>
      <c r="DP603" s="410" t="s">
        <v>85</v>
      </c>
    </row>
    <row r="604" spans="1:120" x14ac:dyDescent="0.25">
      <c r="A604" s="16" t="s">
        <v>6168</v>
      </c>
      <c r="B604" s="16" t="s">
        <v>6169</v>
      </c>
      <c r="C604" s="16" t="s">
        <v>6170</v>
      </c>
      <c r="D604" s="16" t="s">
        <v>6110</v>
      </c>
      <c r="E604" s="16" t="s">
        <v>6171</v>
      </c>
      <c r="F604" s="16" t="s">
        <v>6172</v>
      </c>
      <c r="G604" s="16" t="s">
        <v>6173</v>
      </c>
      <c r="H604" s="16" t="s">
        <v>6174</v>
      </c>
      <c r="I604" s="16" t="s">
        <v>4273</v>
      </c>
      <c r="J604" s="16" t="s">
        <v>943</v>
      </c>
      <c r="K604" s="16" t="s">
        <v>4274</v>
      </c>
      <c r="L604" s="16" t="s">
        <v>85</v>
      </c>
      <c r="M604" s="16" t="s">
        <v>984</v>
      </c>
      <c r="N604" s="16" t="s">
        <v>914</v>
      </c>
      <c r="O604" s="16" t="s">
        <v>985</v>
      </c>
      <c r="P604" s="16" t="s">
        <v>914</v>
      </c>
      <c r="Q604" s="16" t="s">
        <v>985</v>
      </c>
      <c r="R604" s="16" t="s">
        <v>915</v>
      </c>
      <c r="S604" s="16" t="s">
        <v>915</v>
      </c>
      <c r="T604" s="16" t="s">
        <v>986</v>
      </c>
      <c r="U604" s="16" t="s">
        <v>987</v>
      </c>
      <c r="V604" s="16" t="s">
        <v>916</v>
      </c>
      <c r="W604" s="16" t="s">
        <v>987</v>
      </c>
      <c r="X604" s="16" t="s">
        <v>934</v>
      </c>
      <c r="Y604" s="16" t="s">
        <v>934</v>
      </c>
      <c r="Z604" s="16" t="s">
        <v>935</v>
      </c>
      <c r="DA604" s="405" t="s">
        <v>5</v>
      </c>
      <c r="DB604" s="405" t="s">
        <v>363</v>
      </c>
      <c r="DC604" s="406" t="s">
        <v>85</v>
      </c>
      <c r="DD604" s="405" t="s">
        <v>917</v>
      </c>
      <c r="DE604" s="405" t="s">
        <v>5</v>
      </c>
      <c r="DF604" s="406" t="s">
        <v>85</v>
      </c>
      <c r="DG604" s="407">
        <v>45851</v>
      </c>
      <c r="DH604" s="405" t="s">
        <v>6171</v>
      </c>
      <c r="DI604" s="406">
        <v>465455</v>
      </c>
      <c r="DJ604" s="408">
        <v>5</v>
      </c>
      <c r="DK604" s="405">
        <v>1</v>
      </c>
      <c r="DL604" s="82">
        <v>340.55</v>
      </c>
      <c r="DM604" s="409">
        <v>1.70275</v>
      </c>
      <c r="DN604" s="82" t="s">
        <v>85</v>
      </c>
      <c r="DO604" s="82" t="s">
        <v>85</v>
      </c>
      <c r="DP604" s="410" t="s">
        <v>85</v>
      </c>
    </row>
    <row r="605" spans="1:120" x14ac:dyDescent="0.25">
      <c r="A605" s="16" t="s">
        <v>6175</v>
      </c>
      <c r="B605" s="16" t="s">
        <v>6176</v>
      </c>
      <c r="C605" s="16" t="s">
        <v>6177</v>
      </c>
      <c r="D605" s="16" t="s">
        <v>6110</v>
      </c>
      <c r="E605" s="16" t="s">
        <v>6178</v>
      </c>
      <c r="F605" s="16" t="s">
        <v>6179</v>
      </c>
      <c r="G605" s="16" t="s">
        <v>6180</v>
      </c>
      <c r="H605" s="16" t="s">
        <v>6181</v>
      </c>
      <c r="I605" s="16" t="s">
        <v>1377</v>
      </c>
      <c r="J605" s="16" t="s">
        <v>943</v>
      </c>
      <c r="K605" s="16" t="s">
        <v>1378</v>
      </c>
      <c r="L605" s="16" t="s">
        <v>85</v>
      </c>
      <c r="M605" s="16" t="s">
        <v>984</v>
      </c>
      <c r="N605" s="16" t="s">
        <v>914</v>
      </c>
      <c r="O605" s="16" t="s">
        <v>985</v>
      </c>
      <c r="P605" s="16" t="s">
        <v>914</v>
      </c>
      <c r="Q605" s="16" t="s">
        <v>985</v>
      </c>
      <c r="R605" s="16" t="s">
        <v>915</v>
      </c>
      <c r="S605" s="16" t="s">
        <v>915</v>
      </c>
      <c r="T605" s="16" t="s">
        <v>986</v>
      </c>
      <c r="U605" s="16" t="s">
        <v>987</v>
      </c>
      <c r="V605" s="16" t="s">
        <v>916</v>
      </c>
      <c r="W605" s="16" t="s">
        <v>987</v>
      </c>
      <c r="X605" s="16" t="s">
        <v>934</v>
      </c>
      <c r="Y605" s="16" t="s">
        <v>934</v>
      </c>
      <c r="Z605" s="16" t="s">
        <v>935</v>
      </c>
      <c r="DA605" s="405" t="s">
        <v>5</v>
      </c>
      <c r="DB605" s="405" t="s">
        <v>363</v>
      </c>
      <c r="DC605" s="406" t="s">
        <v>85</v>
      </c>
      <c r="DD605" s="405" t="s">
        <v>917</v>
      </c>
      <c r="DE605" s="405" t="s">
        <v>5</v>
      </c>
      <c r="DF605" s="406" t="s">
        <v>85</v>
      </c>
      <c r="DG605" s="407">
        <v>45851</v>
      </c>
      <c r="DH605" s="405" t="s">
        <v>6178</v>
      </c>
      <c r="DI605" s="406">
        <v>465455</v>
      </c>
      <c r="DJ605" s="408">
        <v>5</v>
      </c>
      <c r="DK605" s="405">
        <v>1</v>
      </c>
      <c r="DL605" s="82">
        <v>340.55</v>
      </c>
      <c r="DM605" s="409">
        <v>1.70275</v>
      </c>
      <c r="DN605" s="82" t="s">
        <v>85</v>
      </c>
      <c r="DO605" s="82" t="s">
        <v>85</v>
      </c>
      <c r="DP605" s="410" t="s">
        <v>85</v>
      </c>
    </row>
    <row r="606" spans="1:120" x14ac:dyDescent="0.25">
      <c r="A606" s="16" t="s">
        <v>6182</v>
      </c>
      <c r="B606" s="16" t="s">
        <v>6183</v>
      </c>
      <c r="C606" s="16" t="s">
        <v>6184</v>
      </c>
      <c r="D606" s="16" t="s">
        <v>6110</v>
      </c>
      <c r="E606" s="16" t="s">
        <v>6185</v>
      </c>
      <c r="F606" s="16" t="s">
        <v>6186</v>
      </c>
      <c r="G606" s="16" t="s">
        <v>6187</v>
      </c>
      <c r="H606" s="16" t="s">
        <v>6188</v>
      </c>
      <c r="I606" s="16" t="s">
        <v>1150</v>
      </c>
      <c r="J606" s="16" t="s">
        <v>943</v>
      </c>
      <c r="K606" s="16" t="s">
        <v>1151</v>
      </c>
      <c r="L606" s="16" t="s">
        <v>85</v>
      </c>
      <c r="M606" s="16" t="s">
        <v>984</v>
      </c>
      <c r="N606" s="16" t="s">
        <v>914</v>
      </c>
      <c r="O606" s="16" t="s">
        <v>985</v>
      </c>
      <c r="P606" s="16" t="s">
        <v>914</v>
      </c>
      <c r="Q606" s="16" t="s">
        <v>985</v>
      </c>
      <c r="R606" s="16" t="s">
        <v>915</v>
      </c>
      <c r="S606" s="16" t="s">
        <v>915</v>
      </c>
      <c r="T606" s="16" t="s">
        <v>986</v>
      </c>
      <c r="U606" s="16" t="s">
        <v>987</v>
      </c>
      <c r="V606" s="16" t="s">
        <v>916</v>
      </c>
      <c r="W606" s="16" t="s">
        <v>987</v>
      </c>
      <c r="X606" s="16" t="s">
        <v>934</v>
      </c>
      <c r="Y606" s="16" t="s">
        <v>934</v>
      </c>
      <c r="Z606" s="16" t="s">
        <v>935</v>
      </c>
      <c r="DA606" s="405" t="s">
        <v>5</v>
      </c>
      <c r="DB606" s="405" t="s">
        <v>363</v>
      </c>
      <c r="DC606" s="406" t="s">
        <v>85</v>
      </c>
      <c r="DD606" s="405" t="s">
        <v>917</v>
      </c>
      <c r="DE606" s="405" t="s">
        <v>5</v>
      </c>
      <c r="DF606" s="406" t="s">
        <v>85</v>
      </c>
      <c r="DG606" s="407">
        <v>45851</v>
      </c>
      <c r="DH606" s="405" t="s">
        <v>6185</v>
      </c>
      <c r="DI606" s="406">
        <v>465455</v>
      </c>
      <c r="DJ606" s="408">
        <v>5</v>
      </c>
      <c r="DK606" s="405">
        <v>1</v>
      </c>
      <c r="DL606" s="82">
        <v>340.55</v>
      </c>
      <c r="DM606" s="409">
        <v>1.70275</v>
      </c>
      <c r="DN606" s="82" t="s">
        <v>85</v>
      </c>
      <c r="DO606" s="82" t="s">
        <v>85</v>
      </c>
      <c r="DP606" s="410" t="s">
        <v>85</v>
      </c>
    </row>
    <row r="607" spans="1:120" x14ac:dyDescent="0.25">
      <c r="A607" s="16" t="s">
        <v>6189</v>
      </c>
      <c r="B607" s="16" t="s">
        <v>6190</v>
      </c>
      <c r="C607" s="16" t="s">
        <v>6191</v>
      </c>
      <c r="D607" s="16" t="s">
        <v>6110</v>
      </c>
      <c r="E607" s="16" t="s">
        <v>6192</v>
      </c>
      <c r="F607" s="16" t="s">
        <v>6193</v>
      </c>
      <c r="G607" s="16" t="s">
        <v>6194</v>
      </c>
      <c r="H607" s="16" t="s">
        <v>6195</v>
      </c>
      <c r="I607" s="16" t="s">
        <v>4603</v>
      </c>
      <c r="J607" s="16" t="s">
        <v>1123</v>
      </c>
      <c r="K607" s="16" t="s">
        <v>4604</v>
      </c>
      <c r="L607" s="16" t="s">
        <v>85</v>
      </c>
      <c r="M607" s="16" t="s">
        <v>1238</v>
      </c>
      <c r="N607" s="16" t="s">
        <v>914</v>
      </c>
      <c r="O607" s="16" t="s">
        <v>1239</v>
      </c>
      <c r="P607" s="16" t="s">
        <v>914</v>
      </c>
      <c r="Q607" s="16" t="s">
        <v>1239</v>
      </c>
      <c r="R607" s="16" t="s">
        <v>915</v>
      </c>
      <c r="S607" s="16" t="s">
        <v>915</v>
      </c>
      <c r="T607" s="16" t="s">
        <v>1238</v>
      </c>
      <c r="U607" s="16" t="s">
        <v>1240</v>
      </c>
      <c r="V607" s="16" t="s">
        <v>916</v>
      </c>
      <c r="W607" s="16" t="s">
        <v>1240</v>
      </c>
      <c r="X607" s="16" t="s">
        <v>934</v>
      </c>
      <c r="Y607" s="16" t="s">
        <v>934</v>
      </c>
      <c r="Z607" s="16" t="s">
        <v>935</v>
      </c>
      <c r="DA607" s="405" t="s">
        <v>5</v>
      </c>
      <c r="DB607" s="405" t="s">
        <v>363</v>
      </c>
      <c r="DC607" s="406" t="s">
        <v>85</v>
      </c>
      <c r="DD607" s="405" t="s">
        <v>917</v>
      </c>
      <c r="DE607" s="405" t="s">
        <v>5</v>
      </c>
      <c r="DF607" s="406" t="s">
        <v>85</v>
      </c>
      <c r="DG607" s="407">
        <v>45851</v>
      </c>
      <c r="DH607" s="405" t="s">
        <v>6192</v>
      </c>
      <c r="DI607" s="406">
        <v>465455</v>
      </c>
      <c r="DJ607" s="408">
        <v>5</v>
      </c>
      <c r="DK607" s="405">
        <v>1</v>
      </c>
      <c r="DL607" s="82">
        <v>383.16</v>
      </c>
      <c r="DM607" s="409">
        <v>1.9158000000000002</v>
      </c>
      <c r="DN607" s="82" t="s">
        <v>85</v>
      </c>
      <c r="DO607" s="82" t="s">
        <v>85</v>
      </c>
      <c r="DP607" s="410" t="s">
        <v>85</v>
      </c>
    </row>
    <row r="608" spans="1:120" x14ac:dyDescent="0.25">
      <c r="A608" s="16" t="s">
        <v>6189</v>
      </c>
      <c r="B608" s="16" t="s">
        <v>6190</v>
      </c>
      <c r="C608" s="16" t="s">
        <v>6191</v>
      </c>
      <c r="D608" s="16" t="s">
        <v>6110</v>
      </c>
      <c r="E608" s="16" t="s">
        <v>6192</v>
      </c>
      <c r="F608" s="16" t="s">
        <v>6193</v>
      </c>
      <c r="G608" s="16" t="s">
        <v>6194</v>
      </c>
      <c r="H608" s="16" t="s">
        <v>6195</v>
      </c>
      <c r="I608" s="16" t="s">
        <v>6196</v>
      </c>
      <c r="J608" s="16" t="s">
        <v>1123</v>
      </c>
      <c r="K608" s="16" t="s">
        <v>6197</v>
      </c>
      <c r="L608" s="16" t="s">
        <v>85</v>
      </c>
      <c r="M608" s="16" t="s">
        <v>1238</v>
      </c>
      <c r="N608" s="16" t="s">
        <v>914</v>
      </c>
      <c r="O608" s="16" t="s">
        <v>1239</v>
      </c>
      <c r="P608" s="16" t="s">
        <v>914</v>
      </c>
      <c r="Q608" s="16" t="s">
        <v>1239</v>
      </c>
      <c r="R608" s="16" t="s">
        <v>915</v>
      </c>
      <c r="S608" s="16" t="s">
        <v>915</v>
      </c>
      <c r="T608" s="16" t="s">
        <v>1238</v>
      </c>
      <c r="U608" s="16" t="s">
        <v>1240</v>
      </c>
      <c r="V608" s="16" t="s">
        <v>916</v>
      </c>
      <c r="W608" s="16" t="s">
        <v>1240</v>
      </c>
      <c r="X608" s="16" t="s">
        <v>934</v>
      </c>
      <c r="Y608" s="16" t="s">
        <v>934</v>
      </c>
      <c r="Z608" s="16" t="s">
        <v>935</v>
      </c>
      <c r="DA608" s="405" t="s">
        <v>5</v>
      </c>
      <c r="DB608" s="405" t="s">
        <v>363</v>
      </c>
      <c r="DC608" s="406" t="s">
        <v>85</v>
      </c>
      <c r="DD608" s="405" t="s">
        <v>917</v>
      </c>
      <c r="DE608" s="405" t="s">
        <v>5</v>
      </c>
      <c r="DF608" s="406" t="s">
        <v>85</v>
      </c>
      <c r="DG608" s="407">
        <v>45851</v>
      </c>
      <c r="DH608" s="405" t="s">
        <v>6192</v>
      </c>
      <c r="DI608" s="406">
        <v>465455</v>
      </c>
      <c r="DJ608" s="408">
        <v>5</v>
      </c>
      <c r="DK608" s="405">
        <v>1</v>
      </c>
      <c r="DL608" s="82">
        <v>383.16</v>
      </c>
      <c r="DM608" s="409">
        <v>1.9158000000000002</v>
      </c>
      <c r="DN608" s="82" t="s">
        <v>85</v>
      </c>
      <c r="DO608" s="82" t="s">
        <v>85</v>
      </c>
      <c r="DP608" s="410" t="s">
        <v>85</v>
      </c>
    </row>
    <row r="609" spans="1:120" x14ac:dyDescent="0.25">
      <c r="A609" s="16" t="s">
        <v>6198</v>
      </c>
      <c r="B609" s="16" t="s">
        <v>6199</v>
      </c>
      <c r="C609" s="16" t="s">
        <v>6200</v>
      </c>
      <c r="D609" s="16" t="s">
        <v>6110</v>
      </c>
      <c r="E609" s="16" t="s">
        <v>6201</v>
      </c>
      <c r="F609" s="16" t="s">
        <v>6202</v>
      </c>
      <c r="G609" s="16" t="s">
        <v>6203</v>
      </c>
      <c r="H609" s="16" t="s">
        <v>6204</v>
      </c>
      <c r="I609" s="16" t="s">
        <v>2271</v>
      </c>
      <c r="J609" s="16" t="s">
        <v>995</v>
      </c>
      <c r="K609" s="16" t="s">
        <v>2272</v>
      </c>
      <c r="L609" s="16" t="s">
        <v>85</v>
      </c>
      <c r="M609" s="16" t="s">
        <v>1165</v>
      </c>
      <c r="N609" s="16" t="s">
        <v>914</v>
      </c>
      <c r="O609" s="16" t="s">
        <v>1166</v>
      </c>
      <c r="P609" s="16" t="s">
        <v>914</v>
      </c>
      <c r="Q609" s="16" t="s">
        <v>1166</v>
      </c>
      <c r="R609" s="16" t="s">
        <v>915</v>
      </c>
      <c r="S609" s="16" t="s">
        <v>915</v>
      </c>
      <c r="T609" s="16" t="s">
        <v>1167</v>
      </c>
      <c r="U609" s="16" t="s">
        <v>1168</v>
      </c>
      <c r="V609" s="16" t="s">
        <v>916</v>
      </c>
      <c r="W609" s="16" t="s">
        <v>1168</v>
      </c>
      <c r="X609" s="16" t="s">
        <v>934</v>
      </c>
      <c r="Y609" s="16" t="s">
        <v>934</v>
      </c>
      <c r="Z609" s="16" t="s">
        <v>935</v>
      </c>
      <c r="DA609" s="405" t="s">
        <v>5</v>
      </c>
      <c r="DB609" s="405" t="s">
        <v>363</v>
      </c>
      <c r="DC609" s="406" t="s">
        <v>85</v>
      </c>
      <c r="DD609" s="405" t="s">
        <v>917</v>
      </c>
      <c r="DE609" s="405" t="s">
        <v>5</v>
      </c>
      <c r="DF609" s="406" t="s">
        <v>85</v>
      </c>
      <c r="DG609" s="407">
        <v>45851</v>
      </c>
      <c r="DH609" s="405" t="s">
        <v>6201</v>
      </c>
      <c r="DI609" s="406">
        <v>465455</v>
      </c>
      <c r="DJ609" s="408">
        <v>5</v>
      </c>
      <c r="DK609" s="405">
        <v>1</v>
      </c>
      <c r="DL609" s="82">
        <v>468.28</v>
      </c>
      <c r="DM609" s="409">
        <v>2.3413999999999997</v>
      </c>
      <c r="DN609" s="82" t="s">
        <v>85</v>
      </c>
      <c r="DO609" s="82" t="s">
        <v>85</v>
      </c>
      <c r="DP609" s="410" t="s">
        <v>85</v>
      </c>
    </row>
    <row r="610" spans="1:120" x14ac:dyDescent="0.25">
      <c r="A610" s="16" t="s">
        <v>6205</v>
      </c>
      <c r="B610" s="16" t="s">
        <v>6206</v>
      </c>
      <c r="C610" s="16" t="s">
        <v>6207</v>
      </c>
      <c r="D610" s="16" t="s">
        <v>6110</v>
      </c>
      <c r="E610" s="16" t="s">
        <v>6208</v>
      </c>
      <c r="F610" s="16" t="s">
        <v>6209</v>
      </c>
      <c r="G610" s="16" t="s">
        <v>6210</v>
      </c>
      <c r="H610" s="16" t="s">
        <v>6211</v>
      </c>
      <c r="I610" s="16" t="s">
        <v>1017</v>
      </c>
      <c r="J610" s="16" t="s">
        <v>995</v>
      </c>
      <c r="K610" s="16" t="s">
        <v>1018</v>
      </c>
      <c r="L610" s="16" t="s">
        <v>85</v>
      </c>
      <c r="M610" s="16" t="s">
        <v>1165</v>
      </c>
      <c r="N610" s="16" t="s">
        <v>914</v>
      </c>
      <c r="O610" s="16" t="s">
        <v>1166</v>
      </c>
      <c r="P610" s="16" t="s">
        <v>914</v>
      </c>
      <c r="Q610" s="16" t="s">
        <v>1166</v>
      </c>
      <c r="R610" s="16" t="s">
        <v>915</v>
      </c>
      <c r="S610" s="16" t="s">
        <v>915</v>
      </c>
      <c r="T610" s="16" t="s">
        <v>1167</v>
      </c>
      <c r="U610" s="16" t="s">
        <v>1168</v>
      </c>
      <c r="V610" s="16" t="s">
        <v>916</v>
      </c>
      <c r="W610" s="16" t="s">
        <v>1168</v>
      </c>
      <c r="X610" s="16" t="s">
        <v>934</v>
      </c>
      <c r="Y610" s="16" t="s">
        <v>934</v>
      </c>
      <c r="Z610" s="16" t="s">
        <v>935</v>
      </c>
      <c r="DA610" s="405" t="s">
        <v>5</v>
      </c>
      <c r="DB610" s="405" t="s">
        <v>363</v>
      </c>
      <c r="DC610" s="406" t="s">
        <v>85</v>
      </c>
      <c r="DD610" s="405" t="s">
        <v>917</v>
      </c>
      <c r="DE610" s="405" t="s">
        <v>5</v>
      </c>
      <c r="DF610" s="406" t="s">
        <v>85</v>
      </c>
      <c r="DG610" s="407">
        <v>45851</v>
      </c>
      <c r="DH610" s="405" t="s">
        <v>6208</v>
      </c>
      <c r="DI610" s="406">
        <v>465455</v>
      </c>
      <c r="DJ610" s="408">
        <v>5</v>
      </c>
      <c r="DK610" s="405">
        <v>1</v>
      </c>
      <c r="DL610" s="82">
        <v>468.28</v>
      </c>
      <c r="DM610" s="409">
        <v>2.3413999999999997</v>
      </c>
      <c r="DN610" s="82" t="s">
        <v>85</v>
      </c>
      <c r="DO610" s="82" t="s">
        <v>85</v>
      </c>
      <c r="DP610" s="410" t="s">
        <v>85</v>
      </c>
    </row>
    <row r="611" spans="1:120" x14ac:dyDescent="0.25">
      <c r="A611" s="16" t="s">
        <v>6212</v>
      </c>
      <c r="B611" s="16" t="s">
        <v>6213</v>
      </c>
      <c r="C611" s="16" t="s">
        <v>6214</v>
      </c>
      <c r="D611" s="16" t="s">
        <v>6110</v>
      </c>
      <c r="E611" s="16" t="s">
        <v>6215</v>
      </c>
      <c r="F611" s="16" t="s">
        <v>6216</v>
      </c>
      <c r="G611" s="16" t="s">
        <v>6217</v>
      </c>
      <c r="H611" s="16" t="s">
        <v>6216</v>
      </c>
      <c r="I611" s="16" t="s">
        <v>2521</v>
      </c>
      <c r="J611" s="16" t="s">
        <v>943</v>
      </c>
      <c r="K611" s="16" t="s">
        <v>2522</v>
      </c>
      <c r="L611" s="16" t="s">
        <v>85</v>
      </c>
      <c r="M611" s="16" t="s">
        <v>984</v>
      </c>
      <c r="N611" s="16" t="s">
        <v>914</v>
      </c>
      <c r="O611" s="16" t="s">
        <v>985</v>
      </c>
      <c r="P611" s="16" t="s">
        <v>914</v>
      </c>
      <c r="Q611" s="16" t="s">
        <v>985</v>
      </c>
      <c r="R611" s="16" t="s">
        <v>915</v>
      </c>
      <c r="S611" s="16" t="s">
        <v>915</v>
      </c>
      <c r="T611" s="16" t="s">
        <v>986</v>
      </c>
      <c r="U611" s="16" t="s">
        <v>987</v>
      </c>
      <c r="V611" s="16" t="s">
        <v>916</v>
      </c>
      <c r="W611" s="16" t="s">
        <v>987</v>
      </c>
      <c r="X611" s="16" t="s">
        <v>934</v>
      </c>
      <c r="Y611" s="16" t="s">
        <v>934</v>
      </c>
      <c r="Z611" s="16" t="s">
        <v>935</v>
      </c>
      <c r="DA611" s="405" t="s">
        <v>5</v>
      </c>
      <c r="DB611" s="405" t="s">
        <v>363</v>
      </c>
      <c r="DC611" s="406" t="s">
        <v>85</v>
      </c>
      <c r="DD611" s="405" t="s">
        <v>917</v>
      </c>
      <c r="DE611" s="405" t="s">
        <v>5</v>
      </c>
      <c r="DF611" s="406" t="s">
        <v>85</v>
      </c>
      <c r="DG611" s="407">
        <v>45851</v>
      </c>
      <c r="DH611" s="405" t="s">
        <v>6215</v>
      </c>
      <c r="DI611" s="406">
        <v>465455</v>
      </c>
      <c r="DJ611" s="408">
        <v>5</v>
      </c>
      <c r="DK611" s="405">
        <v>1</v>
      </c>
      <c r="DL611" s="82">
        <v>340.55</v>
      </c>
      <c r="DM611" s="409">
        <v>1.70275</v>
      </c>
      <c r="DN611" s="82" t="s">
        <v>85</v>
      </c>
      <c r="DO611" s="82" t="s">
        <v>85</v>
      </c>
      <c r="DP611" s="410" t="s">
        <v>85</v>
      </c>
    </row>
    <row r="612" spans="1:120" x14ac:dyDescent="0.25">
      <c r="A612" s="16" t="s">
        <v>6218</v>
      </c>
      <c r="B612" s="16" t="s">
        <v>6219</v>
      </c>
      <c r="C612" s="16" t="s">
        <v>6220</v>
      </c>
      <c r="D612" s="16" t="s">
        <v>6110</v>
      </c>
      <c r="E612" s="16" t="s">
        <v>6221</v>
      </c>
      <c r="F612" s="16" t="s">
        <v>6222</v>
      </c>
      <c r="G612" s="16" t="s">
        <v>6223</v>
      </c>
      <c r="H612" s="16" t="s">
        <v>6224</v>
      </c>
      <c r="I612" s="16" t="s">
        <v>1970</v>
      </c>
      <c r="J612" s="16" t="s">
        <v>995</v>
      </c>
      <c r="K612" s="16" t="s">
        <v>1971</v>
      </c>
      <c r="L612" s="16" t="s">
        <v>85</v>
      </c>
      <c r="M612" s="16" t="s">
        <v>1165</v>
      </c>
      <c r="N612" s="16" t="s">
        <v>914</v>
      </c>
      <c r="O612" s="16" t="s">
        <v>1166</v>
      </c>
      <c r="P612" s="16" t="s">
        <v>914</v>
      </c>
      <c r="Q612" s="16" t="s">
        <v>1166</v>
      </c>
      <c r="R612" s="16" t="s">
        <v>915</v>
      </c>
      <c r="S612" s="16" t="s">
        <v>915</v>
      </c>
      <c r="T612" s="16" t="s">
        <v>1167</v>
      </c>
      <c r="U612" s="16" t="s">
        <v>1168</v>
      </c>
      <c r="V612" s="16" t="s">
        <v>916</v>
      </c>
      <c r="W612" s="16" t="s">
        <v>1168</v>
      </c>
      <c r="X612" s="16" t="s">
        <v>934</v>
      </c>
      <c r="Y612" s="16" t="s">
        <v>934</v>
      </c>
      <c r="Z612" s="16" t="s">
        <v>935</v>
      </c>
      <c r="DA612" s="405" t="s">
        <v>5</v>
      </c>
      <c r="DB612" s="405" t="s">
        <v>363</v>
      </c>
      <c r="DC612" s="406" t="s">
        <v>85</v>
      </c>
      <c r="DD612" s="405" t="s">
        <v>917</v>
      </c>
      <c r="DE612" s="405" t="s">
        <v>5</v>
      </c>
      <c r="DF612" s="406" t="s">
        <v>85</v>
      </c>
      <c r="DG612" s="407">
        <v>45851</v>
      </c>
      <c r="DH612" s="405" t="s">
        <v>6221</v>
      </c>
      <c r="DI612" s="406">
        <v>465455</v>
      </c>
      <c r="DJ612" s="408">
        <v>5</v>
      </c>
      <c r="DK612" s="405">
        <v>1</v>
      </c>
      <c r="DL612" s="82">
        <v>468.28</v>
      </c>
      <c r="DM612" s="409">
        <v>2.3413999999999997</v>
      </c>
      <c r="DN612" s="82" t="s">
        <v>85</v>
      </c>
      <c r="DO612" s="82" t="s">
        <v>85</v>
      </c>
      <c r="DP612" s="410" t="s">
        <v>85</v>
      </c>
    </row>
    <row r="613" spans="1:120" x14ac:dyDescent="0.25">
      <c r="A613" s="16" t="s">
        <v>6225</v>
      </c>
      <c r="B613" s="16" t="s">
        <v>6226</v>
      </c>
      <c r="C613" s="16" t="s">
        <v>6227</v>
      </c>
      <c r="D613" s="16" t="s">
        <v>6110</v>
      </c>
      <c r="E613" s="16" t="s">
        <v>6228</v>
      </c>
      <c r="F613" s="16" t="s">
        <v>6229</v>
      </c>
      <c r="G613" s="16" t="s">
        <v>6230</v>
      </c>
      <c r="H613" s="16" t="s">
        <v>6231</v>
      </c>
      <c r="I613" s="16" t="s">
        <v>1465</v>
      </c>
      <c r="J613" s="16" t="s">
        <v>943</v>
      </c>
      <c r="K613" s="16" t="s">
        <v>1466</v>
      </c>
      <c r="L613" s="16" t="s">
        <v>85</v>
      </c>
      <c r="M613" s="16" t="s">
        <v>984</v>
      </c>
      <c r="N613" s="16" t="s">
        <v>914</v>
      </c>
      <c r="O613" s="16" t="s">
        <v>985</v>
      </c>
      <c r="P613" s="16" t="s">
        <v>914</v>
      </c>
      <c r="Q613" s="16" t="s">
        <v>985</v>
      </c>
      <c r="R613" s="16" t="s">
        <v>915</v>
      </c>
      <c r="S613" s="16" t="s">
        <v>915</v>
      </c>
      <c r="T613" s="16" t="s">
        <v>986</v>
      </c>
      <c r="U613" s="16" t="s">
        <v>987</v>
      </c>
      <c r="V613" s="16" t="s">
        <v>916</v>
      </c>
      <c r="W613" s="16" t="s">
        <v>987</v>
      </c>
      <c r="X613" s="16" t="s">
        <v>934</v>
      </c>
      <c r="Y613" s="16" t="s">
        <v>934</v>
      </c>
      <c r="Z613" s="16" t="s">
        <v>935</v>
      </c>
      <c r="DA613" s="405" t="s">
        <v>5</v>
      </c>
      <c r="DB613" s="405" t="s">
        <v>363</v>
      </c>
      <c r="DC613" s="406" t="s">
        <v>85</v>
      </c>
      <c r="DD613" s="405" t="s">
        <v>917</v>
      </c>
      <c r="DE613" s="405" t="s">
        <v>5</v>
      </c>
      <c r="DF613" s="406" t="s">
        <v>85</v>
      </c>
      <c r="DG613" s="407">
        <v>45851</v>
      </c>
      <c r="DH613" s="405" t="s">
        <v>6228</v>
      </c>
      <c r="DI613" s="406">
        <v>465455</v>
      </c>
      <c r="DJ613" s="408">
        <v>5</v>
      </c>
      <c r="DK613" s="405">
        <v>1</v>
      </c>
      <c r="DL613" s="82">
        <v>340.55</v>
      </c>
      <c r="DM613" s="409">
        <v>1.70275</v>
      </c>
      <c r="DN613" s="82" t="s">
        <v>85</v>
      </c>
      <c r="DO613" s="82" t="s">
        <v>85</v>
      </c>
      <c r="DP613" s="410" t="s">
        <v>85</v>
      </c>
    </row>
    <row r="614" spans="1:120" x14ac:dyDescent="0.25">
      <c r="A614" s="16" t="s">
        <v>6232</v>
      </c>
      <c r="B614" s="16" t="s">
        <v>6233</v>
      </c>
      <c r="C614" s="16" t="s">
        <v>6234</v>
      </c>
      <c r="D614" s="16" t="s">
        <v>6110</v>
      </c>
      <c r="E614" s="16" t="s">
        <v>6235</v>
      </c>
      <c r="F614" s="16" t="s">
        <v>6236</v>
      </c>
      <c r="G614" s="16" t="s">
        <v>6237</v>
      </c>
      <c r="H614" s="16" t="s">
        <v>6238</v>
      </c>
      <c r="I614" s="16" t="s">
        <v>2997</v>
      </c>
      <c r="J614" s="16" t="s">
        <v>943</v>
      </c>
      <c r="K614" s="16" t="s">
        <v>2998</v>
      </c>
      <c r="L614" s="16" t="s">
        <v>85</v>
      </c>
      <c r="M614" s="16" t="s">
        <v>984</v>
      </c>
      <c r="N614" s="16" t="s">
        <v>914</v>
      </c>
      <c r="O614" s="16" t="s">
        <v>985</v>
      </c>
      <c r="P614" s="16" t="s">
        <v>914</v>
      </c>
      <c r="Q614" s="16" t="s">
        <v>985</v>
      </c>
      <c r="R614" s="16" t="s">
        <v>915</v>
      </c>
      <c r="S614" s="16" t="s">
        <v>915</v>
      </c>
      <c r="T614" s="16" t="s">
        <v>986</v>
      </c>
      <c r="U614" s="16" t="s">
        <v>987</v>
      </c>
      <c r="V614" s="16" t="s">
        <v>916</v>
      </c>
      <c r="W614" s="16" t="s">
        <v>987</v>
      </c>
      <c r="X614" s="16" t="s">
        <v>934</v>
      </c>
      <c r="Y614" s="16" t="s">
        <v>934</v>
      </c>
      <c r="Z614" s="16" t="s">
        <v>935</v>
      </c>
      <c r="DA614" s="405" t="s">
        <v>5</v>
      </c>
      <c r="DB614" s="405" t="s">
        <v>363</v>
      </c>
      <c r="DC614" s="406" t="s">
        <v>85</v>
      </c>
      <c r="DD614" s="405" t="s">
        <v>917</v>
      </c>
      <c r="DE614" s="405" t="s">
        <v>5</v>
      </c>
      <c r="DF614" s="406" t="s">
        <v>85</v>
      </c>
      <c r="DG614" s="407">
        <v>45851</v>
      </c>
      <c r="DH614" s="405" t="s">
        <v>6235</v>
      </c>
      <c r="DI614" s="406">
        <v>465455</v>
      </c>
      <c r="DJ614" s="408">
        <v>5</v>
      </c>
      <c r="DK614" s="405">
        <v>1</v>
      </c>
      <c r="DL614" s="82">
        <v>340.55</v>
      </c>
      <c r="DM614" s="409">
        <v>1.70275</v>
      </c>
      <c r="DN614" s="82" t="s">
        <v>85</v>
      </c>
      <c r="DO614" s="82" t="s">
        <v>85</v>
      </c>
      <c r="DP614" s="410" t="s">
        <v>85</v>
      </c>
    </row>
    <row r="615" spans="1:120" x14ac:dyDescent="0.25">
      <c r="A615" s="16" t="s">
        <v>6239</v>
      </c>
      <c r="B615" s="16" t="s">
        <v>6240</v>
      </c>
      <c r="C615" s="16" t="s">
        <v>6241</v>
      </c>
      <c r="D615" s="16" t="s">
        <v>6110</v>
      </c>
      <c r="E615" s="16" t="s">
        <v>6242</v>
      </c>
      <c r="F615" s="16" t="s">
        <v>6243</v>
      </c>
      <c r="G615" s="16" t="s">
        <v>6244</v>
      </c>
      <c r="H615" s="16" t="s">
        <v>6245</v>
      </c>
      <c r="I615" s="16" t="s">
        <v>1765</v>
      </c>
      <c r="J615" s="16" t="s">
        <v>943</v>
      </c>
      <c r="K615" s="16" t="s">
        <v>1766</v>
      </c>
      <c r="L615" s="16" t="s">
        <v>85</v>
      </c>
      <c r="M615" s="16" t="s">
        <v>984</v>
      </c>
      <c r="N615" s="16" t="s">
        <v>914</v>
      </c>
      <c r="O615" s="16" t="s">
        <v>985</v>
      </c>
      <c r="P615" s="16" t="s">
        <v>914</v>
      </c>
      <c r="Q615" s="16" t="s">
        <v>985</v>
      </c>
      <c r="R615" s="16" t="s">
        <v>915</v>
      </c>
      <c r="S615" s="16" t="s">
        <v>915</v>
      </c>
      <c r="T615" s="16" t="s">
        <v>986</v>
      </c>
      <c r="U615" s="16" t="s">
        <v>987</v>
      </c>
      <c r="V615" s="16" t="s">
        <v>916</v>
      </c>
      <c r="W615" s="16" t="s">
        <v>987</v>
      </c>
      <c r="X615" s="16" t="s">
        <v>934</v>
      </c>
      <c r="Y615" s="16" t="s">
        <v>934</v>
      </c>
      <c r="Z615" s="16" t="s">
        <v>935</v>
      </c>
      <c r="DA615" s="405" t="s">
        <v>5</v>
      </c>
      <c r="DB615" s="405" t="s">
        <v>363</v>
      </c>
      <c r="DC615" s="406" t="s">
        <v>85</v>
      </c>
      <c r="DD615" s="405" t="s">
        <v>917</v>
      </c>
      <c r="DE615" s="405" t="s">
        <v>5</v>
      </c>
      <c r="DF615" s="406" t="s">
        <v>85</v>
      </c>
      <c r="DG615" s="407">
        <v>45851</v>
      </c>
      <c r="DH615" s="405" t="s">
        <v>6242</v>
      </c>
      <c r="DI615" s="406">
        <v>465455</v>
      </c>
      <c r="DJ615" s="408">
        <v>5</v>
      </c>
      <c r="DK615" s="405">
        <v>1</v>
      </c>
      <c r="DL615" s="82">
        <v>340.55</v>
      </c>
      <c r="DM615" s="409">
        <v>1.70275</v>
      </c>
      <c r="DN615" s="82" t="s">
        <v>85</v>
      </c>
      <c r="DO615" s="82" t="s">
        <v>85</v>
      </c>
      <c r="DP615" s="410" t="s">
        <v>85</v>
      </c>
    </row>
    <row r="616" spans="1:120" x14ac:dyDescent="0.25">
      <c r="A616" s="16" t="s">
        <v>6246</v>
      </c>
      <c r="B616" s="16" t="s">
        <v>6247</v>
      </c>
      <c r="C616" s="16" t="s">
        <v>6248</v>
      </c>
      <c r="D616" s="16" t="s">
        <v>6110</v>
      </c>
      <c r="E616" s="16" t="s">
        <v>6249</v>
      </c>
      <c r="F616" s="16" t="s">
        <v>6250</v>
      </c>
      <c r="G616" s="16" t="s">
        <v>6251</v>
      </c>
      <c r="H616" s="16" t="s">
        <v>6250</v>
      </c>
      <c r="I616" s="16" t="s">
        <v>2750</v>
      </c>
      <c r="J616" s="16" t="s">
        <v>995</v>
      </c>
      <c r="K616" s="16" t="s">
        <v>2751</v>
      </c>
      <c r="L616" s="16" t="s">
        <v>85</v>
      </c>
      <c r="M616" s="16" t="s">
        <v>1165</v>
      </c>
      <c r="N616" s="16" t="s">
        <v>914</v>
      </c>
      <c r="O616" s="16" t="s">
        <v>1166</v>
      </c>
      <c r="P616" s="16" t="s">
        <v>914</v>
      </c>
      <c r="Q616" s="16" t="s">
        <v>1166</v>
      </c>
      <c r="R616" s="16" t="s">
        <v>915</v>
      </c>
      <c r="S616" s="16" t="s">
        <v>915</v>
      </c>
      <c r="T616" s="16" t="s">
        <v>1167</v>
      </c>
      <c r="U616" s="16" t="s">
        <v>1168</v>
      </c>
      <c r="V616" s="16" t="s">
        <v>916</v>
      </c>
      <c r="W616" s="16" t="s">
        <v>1168</v>
      </c>
      <c r="X616" s="16" t="s">
        <v>934</v>
      </c>
      <c r="Y616" s="16" t="s">
        <v>934</v>
      </c>
      <c r="Z616" s="16" t="s">
        <v>935</v>
      </c>
      <c r="DA616" s="405" t="s">
        <v>5</v>
      </c>
      <c r="DB616" s="405" t="s">
        <v>363</v>
      </c>
      <c r="DC616" s="406" t="s">
        <v>85</v>
      </c>
      <c r="DD616" s="405" t="s">
        <v>917</v>
      </c>
      <c r="DE616" s="405" t="s">
        <v>5</v>
      </c>
      <c r="DF616" s="406" t="s">
        <v>85</v>
      </c>
      <c r="DG616" s="407">
        <v>45851</v>
      </c>
      <c r="DH616" s="405" t="s">
        <v>6249</v>
      </c>
      <c r="DI616" s="406">
        <v>465455</v>
      </c>
      <c r="DJ616" s="408">
        <v>5</v>
      </c>
      <c r="DK616" s="405">
        <v>1</v>
      </c>
      <c r="DL616" s="82">
        <v>468.28</v>
      </c>
      <c r="DM616" s="409">
        <v>2.3413999999999997</v>
      </c>
      <c r="DN616" s="82" t="s">
        <v>85</v>
      </c>
      <c r="DO616" s="82" t="s">
        <v>85</v>
      </c>
      <c r="DP616" s="410" t="s">
        <v>85</v>
      </c>
    </row>
    <row r="617" spans="1:120" x14ac:dyDescent="0.25">
      <c r="A617" s="16" t="s">
        <v>6252</v>
      </c>
      <c r="B617" s="16" t="s">
        <v>6253</v>
      </c>
      <c r="C617" s="16" t="s">
        <v>6254</v>
      </c>
      <c r="D617" s="16" t="s">
        <v>6110</v>
      </c>
      <c r="E617" s="16" t="s">
        <v>6255</v>
      </c>
      <c r="F617" s="16" t="s">
        <v>6256</v>
      </c>
      <c r="G617" s="16" t="s">
        <v>6257</v>
      </c>
      <c r="H617" s="16" t="s">
        <v>6256</v>
      </c>
      <c r="I617" s="16" t="s">
        <v>2750</v>
      </c>
      <c r="J617" s="16" t="s">
        <v>995</v>
      </c>
      <c r="K617" s="16" t="s">
        <v>2751</v>
      </c>
      <c r="L617" s="16" t="s">
        <v>85</v>
      </c>
      <c r="M617" s="16" t="s">
        <v>1165</v>
      </c>
      <c r="N617" s="16" t="s">
        <v>914</v>
      </c>
      <c r="O617" s="16" t="s">
        <v>1166</v>
      </c>
      <c r="P617" s="16" t="s">
        <v>914</v>
      </c>
      <c r="Q617" s="16" t="s">
        <v>1166</v>
      </c>
      <c r="R617" s="16" t="s">
        <v>915</v>
      </c>
      <c r="S617" s="16" t="s">
        <v>915</v>
      </c>
      <c r="T617" s="16" t="s">
        <v>1167</v>
      </c>
      <c r="U617" s="16" t="s">
        <v>1168</v>
      </c>
      <c r="V617" s="16" t="s">
        <v>916</v>
      </c>
      <c r="W617" s="16" t="s">
        <v>1168</v>
      </c>
      <c r="X617" s="16" t="s">
        <v>934</v>
      </c>
      <c r="Y617" s="16" t="s">
        <v>934</v>
      </c>
      <c r="Z617" s="16" t="s">
        <v>935</v>
      </c>
      <c r="DA617" s="405" t="s">
        <v>5</v>
      </c>
      <c r="DB617" s="405" t="s">
        <v>363</v>
      </c>
      <c r="DC617" s="406" t="s">
        <v>85</v>
      </c>
      <c r="DD617" s="405" t="s">
        <v>917</v>
      </c>
      <c r="DE617" s="405" t="s">
        <v>5</v>
      </c>
      <c r="DF617" s="406" t="s">
        <v>85</v>
      </c>
      <c r="DG617" s="407">
        <v>45851</v>
      </c>
      <c r="DH617" s="405" t="s">
        <v>6255</v>
      </c>
      <c r="DI617" s="406">
        <v>465455</v>
      </c>
      <c r="DJ617" s="408">
        <v>5</v>
      </c>
      <c r="DK617" s="405">
        <v>1</v>
      </c>
      <c r="DL617" s="82">
        <v>468.28</v>
      </c>
      <c r="DM617" s="409">
        <v>2.3413999999999997</v>
      </c>
      <c r="DN617" s="82" t="s">
        <v>85</v>
      </c>
      <c r="DO617" s="82" t="s">
        <v>85</v>
      </c>
      <c r="DP617" s="410" t="s">
        <v>85</v>
      </c>
    </row>
    <row r="618" spans="1:120" x14ac:dyDescent="0.25">
      <c r="A618" s="16" t="s">
        <v>6258</v>
      </c>
      <c r="B618" s="16" t="s">
        <v>6259</v>
      </c>
      <c r="C618" s="16" t="s">
        <v>6260</v>
      </c>
      <c r="D618" s="16" t="s">
        <v>6110</v>
      </c>
      <c r="E618" s="16" t="s">
        <v>6261</v>
      </c>
      <c r="F618" s="16" t="s">
        <v>6262</v>
      </c>
      <c r="G618" s="16" t="s">
        <v>6263</v>
      </c>
      <c r="H618" s="16" t="s">
        <v>6264</v>
      </c>
      <c r="I618" s="16" t="s">
        <v>976</v>
      </c>
      <c r="J618" s="16" t="s">
        <v>956</v>
      </c>
      <c r="K618" s="16" t="s">
        <v>977</v>
      </c>
      <c r="L618" s="16" t="s">
        <v>85</v>
      </c>
      <c r="M618" s="16" t="s">
        <v>1396</v>
      </c>
      <c r="N618" s="16" t="s">
        <v>914</v>
      </c>
      <c r="O618" s="16" t="s">
        <v>1397</v>
      </c>
      <c r="P618" s="16" t="s">
        <v>914</v>
      </c>
      <c r="Q618" s="16" t="s">
        <v>1397</v>
      </c>
      <c r="R618" s="16" t="s">
        <v>915</v>
      </c>
      <c r="S618" s="16" t="s">
        <v>915</v>
      </c>
      <c r="T618" s="16" t="s">
        <v>1396</v>
      </c>
      <c r="U618" s="16" t="s">
        <v>1398</v>
      </c>
      <c r="V618" s="16" t="s">
        <v>916</v>
      </c>
      <c r="W618" s="16" t="s">
        <v>1398</v>
      </c>
      <c r="X618" s="16" t="s">
        <v>934</v>
      </c>
      <c r="Y618" s="16" t="s">
        <v>934</v>
      </c>
      <c r="Z618" s="16" t="s">
        <v>935</v>
      </c>
      <c r="DA618" s="405" t="s">
        <v>5</v>
      </c>
      <c r="DB618" s="405" t="s">
        <v>363</v>
      </c>
      <c r="DC618" s="406" t="s">
        <v>85</v>
      </c>
      <c r="DD618" s="405" t="s">
        <v>917</v>
      </c>
      <c r="DE618" s="405" t="s">
        <v>5</v>
      </c>
      <c r="DF618" s="406" t="s">
        <v>85</v>
      </c>
      <c r="DG618" s="407">
        <v>45851</v>
      </c>
      <c r="DH618" s="405" t="s">
        <v>6261</v>
      </c>
      <c r="DI618" s="406">
        <v>465455</v>
      </c>
      <c r="DJ618" s="408">
        <v>5</v>
      </c>
      <c r="DK618" s="405">
        <v>1</v>
      </c>
      <c r="DL618" s="82">
        <v>265.92</v>
      </c>
      <c r="DM618" s="409">
        <v>1.3296000000000001</v>
      </c>
      <c r="DN618" s="82" t="s">
        <v>85</v>
      </c>
      <c r="DO618" s="82" t="s">
        <v>85</v>
      </c>
      <c r="DP618" s="410" t="s">
        <v>85</v>
      </c>
    </row>
    <row r="619" spans="1:120" x14ac:dyDescent="0.25">
      <c r="A619" s="16" t="s">
        <v>6265</v>
      </c>
      <c r="B619" s="16" t="s">
        <v>6266</v>
      </c>
      <c r="C619" s="16" t="s">
        <v>6267</v>
      </c>
      <c r="D619" s="16" t="s">
        <v>6110</v>
      </c>
      <c r="E619" s="16" t="s">
        <v>6268</v>
      </c>
      <c r="F619" s="16" t="s">
        <v>6269</v>
      </c>
      <c r="G619" s="16" t="s">
        <v>6270</v>
      </c>
      <c r="H619" s="16" t="s">
        <v>6269</v>
      </c>
      <c r="I619" s="16" t="s">
        <v>3476</v>
      </c>
      <c r="J619" s="16" t="s">
        <v>943</v>
      </c>
      <c r="K619" s="16" t="s">
        <v>3477</v>
      </c>
      <c r="L619" s="16" t="s">
        <v>85</v>
      </c>
      <c r="M619" s="16" t="s">
        <v>984</v>
      </c>
      <c r="N619" s="16" t="s">
        <v>914</v>
      </c>
      <c r="O619" s="16" t="s">
        <v>985</v>
      </c>
      <c r="P619" s="16" t="s">
        <v>914</v>
      </c>
      <c r="Q619" s="16" t="s">
        <v>985</v>
      </c>
      <c r="R619" s="16" t="s">
        <v>915</v>
      </c>
      <c r="S619" s="16" t="s">
        <v>915</v>
      </c>
      <c r="T619" s="16" t="s">
        <v>986</v>
      </c>
      <c r="U619" s="16" t="s">
        <v>987</v>
      </c>
      <c r="V619" s="16" t="s">
        <v>916</v>
      </c>
      <c r="W619" s="16" t="s">
        <v>987</v>
      </c>
      <c r="X619" s="16" t="s">
        <v>934</v>
      </c>
      <c r="Y619" s="16" t="s">
        <v>934</v>
      </c>
      <c r="Z619" s="16" t="s">
        <v>935</v>
      </c>
      <c r="DA619" s="405" t="s">
        <v>5</v>
      </c>
      <c r="DB619" s="405" t="s">
        <v>363</v>
      </c>
      <c r="DC619" s="406" t="s">
        <v>85</v>
      </c>
      <c r="DD619" s="405" t="s">
        <v>917</v>
      </c>
      <c r="DE619" s="405" t="s">
        <v>5</v>
      </c>
      <c r="DF619" s="406" t="s">
        <v>85</v>
      </c>
      <c r="DG619" s="407">
        <v>45851</v>
      </c>
      <c r="DH619" s="405" t="s">
        <v>6268</v>
      </c>
      <c r="DI619" s="406">
        <v>465455</v>
      </c>
      <c r="DJ619" s="408">
        <v>5</v>
      </c>
      <c r="DK619" s="405">
        <v>1</v>
      </c>
      <c r="DL619" s="82">
        <v>340.55</v>
      </c>
      <c r="DM619" s="409">
        <v>1.70275</v>
      </c>
      <c r="DN619" s="82" t="s">
        <v>85</v>
      </c>
      <c r="DO619" s="82" t="s">
        <v>85</v>
      </c>
      <c r="DP619" s="410" t="s">
        <v>85</v>
      </c>
    </row>
    <row r="620" spans="1:120" x14ac:dyDescent="0.25">
      <c r="A620" s="16" t="s">
        <v>6271</v>
      </c>
      <c r="B620" s="16" t="s">
        <v>6272</v>
      </c>
      <c r="C620" s="16" t="s">
        <v>6273</v>
      </c>
      <c r="D620" s="16" t="s">
        <v>6110</v>
      </c>
      <c r="E620" s="16" t="s">
        <v>6274</v>
      </c>
      <c r="F620" s="16" t="s">
        <v>6275</v>
      </c>
      <c r="G620" s="16" t="s">
        <v>6276</v>
      </c>
      <c r="H620" s="16" t="s">
        <v>6277</v>
      </c>
      <c r="I620" s="16" t="s">
        <v>1620</v>
      </c>
      <c r="J620" s="16" t="s">
        <v>943</v>
      </c>
      <c r="K620" s="16" t="s">
        <v>1621</v>
      </c>
      <c r="L620" s="16" t="s">
        <v>85</v>
      </c>
      <c r="M620" s="16" t="s">
        <v>984</v>
      </c>
      <c r="N620" s="16" t="s">
        <v>914</v>
      </c>
      <c r="O620" s="16" t="s">
        <v>985</v>
      </c>
      <c r="P620" s="16" t="s">
        <v>914</v>
      </c>
      <c r="Q620" s="16" t="s">
        <v>985</v>
      </c>
      <c r="R620" s="16" t="s">
        <v>915</v>
      </c>
      <c r="S620" s="16" t="s">
        <v>915</v>
      </c>
      <c r="T620" s="16" t="s">
        <v>986</v>
      </c>
      <c r="U620" s="16" t="s">
        <v>987</v>
      </c>
      <c r="V620" s="16" t="s">
        <v>916</v>
      </c>
      <c r="W620" s="16" t="s">
        <v>987</v>
      </c>
      <c r="X620" s="16" t="s">
        <v>934</v>
      </c>
      <c r="Y620" s="16" t="s">
        <v>934</v>
      </c>
      <c r="Z620" s="16" t="s">
        <v>935</v>
      </c>
      <c r="DA620" s="405" t="s">
        <v>5</v>
      </c>
      <c r="DB620" s="405" t="s">
        <v>363</v>
      </c>
      <c r="DC620" s="406" t="s">
        <v>85</v>
      </c>
      <c r="DD620" s="405" t="s">
        <v>917</v>
      </c>
      <c r="DE620" s="405" t="s">
        <v>5</v>
      </c>
      <c r="DF620" s="406" t="s">
        <v>85</v>
      </c>
      <c r="DG620" s="407">
        <v>45851</v>
      </c>
      <c r="DH620" s="405" t="s">
        <v>6274</v>
      </c>
      <c r="DI620" s="406">
        <v>465455</v>
      </c>
      <c r="DJ620" s="408">
        <v>5</v>
      </c>
      <c r="DK620" s="405">
        <v>1</v>
      </c>
      <c r="DL620" s="82">
        <v>340.55</v>
      </c>
      <c r="DM620" s="409">
        <v>1.70275</v>
      </c>
      <c r="DN620" s="82" t="s">
        <v>85</v>
      </c>
      <c r="DO620" s="82" t="s">
        <v>85</v>
      </c>
      <c r="DP620" s="410" t="s">
        <v>85</v>
      </c>
    </row>
    <row r="621" spans="1:120" x14ac:dyDescent="0.25">
      <c r="A621" s="16" t="s">
        <v>6278</v>
      </c>
      <c r="B621" s="16" t="s">
        <v>6279</v>
      </c>
      <c r="C621" s="16" t="s">
        <v>6280</v>
      </c>
      <c r="D621" s="16" t="s">
        <v>6110</v>
      </c>
      <c r="E621" s="16" t="s">
        <v>6281</v>
      </c>
      <c r="F621" s="16" t="s">
        <v>6282</v>
      </c>
      <c r="G621" s="16" t="s">
        <v>6283</v>
      </c>
      <c r="H621" s="16" t="s">
        <v>6282</v>
      </c>
      <c r="I621" s="16" t="s">
        <v>1368</v>
      </c>
      <c r="J621" s="16" t="s">
        <v>1123</v>
      </c>
      <c r="K621" s="16" t="s">
        <v>1369</v>
      </c>
      <c r="L621" s="16" t="s">
        <v>85</v>
      </c>
      <c r="M621" s="16" t="s">
        <v>1238</v>
      </c>
      <c r="N621" s="16" t="s">
        <v>914</v>
      </c>
      <c r="O621" s="16" t="s">
        <v>1239</v>
      </c>
      <c r="P621" s="16" t="s">
        <v>914</v>
      </c>
      <c r="Q621" s="16" t="s">
        <v>1239</v>
      </c>
      <c r="R621" s="16" t="s">
        <v>915</v>
      </c>
      <c r="S621" s="16" t="s">
        <v>915</v>
      </c>
      <c r="T621" s="16" t="s">
        <v>1238</v>
      </c>
      <c r="U621" s="16" t="s">
        <v>1240</v>
      </c>
      <c r="V621" s="16" t="s">
        <v>916</v>
      </c>
      <c r="W621" s="16" t="s">
        <v>1240</v>
      </c>
      <c r="X621" s="16" t="s">
        <v>934</v>
      </c>
      <c r="Y621" s="16" t="s">
        <v>934</v>
      </c>
      <c r="Z621" s="16" t="s">
        <v>935</v>
      </c>
      <c r="DA621" s="405" t="s">
        <v>5</v>
      </c>
      <c r="DB621" s="405" t="s">
        <v>363</v>
      </c>
      <c r="DC621" s="406" t="s">
        <v>85</v>
      </c>
      <c r="DD621" s="405" t="s">
        <v>917</v>
      </c>
      <c r="DE621" s="405" t="s">
        <v>5</v>
      </c>
      <c r="DF621" s="406" t="s">
        <v>85</v>
      </c>
      <c r="DG621" s="407">
        <v>45851</v>
      </c>
      <c r="DH621" s="405" t="s">
        <v>6281</v>
      </c>
      <c r="DI621" s="406">
        <v>465455</v>
      </c>
      <c r="DJ621" s="408">
        <v>5</v>
      </c>
      <c r="DK621" s="405">
        <v>1</v>
      </c>
      <c r="DL621" s="82">
        <v>383.16</v>
      </c>
      <c r="DM621" s="409">
        <v>1.9158000000000002</v>
      </c>
      <c r="DN621" s="82" t="s">
        <v>85</v>
      </c>
      <c r="DO621" s="82" t="s">
        <v>85</v>
      </c>
      <c r="DP621" s="410" t="s">
        <v>85</v>
      </c>
    </row>
    <row r="622" spans="1:120" x14ac:dyDescent="0.25">
      <c r="A622" s="16" t="s">
        <v>6284</v>
      </c>
      <c r="B622" s="16" t="s">
        <v>6285</v>
      </c>
      <c r="C622" s="16" t="s">
        <v>6286</v>
      </c>
      <c r="D622" s="16" t="s">
        <v>6110</v>
      </c>
      <c r="E622" s="16" t="s">
        <v>6287</v>
      </c>
      <c r="F622" s="16" t="s">
        <v>6288</v>
      </c>
      <c r="G622" s="16" t="s">
        <v>6289</v>
      </c>
      <c r="H622" s="16" t="s">
        <v>6288</v>
      </c>
      <c r="I622" s="16" t="s">
        <v>1929</v>
      </c>
      <c r="J622" s="16" t="s">
        <v>995</v>
      </c>
      <c r="K622" s="16" t="s">
        <v>1930</v>
      </c>
      <c r="L622" s="16" t="s">
        <v>85</v>
      </c>
      <c r="M622" s="16" t="s">
        <v>1165</v>
      </c>
      <c r="N622" s="16" t="s">
        <v>914</v>
      </c>
      <c r="O622" s="16" t="s">
        <v>1166</v>
      </c>
      <c r="P622" s="16" t="s">
        <v>914</v>
      </c>
      <c r="Q622" s="16" t="s">
        <v>1166</v>
      </c>
      <c r="R622" s="16" t="s">
        <v>915</v>
      </c>
      <c r="S622" s="16" t="s">
        <v>915</v>
      </c>
      <c r="T622" s="16" t="s">
        <v>1167</v>
      </c>
      <c r="U622" s="16" t="s">
        <v>1168</v>
      </c>
      <c r="V622" s="16" t="s">
        <v>916</v>
      </c>
      <c r="W622" s="16" t="s">
        <v>1168</v>
      </c>
      <c r="X622" s="16" t="s">
        <v>934</v>
      </c>
      <c r="Y622" s="16" t="s">
        <v>934</v>
      </c>
      <c r="Z622" s="16" t="s">
        <v>935</v>
      </c>
      <c r="DA622" s="405" t="s">
        <v>5</v>
      </c>
      <c r="DB622" s="405" t="s">
        <v>363</v>
      </c>
      <c r="DC622" s="406" t="s">
        <v>85</v>
      </c>
      <c r="DD622" s="405" t="s">
        <v>917</v>
      </c>
      <c r="DE622" s="405" t="s">
        <v>5</v>
      </c>
      <c r="DF622" s="406" t="s">
        <v>85</v>
      </c>
      <c r="DG622" s="407">
        <v>45851</v>
      </c>
      <c r="DH622" s="405" t="s">
        <v>6287</v>
      </c>
      <c r="DI622" s="406">
        <v>465455</v>
      </c>
      <c r="DJ622" s="408">
        <v>5</v>
      </c>
      <c r="DK622" s="405">
        <v>1</v>
      </c>
      <c r="DL622" s="82">
        <v>468.28</v>
      </c>
      <c r="DM622" s="409">
        <v>2.3413999999999997</v>
      </c>
      <c r="DN622" s="82" t="s">
        <v>85</v>
      </c>
      <c r="DO622" s="82" t="s">
        <v>85</v>
      </c>
      <c r="DP622" s="410" t="s">
        <v>85</v>
      </c>
    </row>
    <row r="623" spans="1:120" x14ac:dyDescent="0.25">
      <c r="A623" s="16" t="s">
        <v>6290</v>
      </c>
      <c r="B623" s="16" t="s">
        <v>6291</v>
      </c>
      <c r="C623" s="16" t="s">
        <v>6292</v>
      </c>
      <c r="D623" s="16" t="s">
        <v>6110</v>
      </c>
      <c r="E623" s="16" t="s">
        <v>6293</v>
      </c>
      <c r="F623" s="16" t="s">
        <v>6294</v>
      </c>
      <c r="G623" s="16" t="s">
        <v>6295</v>
      </c>
      <c r="H623" s="16" t="s">
        <v>6294</v>
      </c>
      <c r="I623" s="16" t="s">
        <v>1456</v>
      </c>
      <c r="J623" s="16" t="s">
        <v>928</v>
      </c>
      <c r="K623" s="16" t="s">
        <v>1457</v>
      </c>
      <c r="L623" s="16" t="s">
        <v>85</v>
      </c>
      <c r="M623" s="16" t="s">
        <v>1322</v>
      </c>
      <c r="N623" s="16" t="s">
        <v>914</v>
      </c>
      <c r="O623" s="16" t="s">
        <v>1323</v>
      </c>
      <c r="P623" s="16" t="s">
        <v>914</v>
      </c>
      <c r="Q623" s="16" t="s">
        <v>1323</v>
      </c>
      <c r="R623" s="16" t="s">
        <v>915</v>
      </c>
      <c r="S623" s="16" t="s">
        <v>915</v>
      </c>
      <c r="T623" s="16" t="s">
        <v>1322</v>
      </c>
      <c r="U623" s="16" t="s">
        <v>1324</v>
      </c>
      <c r="V623" s="16" t="s">
        <v>916</v>
      </c>
      <c r="W623" s="16" t="s">
        <v>1324</v>
      </c>
      <c r="X623" s="16" t="s">
        <v>934</v>
      </c>
      <c r="Y623" s="16" t="s">
        <v>934</v>
      </c>
      <c r="Z623" s="16" t="s">
        <v>935</v>
      </c>
      <c r="DA623" s="405" t="s">
        <v>5</v>
      </c>
      <c r="DB623" s="405" t="s">
        <v>363</v>
      </c>
      <c r="DC623" s="406" t="s">
        <v>85</v>
      </c>
      <c r="DD623" s="405" t="s">
        <v>917</v>
      </c>
      <c r="DE623" s="405" t="s">
        <v>5</v>
      </c>
      <c r="DF623" s="406" t="s">
        <v>85</v>
      </c>
      <c r="DG623" s="407">
        <v>45851</v>
      </c>
      <c r="DH623" s="405" t="s">
        <v>6293</v>
      </c>
      <c r="DI623" s="406">
        <v>465455</v>
      </c>
      <c r="DJ623" s="408">
        <v>5</v>
      </c>
      <c r="DK623" s="405">
        <v>1</v>
      </c>
      <c r="DL623" s="82">
        <v>332.47</v>
      </c>
      <c r="DM623" s="409">
        <v>1.6623500000000002</v>
      </c>
      <c r="DN623" s="82" t="s">
        <v>85</v>
      </c>
      <c r="DO623" s="82" t="s">
        <v>85</v>
      </c>
      <c r="DP623" s="410" t="s">
        <v>85</v>
      </c>
    </row>
    <row r="624" spans="1:120" x14ac:dyDescent="0.25">
      <c r="A624" s="16" t="s">
        <v>6296</v>
      </c>
      <c r="B624" s="16" t="s">
        <v>6297</v>
      </c>
      <c r="C624" s="16" t="s">
        <v>6298</v>
      </c>
      <c r="D624" s="16" t="s">
        <v>6110</v>
      </c>
      <c r="E624" s="16" t="s">
        <v>6299</v>
      </c>
      <c r="F624" s="16" t="s">
        <v>6300</v>
      </c>
      <c r="G624" s="16" t="s">
        <v>6301</v>
      </c>
      <c r="H624" s="16" t="s">
        <v>6302</v>
      </c>
      <c r="I624" s="16" t="s">
        <v>1728</v>
      </c>
      <c r="J624" s="16" t="s">
        <v>943</v>
      </c>
      <c r="K624" s="16" t="s">
        <v>1729</v>
      </c>
      <c r="L624" s="16" t="s">
        <v>85</v>
      </c>
      <c r="M624" s="16" t="s">
        <v>984</v>
      </c>
      <c r="N624" s="16" t="s">
        <v>914</v>
      </c>
      <c r="O624" s="16" t="s">
        <v>985</v>
      </c>
      <c r="P624" s="16" t="s">
        <v>914</v>
      </c>
      <c r="Q624" s="16" t="s">
        <v>985</v>
      </c>
      <c r="R624" s="16" t="s">
        <v>915</v>
      </c>
      <c r="S624" s="16" t="s">
        <v>915</v>
      </c>
      <c r="T624" s="16" t="s">
        <v>986</v>
      </c>
      <c r="U624" s="16" t="s">
        <v>987</v>
      </c>
      <c r="V624" s="16" t="s">
        <v>916</v>
      </c>
      <c r="W624" s="16" t="s">
        <v>987</v>
      </c>
      <c r="X624" s="16" t="s">
        <v>934</v>
      </c>
      <c r="Y624" s="16" t="s">
        <v>934</v>
      </c>
      <c r="Z624" s="16" t="s">
        <v>935</v>
      </c>
      <c r="DA624" s="405" t="s">
        <v>5</v>
      </c>
      <c r="DB624" s="405" t="s">
        <v>363</v>
      </c>
      <c r="DC624" s="406" t="s">
        <v>85</v>
      </c>
      <c r="DD624" s="405" t="s">
        <v>917</v>
      </c>
      <c r="DE624" s="405" t="s">
        <v>5</v>
      </c>
      <c r="DF624" s="406" t="s">
        <v>85</v>
      </c>
      <c r="DG624" s="407">
        <v>45851</v>
      </c>
      <c r="DH624" s="405" t="s">
        <v>6299</v>
      </c>
      <c r="DI624" s="406">
        <v>465455</v>
      </c>
      <c r="DJ624" s="408">
        <v>5</v>
      </c>
      <c r="DK624" s="405">
        <v>1</v>
      </c>
      <c r="DL624" s="82">
        <v>340.55</v>
      </c>
      <c r="DM624" s="409">
        <v>1.70275</v>
      </c>
      <c r="DN624" s="82" t="s">
        <v>85</v>
      </c>
      <c r="DO624" s="82" t="s">
        <v>85</v>
      </c>
      <c r="DP624" s="410" t="s">
        <v>85</v>
      </c>
    </row>
    <row r="625" spans="1:120" x14ac:dyDescent="0.25">
      <c r="A625" s="16" t="s">
        <v>6303</v>
      </c>
      <c r="B625" s="16" t="s">
        <v>6304</v>
      </c>
      <c r="C625" s="16" t="s">
        <v>6305</v>
      </c>
      <c r="D625" s="16" t="s">
        <v>6110</v>
      </c>
      <c r="E625" s="16" t="s">
        <v>6306</v>
      </c>
      <c r="F625" s="16" t="s">
        <v>6307</v>
      </c>
      <c r="G625" s="16" t="s">
        <v>6308</v>
      </c>
      <c r="H625" s="16" t="s">
        <v>6307</v>
      </c>
      <c r="I625" s="16" t="s">
        <v>968</v>
      </c>
      <c r="J625" s="16" t="s">
        <v>943</v>
      </c>
      <c r="K625" s="16" t="s">
        <v>969</v>
      </c>
      <c r="L625" s="16" t="s">
        <v>85</v>
      </c>
      <c r="M625" s="16" t="s">
        <v>984</v>
      </c>
      <c r="N625" s="16" t="s">
        <v>914</v>
      </c>
      <c r="O625" s="16" t="s">
        <v>985</v>
      </c>
      <c r="P625" s="16" t="s">
        <v>914</v>
      </c>
      <c r="Q625" s="16" t="s">
        <v>985</v>
      </c>
      <c r="R625" s="16" t="s">
        <v>915</v>
      </c>
      <c r="S625" s="16" t="s">
        <v>915</v>
      </c>
      <c r="T625" s="16" t="s">
        <v>986</v>
      </c>
      <c r="U625" s="16" t="s">
        <v>987</v>
      </c>
      <c r="V625" s="16" t="s">
        <v>916</v>
      </c>
      <c r="W625" s="16" t="s">
        <v>987</v>
      </c>
      <c r="X625" s="16" t="s">
        <v>934</v>
      </c>
      <c r="Y625" s="16" t="s">
        <v>934</v>
      </c>
      <c r="Z625" s="16" t="s">
        <v>935</v>
      </c>
      <c r="DA625" s="405" t="s">
        <v>5</v>
      </c>
      <c r="DB625" s="405" t="s">
        <v>363</v>
      </c>
      <c r="DC625" s="406" t="s">
        <v>85</v>
      </c>
      <c r="DD625" s="405" t="s">
        <v>917</v>
      </c>
      <c r="DE625" s="405" t="s">
        <v>5</v>
      </c>
      <c r="DF625" s="406" t="s">
        <v>85</v>
      </c>
      <c r="DG625" s="407">
        <v>45851</v>
      </c>
      <c r="DH625" s="405" t="s">
        <v>6306</v>
      </c>
      <c r="DI625" s="406">
        <v>465455</v>
      </c>
      <c r="DJ625" s="408">
        <v>5</v>
      </c>
      <c r="DK625" s="405">
        <v>1</v>
      </c>
      <c r="DL625" s="82">
        <v>340.55</v>
      </c>
      <c r="DM625" s="409">
        <v>1.70275</v>
      </c>
      <c r="DN625" s="82" t="s">
        <v>85</v>
      </c>
      <c r="DO625" s="82" t="s">
        <v>85</v>
      </c>
      <c r="DP625" s="410" t="s">
        <v>85</v>
      </c>
    </row>
    <row r="626" spans="1:120" x14ac:dyDescent="0.25">
      <c r="A626" s="16" t="s">
        <v>6309</v>
      </c>
      <c r="B626" s="16" t="s">
        <v>6310</v>
      </c>
      <c r="C626" s="16" t="s">
        <v>6311</v>
      </c>
      <c r="D626" s="16" t="s">
        <v>6110</v>
      </c>
      <c r="E626" s="16" t="s">
        <v>6312</v>
      </c>
      <c r="F626" s="16" t="s">
        <v>6313</v>
      </c>
      <c r="G626" s="16" t="s">
        <v>6314</v>
      </c>
      <c r="H626" s="16" t="s">
        <v>6315</v>
      </c>
      <c r="I626" s="16" t="s">
        <v>1598</v>
      </c>
      <c r="J626" s="16" t="s">
        <v>995</v>
      </c>
      <c r="K626" s="16" t="s">
        <v>1599</v>
      </c>
      <c r="L626" s="16" t="s">
        <v>85</v>
      </c>
      <c r="M626" s="16" t="s">
        <v>1165</v>
      </c>
      <c r="N626" s="16" t="s">
        <v>914</v>
      </c>
      <c r="O626" s="16" t="s">
        <v>1166</v>
      </c>
      <c r="P626" s="16" t="s">
        <v>914</v>
      </c>
      <c r="Q626" s="16" t="s">
        <v>1166</v>
      </c>
      <c r="R626" s="16" t="s">
        <v>915</v>
      </c>
      <c r="S626" s="16" t="s">
        <v>915</v>
      </c>
      <c r="T626" s="16" t="s">
        <v>1167</v>
      </c>
      <c r="U626" s="16" t="s">
        <v>1168</v>
      </c>
      <c r="V626" s="16" t="s">
        <v>916</v>
      </c>
      <c r="W626" s="16" t="s">
        <v>1168</v>
      </c>
      <c r="X626" s="16" t="s">
        <v>934</v>
      </c>
      <c r="Y626" s="16" t="s">
        <v>934</v>
      </c>
      <c r="Z626" s="16" t="s">
        <v>935</v>
      </c>
      <c r="DA626" s="405" t="s">
        <v>5</v>
      </c>
      <c r="DB626" s="405" t="s">
        <v>363</v>
      </c>
      <c r="DC626" s="406" t="s">
        <v>85</v>
      </c>
      <c r="DD626" s="405" t="s">
        <v>917</v>
      </c>
      <c r="DE626" s="405" t="s">
        <v>5</v>
      </c>
      <c r="DF626" s="406" t="s">
        <v>85</v>
      </c>
      <c r="DG626" s="407">
        <v>45851</v>
      </c>
      <c r="DH626" s="405" t="s">
        <v>6312</v>
      </c>
      <c r="DI626" s="406">
        <v>465455</v>
      </c>
      <c r="DJ626" s="408">
        <v>5</v>
      </c>
      <c r="DK626" s="405">
        <v>1</v>
      </c>
      <c r="DL626" s="82">
        <v>468.28</v>
      </c>
      <c r="DM626" s="409">
        <v>2.3413999999999997</v>
      </c>
      <c r="DN626" s="82" t="s">
        <v>85</v>
      </c>
      <c r="DO626" s="82" t="s">
        <v>85</v>
      </c>
      <c r="DP626" s="410" t="s">
        <v>85</v>
      </c>
    </row>
    <row r="627" spans="1:120" x14ac:dyDescent="0.25">
      <c r="A627" s="16" t="s">
        <v>6316</v>
      </c>
      <c r="B627" s="16" t="s">
        <v>6317</v>
      </c>
      <c r="C627" s="16" t="s">
        <v>6318</v>
      </c>
      <c r="D627" s="16" t="s">
        <v>6110</v>
      </c>
      <c r="E627" s="16" t="s">
        <v>6319</v>
      </c>
      <c r="F627" s="16" t="s">
        <v>6320</v>
      </c>
      <c r="G627" s="16" t="s">
        <v>6321</v>
      </c>
      <c r="H627" s="16" t="s">
        <v>6320</v>
      </c>
      <c r="I627" s="16" t="s">
        <v>6322</v>
      </c>
      <c r="J627" s="16" t="s">
        <v>1847</v>
      </c>
      <c r="K627" s="16" t="s">
        <v>6323</v>
      </c>
      <c r="L627" s="16" t="s">
        <v>85</v>
      </c>
      <c r="M627" s="16" t="s">
        <v>1849</v>
      </c>
      <c r="N627" s="16" t="s">
        <v>914</v>
      </c>
      <c r="O627" s="16" t="s">
        <v>1850</v>
      </c>
      <c r="P627" s="16" t="s">
        <v>914</v>
      </c>
      <c r="Q627" s="16" t="s">
        <v>1850</v>
      </c>
      <c r="R627" s="16" t="s">
        <v>915</v>
      </c>
      <c r="S627" s="16" t="s">
        <v>915</v>
      </c>
      <c r="T627" s="16" t="s">
        <v>1851</v>
      </c>
      <c r="U627" s="16" t="s">
        <v>1852</v>
      </c>
      <c r="V627" s="16" t="s">
        <v>916</v>
      </c>
      <c r="W627" s="16" t="s">
        <v>1852</v>
      </c>
      <c r="X627" s="16" t="s">
        <v>934</v>
      </c>
      <c r="Y627" s="16" t="s">
        <v>934</v>
      </c>
      <c r="Z627" s="16" t="s">
        <v>935</v>
      </c>
      <c r="DA627" s="405" t="s">
        <v>5</v>
      </c>
      <c r="DB627" s="405" t="s">
        <v>363</v>
      </c>
      <c r="DC627" s="406" t="s">
        <v>85</v>
      </c>
      <c r="DD627" s="405" t="s">
        <v>917</v>
      </c>
      <c r="DE627" s="405" t="s">
        <v>5</v>
      </c>
      <c r="DF627" s="406" t="s">
        <v>85</v>
      </c>
      <c r="DG627" s="407">
        <v>45851</v>
      </c>
      <c r="DH627" s="405" t="s">
        <v>6319</v>
      </c>
      <c r="DI627" s="406">
        <v>465455</v>
      </c>
      <c r="DJ627" s="408">
        <v>5</v>
      </c>
      <c r="DK627" s="405">
        <v>1</v>
      </c>
      <c r="DL627" s="82">
        <v>447.02</v>
      </c>
      <c r="DM627" s="409">
        <v>2.2351000000000001</v>
      </c>
      <c r="DN627" s="82" t="s">
        <v>85</v>
      </c>
      <c r="DO627" s="82" t="s">
        <v>85</v>
      </c>
      <c r="DP627" s="410" t="s">
        <v>85</v>
      </c>
    </row>
    <row r="628" spans="1:120" x14ac:dyDescent="0.25">
      <c r="A628" s="16" t="s">
        <v>6324</v>
      </c>
      <c r="B628" s="16" t="s">
        <v>6325</v>
      </c>
      <c r="C628" s="16" t="s">
        <v>6326</v>
      </c>
      <c r="D628" s="16" t="s">
        <v>6110</v>
      </c>
      <c r="E628" s="16" t="s">
        <v>6327</v>
      </c>
      <c r="F628" s="16" t="s">
        <v>6328</v>
      </c>
      <c r="G628" s="16" t="s">
        <v>6329</v>
      </c>
      <c r="H628" s="16" t="s">
        <v>6328</v>
      </c>
      <c r="I628" s="16" t="s">
        <v>1214</v>
      </c>
      <c r="J628" s="16" t="s">
        <v>1036</v>
      </c>
      <c r="K628" s="16" t="s">
        <v>1215</v>
      </c>
      <c r="L628" s="16" t="s">
        <v>85</v>
      </c>
      <c r="M628" s="16" t="s">
        <v>1216</v>
      </c>
      <c r="N628" s="16" t="s">
        <v>914</v>
      </c>
      <c r="O628" s="16" t="s">
        <v>946</v>
      </c>
      <c r="P628" s="16" t="s">
        <v>914</v>
      </c>
      <c r="Q628" s="16" t="s">
        <v>946</v>
      </c>
      <c r="R628" s="16" t="s">
        <v>915</v>
      </c>
      <c r="S628" s="16" t="s">
        <v>915</v>
      </c>
      <c r="T628" s="16" t="s">
        <v>1216</v>
      </c>
      <c r="U628" s="16" t="s">
        <v>1217</v>
      </c>
      <c r="V628" s="16" t="s">
        <v>916</v>
      </c>
      <c r="W628" s="16" t="s">
        <v>1217</v>
      </c>
      <c r="X628" s="16" t="s">
        <v>934</v>
      </c>
      <c r="Y628" s="16" t="s">
        <v>934</v>
      </c>
      <c r="Z628" s="16" t="s">
        <v>935</v>
      </c>
      <c r="DA628" s="405" t="s">
        <v>5</v>
      </c>
      <c r="DB628" s="405" t="s">
        <v>363</v>
      </c>
      <c r="DC628" s="406" t="s">
        <v>85</v>
      </c>
      <c r="DD628" s="405" t="s">
        <v>917</v>
      </c>
      <c r="DE628" s="405" t="s">
        <v>5</v>
      </c>
      <c r="DF628" s="406" t="s">
        <v>85</v>
      </c>
      <c r="DG628" s="407">
        <v>45851</v>
      </c>
      <c r="DH628" s="405" t="s">
        <v>6327</v>
      </c>
      <c r="DI628" s="406">
        <v>465455</v>
      </c>
      <c r="DJ628" s="408">
        <v>5</v>
      </c>
      <c r="DK628" s="405">
        <v>1</v>
      </c>
      <c r="DL628" s="82">
        <v>319.22000000000003</v>
      </c>
      <c r="DM628" s="409">
        <v>1.5961000000000001</v>
      </c>
      <c r="DN628" s="82" t="s">
        <v>85</v>
      </c>
      <c r="DO628" s="82" t="s">
        <v>85</v>
      </c>
      <c r="DP628" s="410" t="s">
        <v>85</v>
      </c>
    </row>
    <row r="629" spans="1:120" x14ac:dyDescent="0.25">
      <c r="A629" s="16" t="s">
        <v>6330</v>
      </c>
      <c r="B629" s="16" t="s">
        <v>6331</v>
      </c>
      <c r="C629" s="16" t="s">
        <v>6332</v>
      </c>
      <c r="D629" s="16" t="s">
        <v>6110</v>
      </c>
      <c r="E629" s="16" t="s">
        <v>6333</v>
      </c>
      <c r="F629" s="16" t="s">
        <v>6334</v>
      </c>
      <c r="G629" s="16" t="s">
        <v>6335</v>
      </c>
      <c r="H629" s="16" t="s">
        <v>6336</v>
      </c>
      <c r="I629" s="16" t="s">
        <v>1929</v>
      </c>
      <c r="J629" s="16" t="s">
        <v>995</v>
      </c>
      <c r="K629" s="16" t="s">
        <v>1930</v>
      </c>
      <c r="L629" s="16" t="s">
        <v>85</v>
      </c>
      <c r="M629" s="16" t="s">
        <v>1165</v>
      </c>
      <c r="N629" s="16" t="s">
        <v>914</v>
      </c>
      <c r="O629" s="16" t="s">
        <v>1166</v>
      </c>
      <c r="P629" s="16" t="s">
        <v>914</v>
      </c>
      <c r="Q629" s="16" t="s">
        <v>1166</v>
      </c>
      <c r="R629" s="16" t="s">
        <v>915</v>
      </c>
      <c r="S629" s="16" t="s">
        <v>915</v>
      </c>
      <c r="T629" s="16" t="s">
        <v>1167</v>
      </c>
      <c r="U629" s="16" t="s">
        <v>1168</v>
      </c>
      <c r="V629" s="16" t="s">
        <v>916</v>
      </c>
      <c r="W629" s="16" t="s">
        <v>1168</v>
      </c>
      <c r="X629" s="16" t="s">
        <v>934</v>
      </c>
      <c r="Y629" s="16" t="s">
        <v>934</v>
      </c>
      <c r="Z629" s="16" t="s">
        <v>935</v>
      </c>
      <c r="DA629" s="405" t="s">
        <v>5</v>
      </c>
      <c r="DB629" s="405" t="s">
        <v>363</v>
      </c>
      <c r="DC629" s="406" t="s">
        <v>85</v>
      </c>
      <c r="DD629" s="405" t="s">
        <v>917</v>
      </c>
      <c r="DE629" s="405" t="s">
        <v>5</v>
      </c>
      <c r="DF629" s="406" t="s">
        <v>85</v>
      </c>
      <c r="DG629" s="407">
        <v>45851</v>
      </c>
      <c r="DH629" s="405" t="s">
        <v>6333</v>
      </c>
      <c r="DI629" s="406">
        <v>465455</v>
      </c>
      <c r="DJ629" s="408">
        <v>5</v>
      </c>
      <c r="DK629" s="405">
        <v>1</v>
      </c>
      <c r="DL629" s="82">
        <v>468.28</v>
      </c>
      <c r="DM629" s="409">
        <v>2.3413999999999997</v>
      </c>
      <c r="DN629" s="82" t="s">
        <v>85</v>
      </c>
      <c r="DO629" s="82" t="s">
        <v>85</v>
      </c>
      <c r="DP629" s="410" t="s">
        <v>85</v>
      </c>
    </row>
    <row r="630" spans="1:120" x14ac:dyDescent="0.25">
      <c r="A630" s="16" t="s">
        <v>6337</v>
      </c>
      <c r="B630" s="16" t="s">
        <v>6338</v>
      </c>
      <c r="C630" s="16" t="s">
        <v>6339</v>
      </c>
      <c r="D630" s="16" t="s">
        <v>6340</v>
      </c>
      <c r="E630" s="16" t="s">
        <v>6341</v>
      </c>
      <c r="F630" s="16" t="s">
        <v>6342</v>
      </c>
      <c r="G630" s="16" t="s">
        <v>6343</v>
      </c>
      <c r="H630" s="16" t="s">
        <v>6344</v>
      </c>
      <c r="I630" s="16" t="s">
        <v>1728</v>
      </c>
      <c r="J630" s="16" t="s">
        <v>943</v>
      </c>
      <c r="K630" s="16" t="s">
        <v>1729</v>
      </c>
      <c r="L630" s="16" t="s">
        <v>85</v>
      </c>
      <c r="M630" s="16" t="s">
        <v>984</v>
      </c>
      <c r="N630" s="16" t="s">
        <v>914</v>
      </c>
      <c r="O630" s="16" t="s">
        <v>985</v>
      </c>
      <c r="P630" s="16" t="s">
        <v>914</v>
      </c>
      <c r="Q630" s="16" t="s">
        <v>985</v>
      </c>
      <c r="R630" s="16" t="s">
        <v>915</v>
      </c>
      <c r="S630" s="16" t="s">
        <v>915</v>
      </c>
      <c r="T630" s="16" t="s">
        <v>986</v>
      </c>
      <c r="U630" s="16" t="s">
        <v>987</v>
      </c>
      <c r="V630" s="16" t="s">
        <v>916</v>
      </c>
      <c r="W630" s="16" t="s">
        <v>987</v>
      </c>
      <c r="X630" s="16" t="s">
        <v>934</v>
      </c>
      <c r="Y630" s="16" t="s">
        <v>934</v>
      </c>
      <c r="Z630" s="16" t="s">
        <v>935</v>
      </c>
      <c r="DA630" s="405" t="s">
        <v>5</v>
      </c>
      <c r="DB630" s="405" t="s">
        <v>363</v>
      </c>
      <c r="DC630" s="406" t="s">
        <v>85</v>
      </c>
      <c r="DD630" s="405" t="s">
        <v>917</v>
      </c>
      <c r="DE630" s="405" t="s">
        <v>5</v>
      </c>
      <c r="DF630" s="406" t="s">
        <v>85</v>
      </c>
      <c r="DG630" s="407">
        <v>45851</v>
      </c>
      <c r="DH630" s="405" t="s">
        <v>6341</v>
      </c>
      <c r="DI630" s="406">
        <v>465455</v>
      </c>
      <c r="DJ630" s="408">
        <v>5</v>
      </c>
      <c r="DK630" s="405">
        <v>1</v>
      </c>
      <c r="DL630" s="82">
        <v>340.55</v>
      </c>
      <c r="DM630" s="409">
        <v>1.70275</v>
      </c>
      <c r="DN630" s="82" t="s">
        <v>85</v>
      </c>
      <c r="DO630" s="82" t="s">
        <v>85</v>
      </c>
      <c r="DP630" s="410" t="s">
        <v>85</v>
      </c>
    </row>
    <row r="631" spans="1:120" x14ac:dyDescent="0.25">
      <c r="A631" s="16" t="s">
        <v>5683</v>
      </c>
      <c r="B631" s="16" t="s">
        <v>5684</v>
      </c>
      <c r="C631" s="16" t="s">
        <v>5685</v>
      </c>
      <c r="D631" s="16" t="s">
        <v>5686</v>
      </c>
      <c r="E631" s="16" t="s">
        <v>5687</v>
      </c>
      <c r="F631" s="16" t="s">
        <v>5688</v>
      </c>
      <c r="G631" s="16" t="s">
        <v>5689</v>
      </c>
      <c r="H631" s="16" t="s">
        <v>5690</v>
      </c>
      <c r="I631" s="16" t="s">
        <v>1719</v>
      </c>
      <c r="J631" s="16" t="s">
        <v>943</v>
      </c>
      <c r="K631" s="16" t="s">
        <v>1720</v>
      </c>
      <c r="L631" s="16" t="s">
        <v>85</v>
      </c>
      <c r="M631" s="16" t="s">
        <v>1152</v>
      </c>
      <c r="N631" s="16" t="s">
        <v>914</v>
      </c>
      <c r="O631" s="16" t="s">
        <v>1153</v>
      </c>
      <c r="P631" s="16" t="s">
        <v>914</v>
      </c>
      <c r="Q631" s="16" t="s">
        <v>1153</v>
      </c>
      <c r="R631" s="16" t="s">
        <v>915</v>
      </c>
      <c r="S631" s="16" t="s">
        <v>915</v>
      </c>
      <c r="T631" s="16" t="s">
        <v>1154</v>
      </c>
      <c r="U631" s="16" t="s">
        <v>1155</v>
      </c>
      <c r="V631" s="16" t="s">
        <v>916</v>
      </c>
      <c r="W631" s="16" t="s">
        <v>1155</v>
      </c>
      <c r="X631" s="16" t="s">
        <v>934</v>
      </c>
      <c r="Y631" s="16" t="s">
        <v>934</v>
      </c>
      <c r="Z631" s="16" t="s">
        <v>935</v>
      </c>
      <c r="DA631" s="405" t="s">
        <v>5</v>
      </c>
      <c r="DB631" s="405" t="s">
        <v>363</v>
      </c>
      <c r="DC631" s="406" t="s">
        <v>85</v>
      </c>
      <c r="DD631" s="405" t="s">
        <v>917</v>
      </c>
      <c r="DE631" s="405" t="s">
        <v>5</v>
      </c>
      <c r="DF631" s="406" t="s">
        <v>85</v>
      </c>
      <c r="DG631" s="407">
        <v>45852</v>
      </c>
      <c r="DH631" s="405" t="s">
        <v>5687</v>
      </c>
      <c r="DI631" s="406">
        <v>465455</v>
      </c>
      <c r="DJ631" s="408">
        <v>5</v>
      </c>
      <c r="DK631" s="405">
        <v>1</v>
      </c>
      <c r="DL631" s="82">
        <v>308.62</v>
      </c>
      <c r="DM631" s="409">
        <v>1.5431000000000001</v>
      </c>
      <c r="DN631" s="82" t="s">
        <v>85</v>
      </c>
      <c r="DO631" s="82" t="s">
        <v>85</v>
      </c>
      <c r="DP631" s="410" t="s">
        <v>85</v>
      </c>
    </row>
    <row r="632" spans="1:120" x14ac:dyDescent="0.25">
      <c r="A632" s="16" t="s">
        <v>5691</v>
      </c>
      <c r="B632" s="16" t="s">
        <v>5692</v>
      </c>
      <c r="C632" s="16" t="s">
        <v>5693</v>
      </c>
      <c r="D632" s="16" t="s">
        <v>5686</v>
      </c>
      <c r="E632" s="16" t="s">
        <v>5694</v>
      </c>
      <c r="F632" s="16" t="s">
        <v>5695</v>
      </c>
      <c r="G632" s="16" t="s">
        <v>5696</v>
      </c>
      <c r="H632" s="16" t="s">
        <v>5695</v>
      </c>
      <c r="I632" s="16" t="s">
        <v>3832</v>
      </c>
      <c r="J632" s="16" t="s">
        <v>2699</v>
      </c>
      <c r="K632" s="16" t="s">
        <v>3833</v>
      </c>
      <c r="L632" s="16" t="s">
        <v>85</v>
      </c>
      <c r="M632" s="16" t="s">
        <v>5595</v>
      </c>
      <c r="N632" s="16" t="s">
        <v>914</v>
      </c>
      <c r="O632" s="16" t="s">
        <v>5596</v>
      </c>
      <c r="P632" s="16" t="s">
        <v>914</v>
      </c>
      <c r="Q632" s="16" t="s">
        <v>5596</v>
      </c>
      <c r="R632" s="16" t="s">
        <v>915</v>
      </c>
      <c r="S632" s="16" t="s">
        <v>915</v>
      </c>
      <c r="T632" s="16" t="s">
        <v>5595</v>
      </c>
      <c r="U632" s="16" t="s">
        <v>5597</v>
      </c>
      <c r="V632" s="16" t="s">
        <v>916</v>
      </c>
      <c r="W632" s="16" t="s">
        <v>5597</v>
      </c>
      <c r="X632" s="16" t="s">
        <v>934</v>
      </c>
      <c r="Y632" s="16" t="s">
        <v>934</v>
      </c>
      <c r="Z632" s="16" t="s">
        <v>935</v>
      </c>
      <c r="DA632" s="405" t="s">
        <v>5</v>
      </c>
      <c r="DB632" s="405" t="s">
        <v>363</v>
      </c>
      <c r="DC632" s="406" t="s">
        <v>85</v>
      </c>
      <c r="DD632" s="405" t="s">
        <v>917</v>
      </c>
      <c r="DE632" s="405" t="s">
        <v>5</v>
      </c>
      <c r="DF632" s="406" t="s">
        <v>85</v>
      </c>
      <c r="DG632" s="407">
        <v>45852</v>
      </c>
      <c r="DH632" s="405" t="s">
        <v>5694</v>
      </c>
      <c r="DI632" s="406">
        <v>465455</v>
      </c>
      <c r="DJ632" s="408">
        <v>5</v>
      </c>
      <c r="DK632" s="405">
        <v>1</v>
      </c>
      <c r="DL632" s="82">
        <v>436.33</v>
      </c>
      <c r="DM632" s="409">
        <v>2.1816499999999999</v>
      </c>
      <c r="DN632" s="82" t="s">
        <v>85</v>
      </c>
      <c r="DO632" s="82" t="s">
        <v>85</v>
      </c>
      <c r="DP632" s="410" t="s">
        <v>85</v>
      </c>
    </row>
    <row r="633" spans="1:120" x14ac:dyDescent="0.25">
      <c r="A633" s="16" t="s">
        <v>5697</v>
      </c>
      <c r="B633" s="16" t="s">
        <v>5698</v>
      </c>
      <c r="C633" s="16" t="s">
        <v>5699</v>
      </c>
      <c r="D633" s="16" t="s">
        <v>5686</v>
      </c>
      <c r="E633" s="16" t="s">
        <v>5700</v>
      </c>
      <c r="F633" s="16" t="s">
        <v>5701</v>
      </c>
      <c r="G633" s="16" t="s">
        <v>5702</v>
      </c>
      <c r="H633" s="16" t="s">
        <v>5703</v>
      </c>
      <c r="I633" s="16" t="s">
        <v>1150</v>
      </c>
      <c r="J633" s="16" t="s">
        <v>943</v>
      </c>
      <c r="K633" s="16" t="s">
        <v>1151</v>
      </c>
      <c r="L633" s="16" t="s">
        <v>85</v>
      </c>
      <c r="M633" s="16" t="s">
        <v>984</v>
      </c>
      <c r="N633" s="16" t="s">
        <v>914</v>
      </c>
      <c r="O633" s="16" t="s">
        <v>985</v>
      </c>
      <c r="P633" s="16" t="s">
        <v>914</v>
      </c>
      <c r="Q633" s="16" t="s">
        <v>985</v>
      </c>
      <c r="R633" s="16" t="s">
        <v>915</v>
      </c>
      <c r="S633" s="16" t="s">
        <v>915</v>
      </c>
      <c r="T633" s="16" t="s">
        <v>986</v>
      </c>
      <c r="U633" s="16" t="s">
        <v>987</v>
      </c>
      <c r="V633" s="16" t="s">
        <v>916</v>
      </c>
      <c r="W633" s="16" t="s">
        <v>987</v>
      </c>
      <c r="X633" s="16" t="s">
        <v>934</v>
      </c>
      <c r="Y633" s="16" t="s">
        <v>934</v>
      </c>
      <c r="Z633" s="16" t="s">
        <v>935</v>
      </c>
      <c r="DA633" s="405" t="s">
        <v>5</v>
      </c>
      <c r="DB633" s="405" t="s">
        <v>363</v>
      </c>
      <c r="DC633" s="406" t="s">
        <v>85</v>
      </c>
      <c r="DD633" s="405" t="s">
        <v>917</v>
      </c>
      <c r="DE633" s="405" t="s">
        <v>5</v>
      </c>
      <c r="DF633" s="406" t="s">
        <v>85</v>
      </c>
      <c r="DG633" s="407">
        <v>45852</v>
      </c>
      <c r="DH633" s="405" t="s">
        <v>5700</v>
      </c>
      <c r="DI633" s="406">
        <v>465455</v>
      </c>
      <c r="DJ633" s="408">
        <v>5</v>
      </c>
      <c r="DK633" s="405">
        <v>1</v>
      </c>
      <c r="DL633" s="82">
        <v>340.55</v>
      </c>
      <c r="DM633" s="409">
        <v>1.70275</v>
      </c>
      <c r="DN633" s="82" t="s">
        <v>85</v>
      </c>
      <c r="DO633" s="82" t="s">
        <v>85</v>
      </c>
      <c r="DP633" s="410" t="s">
        <v>85</v>
      </c>
    </row>
    <row r="634" spans="1:120" x14ac:dyDescent="0.25">
      <c r="A634" s="16" t="s">
        <v>5704</v>
      </c>
      <c r="B634" s="16" t="s">
        <v>5705</v>
      </c>
      <c r="C634" s="16" t="s">
        <v>5706</v>
      </c>
      <c r="D634" s="16" t="s">
        <v>5686</v>
      </c>
      <c r="E634" s="16" t="s">
        <v>5707</v>
      </c>
      <c r="F634" s="16" t="s">
        <v>5708</v>
      </c>
      <c r="G634" s="16" t="s">
        <v>5709</v>
      </c>
      <c r="H634" s="16" t="s">
        <v>5710</v>
      </c>
      <c r="I634" s="16" t="s">
        <v>1929</v>
      </c>
      <c r="J634" s="16" t="s">
        <v>995</v>
      </c>
      <c r="K634" s="16" t="s">
        <v>1930</v>
      </c>
      <c r="L634" s="16" t="s">
        <v>85</v>
      </c>
      <c r="M634" s="16" t="s">
        <v>3840</v>
      </c>
      <c r="N634" s="16" t="s">
        <v>914</v>
      </c>
      <c r="O634" s="16" t="s">
        <v>3841</v>
      </c>
      <c r="P634" s="16" t="s">
        <v>914</v>
      </c>
      <c r="Q634" s="16" t="s">
        <v>3841</v>
      </c>
      <c r="R634" s="16" t="s">
        <v>915</v>
      </c>
      <c r="S634" s="16" t="s">
        <v>915</v>
      </c>
      <c r="T634" s="16" t="s">
        <v>3840</v>
      </c>
      <c r="U634" s="16" t="s">
        <v>3842</v>
      </c>
      <c r="V634" s="16" t="s">
        <v>916</v>
      </c>
      <c r="W634" s="16" t="s">
        <v>3842</v>
      </c>
      <c r="X634" s="16" t="s">
        <v>934</v>
      </c>
      <c r="Y634" s="16" t="s">
        <v>934</v>
      </c>
      <c r="Z634" s="16" t="s">
        <v>935</v>
      </c>
      <c r="DA634" s="405" t="s">
        <v>5</v>
      </c>
      <c r="DB634" s="405" t="s">
        <v>363</v>
      </c>
      <c r="DC634" s="406" t="s">
        <v>85</v>
      </c>
      <c r="DD634" s="405" t="s">
        <v>917</v>
      </c>
      <c r="DE634" s="405" t="s">
        <v>5</v>
      </c>
      <c r="DF634" s="406" t="s">
        <v>85</v>
      </c>
      <c r="DG634" s="407">
        <v>45852</v>
      </c>
      <c r="DH634" s="405" t="s">
        <v>5707</v>
      </c>
      <c r="DI634" s="406">
        <v>465455</v>
      </c>
      <c r="DJ634" s="408">
        <v>5</v>
      </c>
      <c r="DK634" s="405">
        <v>1</v>
      </c>
      <c r="DL634" s="82">
        <v>433.17</v>
      </c>
      <c r="DM634" s="409">
        <v>2.1658500000000003</v>
      </c>
      <c r="DN634" s="82" t="s">
        <v>85</v>
      </c>
      <c r="DO634" s="82" t="s">
        <v>85</v>
      </c>
      <c r="DP634" s="410" t="s">
        <v>85</v>
      </c>
    </row>
    <row r="635" spans="1:120" x14ac:dyDescent="0.25">
      <c r="A635" s="16" t="s">
        <v>5711</v>
      </c>
      <c r="B635" s="16" t="s">
        <v>5712</v>
      </c>
      <c r="C635" s="16" t="s">
        <v>5713</v>
      </c>
      <c r="D635" s="16" t="s">
        <v>5686</v>
      </c>
      <c r="E635" s="16" t="s">
        <v>5714</v>
      </c>
      <c r="F635" s="16" t="s">
        <v>5715</v>
      </c>
      <c r="G635" s="16" t="s">
        <v>5716</v>
      </c>
      <c r="H635" s="16" t="s">
        <v>5717</v>
      </c>
      <c r="I635" s="16" t="s">
        <v>1929</v>
      </c>
      <c r="J635" s="16" t="s">
        <v>995</v>
      </c>
      <c r="K635" s="16" t="s">
        <v>1930</v>
      </c>
      <c r="L635" s="16" t="s">
        <v>85</v>
      </c>
      <c r="M635" s="16" t="s">
        <v>3840</v>
      </c>
      <c r="N635" s="16" t="s">
        <v>914</v>
      </c>
      <c r="O635" s="16" t="s">
        <v>3841</v>
      </c>
      <c r="P635" s="16" t="s">
        <v>914</v>
      </c>
      <c r="Q635" s="16" t="s">
        <v>3841</v>
      </c>
      <c r="R635" s="16" t="s">
        <v>915</v>
      </c>
      <c r="S635" s="16" t="s">
        <v>915</v>
      </c>
      <c r="T635" s="16" t="s">
        <v>3840</v>
      </c>
      <c r="U635" s="16" t="s">
        <v>3842</v>
      </c>
      <c r="V635" s="16" t="s">
        <v>916</v>
      </c>
      <c r="W635" s="16" t="s">
        <v>3842</v>
      </c>
      <c r="X635" s="16" t="s">
        <v>934</v>
      </c>
      <c r="Y635" s="16" t="s">
        <v>934</v>
      </c>
      <c r="Z635" s="16" t="s">
        <v>935</v>
      </c>
      <c r="DA635" s="405" t="s">
        <v>5</v>
      </c>
      <c r="DB635" s="405" t="s">
        <v>363</v>
      </c>
      <c r="DC635" s="406" t="s">
        <v>85</v>
      </c>
      <c r="DD635" s="405" t="s">
        <v>917</v>
      </c>
      <c r="DE635" s="405" t="s">
        <v>5</v>
      </c>
      <c r="DF635" s="406" t="s">
        <v>85</v>
      </c>
      <c r="DG635" s="407">
        <v>45852</v>
      </c>
      <c r="DH635" s="405" t="s">
        <v>5714</v>
      </c>
      <c r="DI635" s="406">
        <v>465455</v>
      </c>
      <c r="DJ635" s="408">
        <v>5</v>
      </c>
      <c r="DK635" s="405">
        <v>1</v>
      </c>
      <c r="DL635" s="82">
        <v>433.17</v>
      </c>
      <c r="DM635" s="409">
        <v>2.1658500000000003</v>
      </c>
      <c r="DN635" s="82" t="s">
        <v>85</v>
      </c>
      <c r="DO635" s="82" t="s">
        <v>85</v>
      </c>
      <c r="DP635" s="410" t="s">
        <v>85</v>
      </c>
    </row>
    <row r="636" spans="1:120" x14ac:dyDescent="0.25">
      <c r="A636" s="16" t="s">
        <v>5718</v>
      </c>
      <c r="B636" s="16" t="s">
        <v>5719</v>
      </c>
      <c r="C636" s="16" t="s">
        <v>5720</v>
      </c>
      <c r="D636" s="16" t="s">
        <v>5686</v>
      </c>
      <c r="E636" s="16" t="s">
        <v>5721</v>
      </c>
      <c r="F636" s="16" t="s">
        <v>5722</v>
      </c>
      <c r="G636" s="16" t="s">
        <v>5723</v>
      </c>
      <c r="H636" s="16" t="s">
        <v>5722</v>
      </c>
      <c r="I636" s="16" t="s">
        <v>1494</v>
      </c>
      <c r="J636" s="16" t="s">
        <v>943</v>
      </c>
      <c r="K636" s="16" t="s">
        <v>1495</v>
      </c>
      <c r="L636" s="16" t="s">
        <v>85</v>
      </c>
      <c r="M636" s="16" t="s">
        <v>1152</v>
      </c>
      <c r="N636" s="16" t="s">
        <v>914</v>
      </c>
      <c r="O636" s="16" t="s">
        <v>1153</v>
      </c>
      <c r="P636" s="16" t="s">
        <v>914</v>
      </c>
      <c r="Q636" s="16" t="s">
        <v>1153</v>
      </c>
      <c r="R636" s="16" t="s">
        <v>915</v>
      </c>
      <c r="S636" s="16" t="s">
        <v>915</v>
      </c>
      <c r="T636" s="16" t="s">
        <v>1154</v>
      </c>
      <c r="U636" s="16" t="s">
        <v>1155</v>
      </c>
      <c r="V636" s="16" t="s">
        <v>916</v>
      </c>
      <c r="W636" s="16" t="s">
        <v>1155</v>
      </c>
      <c r="X636" s="16" t="s">
        <v>934</v>
      </c>
      <c r="Y636" s="16" t="s">
        <v>934</v>
      </c>
      <c r="Z636" s="16" t="s">
        <v>935</v>
      </c>
      <c r="DA636" s="405" t="s">
        <v>5</v>
      </c>
      <c r="DB636" s="405" t="s">
        <v>363</v>
      </c>
      <c r="DC636" s="406" t="s">
        <v>85</v>
      </c>
      <c r="DD636" s="405" t="s">
        <v>917</v>
      </c>
      <c r="DE636" s="405" t="s">
        <v>5</v>
      </c>
      <c r="DF636" s="406" t="s">
        <v>85</v>
      </c>
      <c r="DG636" s="407">
        <v>45852</v>
      </c>
      <c r="DH636" s="405" t="s">
        <v>5721</v>
      </c>
      <c r="DI636" s="406">
        <v>465455</v>
      </c>
      <c r="DJ636" s="408">
        <v>5</v>
      </c>
      <c r="DK636" s="405">
        <v>1</v>
      </c>
      <c r="DL636" s="82">
        <v>308.62</v>
      </c>
      <c r="DM636" s="409">
        <v>1.5431000000000001</v>
      </c>
      <c r="DN636" s="82" t="s">
        <v>85</v>
      </c>
      <c r="DO636" s="82" t="s">
        <v>85</v>
      </c>
      <c r="DP636" s="410" t="s">
        <v>85</v>
      </c>
    </row>
    <row r="637" spans="1:120" x14ac:dyDescent="0.25">
      <c r="A637" s="16" t="s">
        <v>5718</v>
      </c>
      <c r="B637" s="16" t="s">
        <v>5719</v>
      </c>
      <c r="C637" s="16" t="s">
        <v>5720</v>
      </c>
      <c r="D637" s="16" t="s">
        <v>5686</v>
      </c>
      <c r="E637" s="16" t="s">
        <v>5721</v>
      </c>
      <c r="F637" s="16" t="s">
        <v>5722</v>
      </c>
      <c r="G637" s="16" t="s">
        <v>5723</v>
      </c>
      <c r="H637" s="16" t="s">
        <v>5722</v>
      </c>
      <c r="I637" s="16" t="s">
        <v>2136</v>
      </c>
      <c r="J637" s="16" t="s">
        <v>943</v>
      </c>
      <c r="K637" s="16" t="s">
        <v>2137</v>
      </c>
      <c r="L637" s="16" t="s">
        <v>85</v>
      </c>
      <c r="M637" s="16" t="s">
        <v>1152</v>
      </c>
      <c r="N637" s="16" t="s">
        <v>914</v>
      </c>
      <c r="O637" s="16" t="s">
        <v>1153</v>
      </c>
      <c r="P637" s="16" t="s">
        <v>914</v>
      </c>
      <c r="Q637" s="16" t="s">
        <v>1153</v>
      </c>
      <c r="R637" s="16" t="s">
        <v>915</v>
      </c>
      <c r="S637" s="16" t="s">
        <v>915</v>
      </c>
      <c r="T637" s="16" t="s">
        <v>1154</v>
      </c>
      <c r="U637" s="16" t="s">
        <v>1155</v>
      </c>
      <c r="V637" s="16" t="s">
        <v>916</v>
      </c>
      <c r="W637" s="16" t="s">
        <v>1155</v>
      </c>
      <c r="X637" s="16" t="s">
        <v>934</v>
      </c>
      <c r="Y637" s="16" t="s">
        <v>934</v>
      </c>
      <c r="Z637" s="16" t="s">
        <v>935</v>
      </c>
      <c r="DA637" s="405" t="s">
        <v>5</v>
      </c>
      <c r="DB637" s="405" t="s">
        <v>363</v>
      </c>
      <c r="DC637" s="406" t="s">
        <v>85</v>
      </c>
      <c r="DD637" s="405" t="s">
        <v>917</v>
      </c>
      <c r="DE637" s="405" t="s">
        <v>5</v>
      </c>
      <c r="DF637" s="406" t="s">
        <v>85</v>
      </c>
      <c r="DG637" s="407">
        <v>45852</v>
      </c>
      <c r="DH637" s="405" t="s">
        <v>5721</v>
      </c>
      <c r="DI637" s="406">
        <v>465455</v>
      </c>
      <c r="DJ637" s="408">
        <v>5</v>
      </c>
      <c r="DK637" s="405">
        <v>1</v>
      </c>
      <c r="DL637" s="82">
        <v>308.62</v>
      </c>
      <c r="DM637" s="409">
        <v>1.5431000000000001</v>
      </c>
      <c r="DN637" s="82" t="s">
        <v>85</v>
      </c>
      <c r="DO637" s="82" t="s">
        <v>85</v>
      </c>
      <c r="DP637" s="410" t="s">
        <v>85</v>
      </c>
    </row>
    <row r="638" spans="1:120" x14ac:dyDescent="0.25">
      <c r="A638" s="16" t="s">
        <v>5724</v>
      </c>
      <c r="B638" s="16" t="s">
        <v>5725</v>
      </c>
      <c r="C638" s="16" t="s">
        <v>5726</v>
      </c>
      <c r="D638" s="16" t="s">
        <v>5686</v>
      </c>
      <c r="E638" s="16" t="s">
        <v>5727</v>
      </c>
      <c r="F638" s="16" t="s">
        <v>5728</v>
      </c>
      <c r="G638" s="16" t="s">
        <v>5729</v>
      </c>
      <c r="H638" s="16" t="s">
        <v>5728</v>
      </c>
      <c r="I638" s="16" t="s">
        <v>5730</v>
      </c>
      <c r="J638" s="16" t="s">
        <v>1661</v>
      </c>
      <c r="K638" s="16" t="s">
        <v>5731</v>
      </c>
      <c r="L638" s="16" t="s">
        <v>85</v>
      </c>
      <c r="M638" s="16" t="s">
        <v>5447</v>
      </c>
      <c r="N638" s="16" t="s">
        <v>914</v>
      </c>
      <c r="O638" s="16" t="s">
        <v>5448</v>
      </c>
      <c r="P638" s="16" t="s">
        <v>914</v>
      </c>
      <c r="Q638" s="16" t="s">
        <v>5448</v>
      </c>
      <c r="R638" s="16" t="s">
        <v>915</v>
      </c>
      <c r="S638" s="16" t="s">
        <v>915</v>
      </c>
      <c r="T638" s="16" t="s">
        <v>5447</v>
      </c>
      <c r="U638" s="16" t="s">
        <v>5449</v>
      </c>
      <c r="V638" s="16" t="s">
        <v>916</v>
      </c>
      <c r="W638" s="16" t="s">
        <v>5449</v>
      </c>
      <c r="X638" s="16" t="s">
        <v>934</v>
      </c>
      <c r="Y638" s="16" t="s">
        <v>934</v>
      </c>
      <c r="Z638" s="16" t="s">
        <v>935</v>
      </c>
      <c r="DA638" s="405" t="s">
        <v>5</v>
      </c>
      <c r="DB638" s="405" t="s">
        <v>363</v>
      </c>
      <c r="DC638" s="406" t="s">
        <v>85</v>
      </c>
      <c r="DD638" s="405" t="s">
        <v>917</v>
      </c>
      <c r="DE638" s="405" t="s">
        <v>5</v>
      </c>
      <c r="DF638" s="406" t="s">
        <v>85</v>
      </c>
      <c r="DG638" s="407">
        <v>45852</v>
      </c>
      <c r="DH638" s="405" t="s">
        <v>5727</v>
      </c>
      <c r="DI638" s="406">
        <v>465455</v>
      </c>
      <c r="DJ638" s="408">
        <v>5</v>
      </c>
      <c r="DK638" s="405">
        <v>1</v>
      </c>
      <c r="DL638" s="82">
        <v>295.27999999999997</v>
      </c>
      <c r="DM638" s="409">
        <v>1.4763999999999999</v>
      </c>
      <c r="DN638" s="82" t="s">
        <v>85</v>
      </c>
      <c r="DO638" s="82" t="s">
        <v>85</v>
      </c>
      <c r="DP638" s="410" t="s">
        <v>85</v>
      </c>
    </row>
    <row r="639" spans="1:120" x14ac:dyDescent="0.25">
      <c r="A639" s="16" t="s">
        <v>5732</v>
      </c>
      <c r="B639" s="16" t="s">
        <v>5733</v>
      </c>
      <c r="C639" s="16" t="s">
        <v>5734</v>
      </c>
      <c r="D639" s="16" t="s">
        <v>5686</v>
      </c>
      <c r="E639" s="16" t="s">
        <v>5735</v>
      </c>
      <c r="F639" s="16" t="s">
        <v>5736</v>
      </c>
      <c r="G639" s="16" t="s">
        <v>5737</v>
      </c>
      <c r="H639" s="16" t="s">
        <v>5736</v>
      </c>
      <c r="I639" s="16" t="s">
        <v>1269</v>
      </c>
      <c r="J639" s="16" t="s">
        <v>943</v>
      </c>
      <c r="K639" s="16" t="s">
        <v>1270</v>
      </c>
      <c r="L639" s="16" t="s">
        <v>85</v>
      </c>
      <c r="M639" s="16" t="s">
        <v>1152</v>
      </c>
      <c r="N639" s="16" t="s">
        <v>914</v>
      </c>
      <c r="O639" s="16" t="s">
        <v>1153</v>
      </c>
      <c r="P639" s="16" t="s">
        <v>914</v>
      </c>
      <c r="Q639" s="16" t="s">
        <v>1153</v>
      </c>
      <c r="R639" s="16" t="s">
        <v>915</v>
      </c>
      <c r="S639" s="16" t="s">
        <v>915</v>
      </c>
      <c r="T639" s="16" t="s">
        <v>1154</v>
      </c>
      <c r="U639" s="16" t="s">
        <v>1155</v>
      </c>
      <c r="V639" s="16" t="s">
        <v>916</v>
      </c>
      <c r="W639" s="16" t="s">
        <v>1155</v>
      </c>
      <c r="X639" s="16" t="s">
        <v>934</v>
      </c>
      <c r="Y639" s="16" t="s">
        <v>934</v>
      </c>
      <c r="Z639" s="16" t="s">
        <v>935</v>
      </c>
      <c r="DA639" s="405" t="s">
        <v>5</v>
      </c>
      <c r="DB639" s="405" t="s">
        <v>363</v>
      </c>
      <c r="DC639" s="406" t="s">
        <v>85</v>
      </c>
      <c r="DD639" s="405" t="s">
        <v>917</v>
      </c>
      <c r="DE639" s="405" t="s">
        <v>5</v>
      </c>
      <c r="DF639" s="406" t="s">
        <v>85</v>
      </c>
      <c r="DG639" s="407">
        <v>45852</v>
      </c>
      <c r="DH639" s="405" t="s">
        <v>5735</v>
      </c>
      <c r="DI639" s="406">
        <v>465455</v>
      </c>
      <c r="DJ639" s="408">
        <v>5</v>
      </c>
      <c r="DK639" s="405">
        <v>1</v>
      </c>
      <c r="DL639" s="82">
        <v>308.62</v>
      </c>
      <c r="DM639" s="409">
        <v>1.5431000000000001</v>
      </c>
      <c r="DN639" s="82" t="s">
        <v>85</v>
      </c>
      <c r="DO639" s="82" t="s">
        <v>85</v>
      </c>
      <c r="DP639" s="410" t="s">
        <v>85</v>
      </c>
    </row>
    <row r="640" spans="1:120" x14ac:dyDescent="0.25">
      <c r="A640" s="16" t="s">
        <v>5738</v>
      </c>
      <c r="B640" s="16" t="s">
        <v>5739</v>
      </c>
      <c r="C640" s="16" t="s">
        <v>5740</v>
      </c>
      <c r="D640" s="16" t="s">
        <v>5686</v>
      </c>
      <c r="E640" s="16" t="s">
        <v>5741</v>
      </c>
      <c r="F640" s="16" t="s">
        <v>5742</v>
      </c>
      <c r="G640" s="16" t="s">
        <v>5743</v>
      </c>
      <c r="H640" s="16" t="s">
        <v>5744</v>
      </c>
      <c r="I640" s="16" t="s">
        <v>4018</v>
      </c>
      <c r="J640" s="16" t="s">
        <v>1109</v>
      </c>
      <c r="K640" s="16" t="s">
        <v>4019</v>
      </c>
      <c r="L640" s="16" t="s">
        <v>85</v>
      </c>
      <c r="M640" s="16" t="s">
        <v>5745</v>
      </c>
      <c r="N640" s="16" t="s">
        <v>914</v>
      </c>
      <c r="O640" s="16" t="s">
        <v>5746</v>
      </c>
      <c r="P640" s="16" t="s">
        <v>914</v>
      </c>
      <c r="Q640" s="16" t="s">
        <v>5746</v>
      </c>
      <c r="R640" s="16" t="s">
        <v>915</v>
      </c>
      <c r="S640" s="16" t="s">
        <v>915</v>
      </c>
      <c r="T640" s="16" t="s">
        <v>5747</v>
      </c>
      <c r="U640" s="16" t="s">
        <v>5748</v>
      </c>
      <c r="V640" s="16" t="s">
        <v>916</v>
      </c>
      <c r="W640" s="16" t="s">
        <v>5748</v>
      </c>
      <c r="X640" s="16" t="s">
        <v>934</v>
      </c>
      <c r="Y640" s="16" t="s">
        <v>934</v>
      </c>
      <c r="Z640" s="16" t="s">
        <v>935</v>
      </c>
      <c r="DA640" s="405" t="s">
        <v>5</v>
      </c>
      <c r="DB640" s="405" t="s">
        <v>363</v>
      </c>
      <c r="DC640" s="406" t="s">
        <v>85</v>
      </c>
      <c r="DD640" s="405" t="s">
        <v>917</v>
      </c>
      <c r="DE640" s="405" t="s">
        <v>5</v>
      </c>
      <c r="DF640" s="406" t="s">
        <v>85</v>
      </c>
      <c r="DG640" s="407">
        <v>45852</v>
      </c>
      <c r="DH640" s="405" t="s">
        <v>5741</v>
      </c>
      <c r="DI640" s="406">
        <v>465455</v>
      </c>
      <c r="DJ640" s="408">
        <v>5</v>
      </c>
      <c r="DK640" s="405">
        <v>1</v>
      </c>
      <c r="DL640" s="82">
        <v>558.54999999999995</v>
      </c>
      <c r="DM640" s="409">
        <v>2.7927499999999998</v>
      </c>
      <c r="DN640" s="82" t="s">
        <v>85</v>
      </c>
      <c r="DO640" s="82" t="s">
        <v>85</v>
      </c>
      <c r="DP640" s="410" t="s">
        <v>85</v>
      </c>
    </row>
    <row r="641" spans="1:120" x14ac:dyDescent="0.25">
      <c r="A641" s="16" t="s">
        <v>5749</v>
      </c>
      <c r="B641" s="16" t="s">
        <v>5750</v>
      </c>
      <c r="C641" s="16" t="s">
        <v>5751</v>
      </c>
      <c r="D641" s="16" t="s">
        <v>5686</v>
      </c>
      <c r="E641" s="16" t="s">
        <v>5752</v>
      </c>
      <c r="F641" s="16" t="s">
        <v>5753</v>
      </c>
      <c r="G641" s="16" t="s">
        <v>5754</v>
      </c>
      <c r="H641" s="16" t="s">
        <v>5753</v>
      </c>
      <c r="I641" s="16" t="s">
        <v>1448</v>
      </c>
      <c r="J641" s="16" t="s">
        <v>1036</v>
      </c>
      <c r="K641" s="16" t="s">
        <v>1449</v>
      </c>
      <c r="L641" s="16" t="s">
        <v>85</v>
      </c>
      <c r="M641" s="16" t="s">
        <v>5447</v>
      </c>
      <c r="N641" s="16" t="s">
        <v>914</v>
      </c>
      <c r="O641" s="16" t="s">
        <v>5448</v>
      </c>
      <c r="P641" s="16" t="s">
        <v>914</v>
      </c>
      <c r="Q641" s="16" t="s">
        <v>5448</v>
      </c>
      <c r="R641" s="16" t="s">
        <v>915</v>
      </c>
      <c r="S641" s="16" t="s">
        <v>915</v>
      </c>
      <c r="T641" s="16" t="s">
        <v>5447</v>
      </c>
      <c r="U641" s="16" t="s">
        <v>5449</v>
      </c>
      <c r="V641" s="16" t="s">
        <v>916</v>
      </c>
      <c r="W641" s="16" t="s">
        <v>5449</v>
      </c>
      <c r="X641" s="16" t="s">
        <v>934</v>
      </c>
      <c r="Y641" s="16" t="s">
        <v>934</v>
      </c>
      <c r="Z641" s="16" t="s">
        <v>935</v>
      </c>
      <c r="DA641" s="405" t="s">
        <v>5</v>
      </c>
      <c r="DB641" s="405" t="s">
        <v>363</v>
      </c>
      <c r="DC641" s="406" t="s">
        <v>85</v>
      </c>
      <c r="DD641" s="405" t="s">
        <v>917</v>
      </c>
      <c r="DE641" s="405" t="s">
        <v>5</v>
      </c>
      <c r="DF641" s="406" t="s">
        <v>85</v>
      </c>
      <c r="DG641" s="407">
        <v>45852</v>
      </c>
      <c r="DH641" s="405" t="s">
        <v>5752</v>
      </c>
      <c r="DI641" s="406">
        <v>465455</v>
      </c>
      <c r="DJ641" s="408">
        <v>5</v>
      </c>
      <c r="DK641" s="405">
        <v>1</v>
      </c>
      <c r="DL641" s="82">
        <v>295.27999999999997</v>
      </c>
      <c r="DM641" s="409">
        <v>1.4763999999999999</v>
      </c>
      <c r="DN641" s="82" t="s">
        <v>85</v>
      </c>
      <c r="DO641" s="82" t="s">
        <v>85</v>
      </c>
      <c r="DP641" s="410" t="s">
        <v>85</v>
      </c>
    </row>
    <row r="642" spans="1:120" x14ac:dyDescent="0.25">
      <c r="A642" s="16" t="s">
        <v>5755</v>
      </c>
      <c r="B642" s="16" t="s">
        <v>5756</v>
      </c>
      <c r="C642" s="16" t="s">
        <v>5757</v>
      </c>
      <c r="D642" s="16" t="s">
        <v>5686</v>
      </c>
      <c r="E642" s="16" t="s">
        <v>5758</v>
      </c>
      <c r="F642" s="16" t="s">
        <v>5759</v>
      </c>
      <c r="G642" s="16" t="s">
        <v>5760</v>
      </c>
      <c r="H642" s="16" t="s">
        <v>5761</v>
      </c>
      <c r="I642" s="16" t="s">
        <v>1026</v>
      </c>
      <c r="J642" s="16" t="s">
        <v>943</v>
      </c>
      <c r="K642" s="16" t="s">
        <v>1027</v>
      </c>
      <c r="L642" s="16" t="s">
        <v>85</v>
      </c>
      <c r="M642" s="16" t="s">
        <v>1152</v>
      </c>
      <c r="N642" s="16" t="s">
        <v>914</v>
      </c>
      <c r="O642" s="16" t="s">
        <v>1153</v>
      </c>
      <c r="P642" s="16" t="s">
        <v>914</v>
      </c>
      <c r="Q642" s="16" t="s">
        <v>1153</v>
      </c>
      <c r="R642" s="16" t="s">
        <v>915</v>
      </c>
      <c r="S642" s="16" t="s">
        <v>915</v>
      </c>
      <c r="T642" s="16" t="s">
        <v>1154</v>
      </c>
      <c r="U642" s="16" t="s">
        <v>1155</v>
      </c>
      <c r="V642" s="16" t="s">
        <v>916</v>
      </c>
      <c r="W642" s="16" t="s">
        <v>1155</v>
      </c>
      <c r="X642" s="16" t="s">
        <v>934</v>
      </c>
      <c r="Y642" s="16" t="s">
        <v>934</v>
      </c>
      <c r="Z642" s="16" t="s">
        <v>935</v>
      </c>
      <c r="DA642" s="405" t="s">
        <v>5</v>
      </c>
      <c r="DB642" s="405" t="s">
        <v>363</v>
      </c>
      <c r="DC642" s="406" t="s">
        <v>85</v>
      </c>
      <c r="DD642" s="405" t="s">
        <v>917</v>
      </c>
      <c r="DE642" s="405" t="s">
        <v>5</v>
      </c>
      <c r="DF642" s="406" t="s">
        <v>85</v>
      </c>
      <c r="DG642" s="407">
        <v>45852</v>
      </c>
      <c r="DH642" s="405" t="s">
        <v>5758</v>
      </c>
      <c r="DI642" s="406">
        <v>465455</v>
      </c>
      <c r="DJ642" s="408">
        <v>5</v>
      </c>
      <c r="DK642" s="405">
        <v>1</v>
      </c>
      <c r="DL642" s="82">
        <v>308.62</v>
      </c>
      <c r="DM642" s="409">
        <v>1.5431000000000001</v>
      </c>
      <c r="DN642" s="82" t="s">
        <v>85</v>
      </c>
      <c r="DO642" s="82" t="s">
        <v>85</v>
      </c>
      <c r="DP642" s="410" t="s">
        <v>85</v>
      </c>
    </row>
    <row r="643" spans="1:120" x14ac:dyDescent="0.25">
      <c r="A643" s="16" t="s">
        <v>5762</v>
      </c>
      <c r="B643" s="16" t="s">
        <v>5763</v>
      </c>
      <c r="C643" s="16" t="s">
        <v>5764</v>
      </c>
      <c r="D643" s="16" t="s">
        <v>5686</v>
      </c>
      <c r="E643" s="16" t="s">
        <v>5765</v>
      </c>
      <c r="F643" s="16" t="s">
        <v>5766</v>
      </c>
      <c r="G643" s="16" t="s">
        <v>5767</v>
      </c>
      <c r="H643" s="16" t="s">
        <v>5766</v>
      </c>
      <c r="I643" s="16" t="s">
        <v>3312</v>
      </c>
      <c r="J643" s="16" t="s">
        <v>943</v>
      </c>
      <c r="K643" s="16" t="s">
        <v>3313</v>
      </c>
      <c r="L643" s="16" t="s">
        <v>85</v>
      </c>
      <c r="M643" s="16" t="s">
        <v>1152</v>
      </c>
      <c r="N643" s="16" t="s">
        <v>914</v>
      </c>
      <c r="O643" s="16" t="s">
        <v>1153</v>
      </c>
      <c r="P643" s="16" t="s">
        <v>914</v>
      </c>
      <c r="Q643" s="16" t="s">
        <v>1153</v>
      </c>
      <c r="R643" s="16" t="s">
        <v>915</v>
      </c>
      <c r="S643" s="16" t="s">
        <v>915</v>
      </c>
      <c r="T643" s="16" t="s">
        <v>1154</v>
      </c>
      <c r="U643" s="16" t="s">
        <v>1155</v>
      </c>
      <c r="V643" s="16" t="s">
        <v>916</v>
      </c>
      <c r="W643" s="16" t="s">
        <v>1155</v>
      </c>
      <c r="X643" s="16" t="s">
        <v>934</v>
      </c>
      <c r="Y643" s="16" t="s">
        <v>934</v>
      </c>
      <c r="Z643" s="16" t="s">
        <v>935</v>
      </c>
      <c r="DA643" s="405" t="s">
        <v>5</v>
      </c>
      <c r="DB643" s="405" t="s">
        <v>363</v>
      </c>
      <c r="DC643" s="406" t="s">
        <v>85</v>
      </c>
      <c r="DD643" s="405" t="s">
        <v>917</v>
      </c>
      <c r="DE643" s="405" t="s">
        <v>5</v>
      </c>
      <c r="DF643" s="406" t="s">
        <v>85</v>
      </c>
      <c r="DG643" s="407">
        <v>45852</v>
      </c>
      <c r="DH643" s="405" t="s">
        <v>5765</v>
      </c>
      <c r="DI643" s="406">
        <v>465455</v>
      </c>
      <c r="DJ643" s="408">
        <v>5</v>
      </c>
      <c r="DK643" s="405">
        <v>1</v>
      </c>
      <c r="DL643" s="82">
        <v>308.62</v>
      </c>
      <c r="DM643" s="409">
        <v>1.5431000000000001</v>
      </c>
      <c r="DN643" s="82" t="s">
        <v>85</v>
      </c>
      <c r="DO643" s="82" t="s">
        <v>85</v>
      </c>
      <c r="DP643" s="410" t="s">
        <v>85</v>
      </c>
    </row>
    <row r="644" spans="1:120" x14ac:dyDescent="0.25">
      <c r="A644" s="16" t="s">
        <v>5768</v>
      </c>
      <c r="B644" s="16" t="s">
        <v>5769</v>
      </c>
      <c r="C644" s="16" t="s">
        <v>5770</v>
      </c>
      <c r="D644" s="16" t="s">
        <v>5686</v>
      </c>
      <c r="E644" s="16" t="s">
        <v>5771</v>
      </c>
      <c r="F644" s="16" t="s">
        <v>5772</v>
      </c>
      <c r="G644" s="16" t="s">
        <v>5773</v>
      </c>
      <c r="H644" s="16" t="s">
        <v>5772</v>
      </c>
      <c r="I644" s="16" t="s">
        <v>2425</v>
      </c>
      <c r="J644" s="16" t="s">
        <v>928</v>
      </c>
      <c r="K644" s="16" t="s">
        <v>2426</v>
      </c>
      <c r="L644" s="16" t="s">
        <v>85</v>
      </c>
      <c r="M644" s="16" t="s">
        <v>5493</v>
      </c>
      <c r="N644" s="16" t="s">
        <v>914</v>
      </c>
      <c r="O644" s="16" t="s">
        <v>5494</v>
      </c>
      <c r="P644" s="16" t="s">
        <v>914</v>
      </c>
      <c r="Q644" s="16" t="s">
        <v>5494</v>
      </c>
      <c r="R644" s="16" t="s">
        <v>915</v>
      </c>
      <c r="S644" s="16" t="s">
        <v>915</v>
      </c>
      <c r="T644" s="16" t="s">
        <v>5495</v>
      </c>
      <c r="U644" s="16" t="s">
        <v>5496</v>
      </c>
      <c r="V644" s="16" t="s">
        <v>916</v>
      </c>
      <c r="W644" s="16" t="s">
        <v>5496</v>
      </c>
      <c r="X644" s="16" t="s">
        <v>934</v>
      </c>
      <c r="Y644" s="16" t="s">
        <v>934</v>
      </c>
      <c r="Z644" s="16" t="s">
        <v>935</v>
      </c>
      <c r="DA644" s="405" t="s">
        <v>5</v>
      </c>
      <c r="DB644" s="405" t="s">
        <v>363</v>
      </c>
      <c r="DC644" s="406" t="s">
        <v>85</v>
      </c>
      <c r="DD644" s="405" t="s">
        <v>917</v>
      </c>
      <c r="DE644" s="405" t="s">
        <v>5</v>
      </c>
      <c r="DF644" s="406" t="s">
        <v>85</v>
      </c>
      <c r="DG644" s="407">
        <v>45852</v>
      </c>
      <c r="DH644" s="405" t="s">
        <v>5771</v>
      </c>
      <c r="DI644" s="406">
        <v>465455</v>
      </c>
      <c r="DJ644" s="408">
        <v>5</v>
      </c>
      <c r="DK644" s="405">
        <v>1</v>
      </c>
      <c r="DL644" s="82">
        <v>312.52999999999997</v>
      </c>
      <c r="DM644" s="409">
        <v>1.5626499999999999</v>
      </c>
      <c r="DN644" s="82" t="s">
        <v>85</v>
      </c>
      <c r="DO644" s="82" t="s">
        <v>85</v>
      </c>
      <c r="DP644" s="410" t="s">
        <v>85</v>
      </c>
    </row>
    <row r="645" spans="1:120" x14ac:dyDescent="0.25">
      <c r="A645" s="16" t="s">
        <v>5774</v>
      </c>
      <c r="B645" s="16" t="s">
        <v>5775</v>
      </c>
      <c r="C645" s="16" t="s">
        <v>5776</v>
      </c>
      <c r="D645" s="16" t="s">
        <v>5686</v>
      </c>
      <c r="E645" s="16" t="s">
        <v>5777</v>
      </c>
      <c r="F645" s="16" t="s">
        <v>5778</v>
      </c>
      <c r="G645" s="16" t="s">
        <v>5779</v>
      </c>
      <c r="H645" s="16" t="s">
        <v>5778</v>
      </c>
      <c r="I645" s="16" t="s">
        <v>1880</v>
      </c>
      <c r="J645" s="16" t="s">
        <v>928</v>
      </c>
      <c r="K645" s="16" t="s">
        <v>1881</v>
      </c>
      <c r="L645" s="16" t="s">
        <v>85</v>
      </c>
      <c r="M645" s="16" t="s">
        <v>5493</v>
      </c>
      <c r="N645" s="16" t="s">
        <v>914</v>
      </c>
      <c r="O645" s="16" t="s">
        <v>5494</v>
      </c>
      <c r="P645" s="16" t="s">
        <v>914</v>
      </c>
      <c r="Q645" s="16" t="s">
        <v>5494</v>
      </c>
      <c r="R645" s="16" t="s">
        <v>915</v>
      </c>
      <c r="S645" s="16" t="s">
        <v>915</v>
      </c>
      <c r="T645" s="16" t="s">
        <v>5495</v>
      </c>
      <c r="U645" s="16" t="s">
        <v>5496</v>
      </c>
      <c r="V645" s="16" t="s">
        <v>916</v>
      </c>
      <c r="W645" s="16" t="s">
        <v>5496</v>
      </c>
      <c r="X645" s="16" t="s">
        <v>934</v>
      </c>
      <c r="Y645" s="16" t="s">
        <v>934</v>
      </c>
      <c r="Z645" s="16" t="s">
        <v>935</v>
      </c>
      <c r="DA645" s="405" t="s">
        <v>5</v>
      </c>
      <c r="DB645" s="405" t="s">
        <v>363</v>
      </c>
      <c r="DC645" s="406" t="s">
        <v>85</v>
      </c>
      <c r="DD645" s="405" t="s">
        <v>917</v>
      </c>
      <c r="DE645" s="405" t="s">
        <v>5</v>
      </c>
      <c r="DF645" s="406" t="s">
        <v>85</v>
      </c>
      <c r="DG645" s="407">
        <v>45852</v>
      </c>
      <c r="DH645" s="405" t="s">
        <v>5777</v>
      </c>
      <c r="DI645" s="406">
        <v>465455</v>
      </c>
      <c r="DJ645" s="408">
        <v>5</v>
      </c>
      <c r="DK645" s="405">
        <v>1</v>
      </c>
      <c r="DL645" s="82">
        <v>312.52999999999997</v>
      </c>
      <c r="DM645" s="409">
        <v>1.5626499999999999</v>
      </c>
      <c r="DN645" s="82" t="s">
        <v>85</v>
      </c>
      <c r="DO645" s="82" t="s">
        <v>85</v>
      </c>
      <c r="DP645" s="410" t="s">
        <v>85</v>
      </c>
    </row>
    <row r="646" spans="1:120" x14ac:dyDescent="0.25">
      <c r="A646" s="16" t="s">
        <v>5780</v>
      </c>
      <c r="B646" s="16" t="s">
        <v>5781</v>
      </c>
      <c r="C646" s="16" t="s">
        <v>5782</v>
      </c>
      <c r="D646" s="16" t="s">
        <v>5686</v>
      </c>
      <c r="E646" s="16" t="s">
        <v>5783</v>
      </c>
      <c r="F646" s="16" t="s">
        <v>5784</v>
      </c>
      <c r="G646" s="16" t="s">
        <v>5785</v>
      </c>
      <c r="H646" s="16" t="s">
        <v>5786</v>
      </c>
      <c r="I646" s="16" t="s">
        <v>1737</v>
      </c>
      <c r="J646" s="16" t="s">
        <v>1123</v>
      </c>
      <c r="K646" s="16" t="s">
        <v>1738</v>
      </c>
      <c r="L646" s="16" t="s">
        <v>85</v>
      </c>
      <c r="M646" s="16" t="s">
        <v>5787</v>
      </c>
      <c r="N646" s="16" t="s">
        <v>914</v>
      </c>
      <c r="O646" s="16" t="s">
        <v>5788</v>
      </c>
      <c r="P646" s="16" t="s">
        <v>914</v>
      </c>
      <c r="Q646" s="16" t="s">
        <v>5788</v>
      </c>
      <c r="R646" s="16" t="s">
        <v>915</v>
      </c>
      <c r="S646" s="16" t="s">
        <v>915</v>
      </c>
      <c r="T646" s="16" t="s">
        <v>5787</v>
      </c>
      <c r="U646" s="16" t="s">
        <v>5789</v>
      </c>
      <c r="V646" s="16" t="s">
        <v>916</v>
      </c>
      <c r="W646" s="16" t="s">
        <v>5789</v>
      </c>
      <c r="X646" s="16" t="s">
        <v>934</v>
      </c>
      <c r="Y646" s="16" t="s">
        <v>934</v>
      </c>
      <c r="Z646" s="16" t="s">
        <v>935</v>
      </c>
      <c r="DA646" s="405" t="s">
        <v>5</v>
      </c>
      <c r="DB646" s="405" t="s">
        <v>363</v>
      </c>
      <c r="DC646" s="406" t="s">
        <v>85</v>
      </c>
      <c r="DD646" s="405" t="s">
        <v>917</v>
      </c>
      <c r="DE646" s="405" t="s">
        <v>5</v>
      </c>
      <c r="DF646" s="406" t="s">
        <v>85</v>
      </c>
      <c r="DG646" s="407">
        <v>45852</v>
      </c>
      <c r="DH646" s="405" t="s">
        <v>5783</v>
      </c>
      <c r="DI646" s="406">
        <v>465455</v>
      </c>
      <c r="DJ646" s="408">
        <v>5</v>
      </c>
      <c r="DK646" s="405">
        <v>1</v>
      </c>
      <c r="DL646" s="82">
        <v>344.84</v>
      </c>
      <c r="DM646" s="409">
        <v>1.7242</v>
      </c>
      <c r="DN646" s="82" t="s">
        <v>85</v>
      </c>
      <c r="DO646" s="82" t="s">
        <v>85</v>
      </c>
      <c r="DP646" s="410" t="s">
        <v>85</v>
      </c>
    </row>
    <row r="647" spans="1:120" x14ac:dyDescent="0.25">
      <c r="A647" s="16" t="s">
        <v>5790</v>
      </c>
      <c r="B647" s="16" t="s">
        <v>5791</v>
      </c>
      <c r="C647" s="16" t="s">
        <v>5792</v>
      </c>
      <c r="D647" s="16" t="s">
        <v>5686</v>
      </c>
      <c r="E647" s="16" t="s">
        <v>5793</v>
      </c>
      <c r="F647" s="16" t="s">
        <v>5794</v>
      </c>
      <c r="G647" s="16" t="s">
        <v>5795</v>
      </c>
      <c r="H647" s="16" t="s">
        <v>5794</v>
      </c>
      <c r="I647" s="16" t="s">
        <v>1929</v>
      </c>
      <c r="J647" s="16" t="s">
        <v>995</v>
      </c>
      <c r="K647" s="16" t="s">
        <v>1930</v>
      </c>
      <c r="L647" s="16" t="s">
        <v>85</v>
      </c>
      <c r="M647" s="16" t="s">
        <v>3840</v>
      </c>
      <c r="N647" s="16" t="s">
        <v>914</v>
      </c>
      <c r="O647" s="16" t="s">
        <v>3841</v>
      </c>
      <c r="P647" s="16" t="s">
        <v>914</v>
      </c>
      <c r="Q647" s="16" t="s">
        <v>3841</v>
      </c>
      <c r="R647" s="16" t="s">
        <v>915</v>
      </c>
      <c r="S647" s="16" t="s">
        <v>915</v>
      </c>
      <c r="T647" s="16" t="s">
        <v>3840</v>
      </c>
      <c r="U647" s="16" t="s">
        <v>3842</v>
      </c>
      <c r="V647" s="16" t="s">
        <v>916</v>
      </c>
      <c r="W647" s="16" t="s">
        <v>3842</v>
      </c>
      <c r="X647" s="16" t="s">
        <v>934</v>
      </c>
      <c r="Y647" s="16" t="s">
        <v>934</v>
      </c>
      <c r="Z647" s="16" t="s">
        <v>935</v>
      </c>
      <c r="DA647" s="405" t="s">
        <v>5</v>
      </c>
      <c r="DB647" s="405" t="s">
        <v>363</v>
      </c>
      <c r="DC647" s="406" t="s">
        <v>85</v>
      </c>
      <c r="DD647" s="405" t="s">
        <v>917</v>
      </c>
      <c r="DE647" s="405" t="s">
        <v>5</v>
      </c>
      <c r="DF647" s="406" t="s">
        <v>85</v>
      </c>
      <c r="DG647" s="407">
        <v>45852</v>
      </c>
      <c r="DH647" s="405" t="s">
        <v>5793</v>
      </c>
      <c r="DI647" s="406">
        <v>465455</v>
      </c>
      <c r="DJ647" s="408">
        <v>5</v>
      </c>
      <c r="DK647" s="405">
        <v>1</v>
      </c>
      <c r="DL647" s="82">
        <v>433.17</v>
      </c>
      <c r="DM647" s="409">
        <v>2.1658500000000003</v>
      </c>
      <c r="DN647" s="82" t="s">
        <v>85</v>
      </c>
      <c r="DO647" s="82" t="s">
        <v>85</v>
      </c>
      <c r="DP647" s="410" t="s">
        <v>85</v>
      </c>
    </row>
    <row r="648" spans="1:120" x14ac:dyDescent="0.25">
      <c r="A648" s="16" t="s">
        <v>5796</v>
      </c>
      <c r="B648" s="16" t="s">
        <v>5797</v>
      </c>
      <c r="C648" s="16" t="s">
        <v>5798</v>
      </c>
      <c r="D648" s="16" t="s">
        <v>5686</v>
      </c>
      <c r="E648" s="16" t="s">
        <v>5799</v>
      </c>
      <c r="F648" s="16" t="s">
        <v>5800</v>
      </c>
      <c r="G648" s="16" t="s">
        <v>5801</v>
      </c>
      <c r="H648" s="16" t="s">
        <v>5802</v>
      </c>
      <c r="I648" s="16" t="s">
        <v>1970</v>
      </c>
      <c r="J648" s="16" t="s">
        <v>995</v>
      </c>
      <c r="K648" s="16" t="s">
        <v>1971</v>
      </c>
      <c r="L648" s="16" t="s">
        <v>85</v>
      </c>
      <c r="M648" s="16" t="s">
        <v>1165</v>
      </c>
      <c r="N648" s="16" t="s">
        <v>914</v>
      </c>
      <c r="O648" s="16" t="s">
        <v>1166</v>
      </c>
      <c r="P648" s="16" t="s">
        <v>914</v>
      </c>
      <c r="Q648" s="16" t="s">
        <v>1166</v>
      </c>
      <c r="R648" s="16" t="s">
        <v>915</v>
      </c>
      <c r="S648" s="16" t="s">
        <v>915</v>
      </c>
      <c r="T648" s="16" t="s">
        <v>1167</v>
      </c>
      <c r="U648" s="16" t="s">
        <v>1168</v>
      </c>
      <c r="V648" s="16" t="s">
        <v>916</v>
      </c>
      <c r="W648" s="16" t="s">
        <v>1168</v>
      </c>
      <c r="X648" s="16" t="s">
        <v>934</v>
      </c>
      <c r="Y648" s="16" t="s">
        <v>934</v>
      </c>
      <c r="Z648" s="16" t="s">
        <v>935</v>
      </c>
      <c r="DA648" s="405" t="s">
        <v>5</v>
      </c>
      <c r="DB648" s="405" t="s">
        <v>363</v>
      </c>
      <c r="DC648" s="406" t="s">
        <v>85</v>
      </c>
      <c r="DD648" s="405" t="s">
        <v>917</v>
      </c>
      <c r="DE648" s="405" t="s">
        <v>5</v>
      </c>
      <c r="DF648" s="406" t="s">
        <v>85</v>
      </c>
      <c r="DG648" s="407">
        <v>45852</v>
      </c>
      <c r="DH648" s="405" t="s">
        <v>5799</v>
      </c>
      <c r="DI648" s="406">
        <v>465455</v>
      </c>
      <c r="DJ648" s="408">
        <v>5</v>
      </c>
      <c r="DK648" s="405">
        <v>1</v>
      </c>
      <c r="DL648" s="82">
        <v>468.28</v>
      </c>
      <c r="DM648" s="409">
        <v>2.3413999999999997</v>
      </c>
      <c r="DN648" s="82" t="s">
        <v>85</v>
      </c>
      <c r="DO648" s="82" t="s">
        <v>85</v>
      </c>
      <c r="DP648" s="410" t="s">
        <v>85</v>
      </c>
    </row>
    <row r="649" spans="1:120" x14ac:dyDescent="0.25">
      <c r="A649" s="16" t="s">
        <v>5803</v>
      </c>
      <c r="B649" s="16" t="s">
        <v>5804</v>
      </c>
      <c r="C649" s="16" t="s">
        <v>5805</v>
      </c>
      <c r="D649" s="16" t="s">
        <v>5686</v>
      </c>
      <c r="E649" s="16" t="s">
        <v>5806</v>
      </c>
      <c r="F649" s="16" t="s">
        <v>5807</v>
      </c>
      <c r="G649" s="16" t="s">
        <v>5808</v>
      </c>
      <c r="H649" s="16" t="s">
        <v>5807</v>
      </c>
      <c r="I649" s="16" t="s">
        <v>1278</v>
      </c>
      <c r="J649" s="16" t="s">
        <v>1109</v>
      </c>
      <c r="K649" s="16" t="s">
        <v>1279</v>
      </c>
      <c r="L649" s="16" t="s">
        <v>85</v>
      </c>
      <c r="M649" s="16" t="s">
        <v>5745</v>
      </c>
      <c r="N649" s="16" t="s">
        <v>914</v>
      </c>
      <c r="O649" s="16" t="s">
        <v>5746</v>
      </c>
      <c r="P649" s="16" t="s">
        <v>914</v>
      </c>
      <c r="Q649" s="16" t="s">
        <v>5746</v>
      </c>
      <c r="R649" s="16" t="s">
        <v>915</v>
      </c>
      <c r="S649" s="16" t="s">
        <v>915</v>
      </c>
      <c r="T649" s="16" t="s">
        <v>5747</v>
      </c>
      <c r="U649" s="16" t="s">
        <v>5748</v>
      </c>
      <c r="V649" s="16" t="s">
        <v>916</v>
      </c>
      <c r="W649" s="16" t="s">
        <v>5748</v>
      </c>
      <c r="X649" s="16" t="s">
        <v>934</v>
      </c>
      <c r="Y649" s="16" t="s">
        <v>934</v>
      </c>
      <c r="Z649" s="16" t="s">
        <v>935</v>
      </c>
      <c r="DA649" s="405" t="s">
        <v>5</v>
      </c>
      <c r="DB649" s="405" t="s">
        <v>363</v>
      </c>
      <c r="DC649" s="406" t="s">
        <v>85</v>
      </c>
      <c r="DD649" s="405" t="s">
        <v>917</v>
      </c>
      <c r="DE649" s="405" t="s">
        <v>5</v>
      </c>
      <c r="DF649" s="406" t="s">
        <v>85</v>
      </c>
      <c r="DG649" s="407">
        <v>45852</v>
      </c>
      <c r="DH649" s="405" t="s">
        <v>5806</v>
      </c>
      <c r="DI649" s="406">
        <v>465455</v>
      </c>
      <c r="DJ649" s="408">
        <v>5</v>
      </c>
      <c r="DK649" s="405">
        <v>1</v>
      </c>
      <c r="DL649" s="82">
        <v>558.54999999999995</v>
      </c>
      <c r="DM649" s="409">
        <v>2.7927499999999998</v>
      </c>
      <c r="DN649" s="82" t="s">
        <v>85</v>
      </c>
      <c r="DO649" s="82" t="s">
        <v>85</v>
      </c>
      <c r="DP649" s="410" t="s">
        <v>85</v>
      </c>
    </row>
    <row r="650" spans="1:120" x14ac:dyDescent="0.25">
      <c r="A650" s="16" t="s">
        <v>5809</v>
      </c>
      <c r="B650" s="16" t="s">
        <v>5810</v>
      </c>
      <c r="C650" s="16" t="s">
        <v>5811</v>
      </c>
      <c r="D650" s="16" t="s">
        <v>5686</v>
      </c>
      <c r="E650" s="16" t="s">
        <v>5812</v>
      </c>
      <c r="F650" s="16" t="s">
        <v>5813</v>
      </c>
      <c r="G650" s="16" t="s">
        <v>5814</v>
      </c>
      <c r="H650" s="16" t="s">
        <v>5813</v>
      </c>
      <c r="I650" s="16" t="s">
        <v>1108</v>
      </c>
      <c r="J650" s="16" t="s">
        <v>1109</v>
      </c>
      <c r="K650" s="16" t="s">
        <v>1110</v>
      </c>
      <c r="L650" s="16" t="s">
        <v>85</v>
      </c>
      <c r="M650" s="16" t="s">
        <v>5745</v>
      </c>
      <c r="N650" s="16" t="s">
        <v>914</v>
      </c>
      <c r="O650" s="16" t="s">
        <v>5746</v>
      </c>
      <c r="P650" s="16" t="s">
        <v>914</v>
      </c>
      <c r="Q650" s="16" t="s">
        <v>5746</v>
      </c>
      <c r="R650" s="16" t="s">
        <v>915</v>
      </c>
      <c r="S650" s="16" t="s">
        <v>915</v>
      </c>
      <c r="T650" s="16" t="s">
        <v>5747</v>
      </c>
      <c r="U650" s="16" t="s">
        <v>5748</v>
      </c>
      <c r="V650" s="16" t="s">
        <v>916</v>
      </c>
      <c r="W650" s="16" t="s">
        <v>5748</v>
      </c>
      <c r="X650" s="16" t="s">
        <v>934</v>
      </c>
      <c r="Y650" s="16" t="s">
        <v>934</v>
      </c>
      <c r="Z650" s="16" t="s">
        <v>935</v>
      </c>
      <c r="DA650" s="405" t="s">
        <v>5</v>
      </c>
      <c r="DB650" s="405" t="s">
        <v>363</v>
      </c>
      <c r="DC650" s="406" t="s">
        <v>85</v>
      </c>
      <c r="DD650" s="405" t="s">
        <v>917</v>
      </c>
      <c r="DE650" s="405" t="s">
        <v>5</v>
      </c>
      <c r="DF650" s="406" t="s">
        <v>85</v>
      </c>
      <c r="DG650" s="407">
        <v>45852</v>
      </c>
      <c r="DH650" s="405" t="s">
        <v>5812</v>
      </c>
      <c r="DI650" s="406">
        <v>465455</v>
      </c>
      <c r="DJ650" s="408">
        <v>5</v>
      </c>
      <c r="DK650" s="405">
        <v>1</v>
      </c>
      <c r="DL650" s="82">
        <v>558.54999999999995</v>
      </c>
      <c r="DM650" s="409">
        <v>2.7927499999999998</v>
      </c>
      <c r="DN650" s="82" t="s">
        <v>85</v>
      </c>
      <c r="DO650" s="82" t="s">
        <v>85</v>
      </c>
      <c r="DP650" s="410" t="s">
        <v>85</v>
      </c>
    </row>
    <row r="651" spans="1:120" x14ac:dyDescent="0.25">
      <c r="A651" s="16" t="s">
        <v>5815</v>
      </c>
      <c r="B651" s="16" t="s">
        <v>5816</v>
      </c>
      <c r="C651" s="16" t="s">
        <v>5817</v>
      </c>
      <c r="D651" s="16" t="s">
        <v>5686</v>
      </c>
      <c r="E651" s="16" t="s">
        <v>5818</v>
      </c>
      <c r="F651" s="16" t="s">
        <v>5819</v>
      </c>
      <c r="G651" s="16" t="s">
        <v>5820</v>
      </c>
      <c r="H651" s="16" t="s">
        <v>5821</v>
      </c>
      <c r="I651" s="16" t="s">
        <v>5822</v>
      </c>
      <c r="J651" s="16" t="s">
        <v>1354</v>
      </c>
      <c r="K651" s="16" t="s">
        <v>5823</v>
      </c>
      <c r="L651" s="16" t="s">
        <v>85</v>
      </c>
      <c r="M651" s="16" t="s">
        <v>945</v>
      </c>
      <c r="N651" s="16" t="s">
        <v>914</v>
      </c>
      <c r="O651" s="16" t="s">
        <v>946</v>
      </c>
      <c r="P651" s="16" t="s">
        <v>914</v>
      </c>
      <c r="Q651" s="16" t="s">
        <v>946</v>
      </c>
      <c r="R651" s="16" t="s">
        <v>915</v>
      </c>
      <c r="S651" s="16" t="s">
        <v>915</v>
      </c>
      <c r="T651" s="16" t="s">
        <v>945</v>
      </c>
      <c r="U651" s="16" t="s">
        <v>947</v>
      </c>
      <c r="V651" s="16" t="s">
        <v>916</v>
      </c>
      <c r="W651" s="16" t="s">
        <v>947</v>
      </c>
      <c r="X651" s="16" t="s">
        <v>934</v>
      </c>
      <c r="Y651" s="16" t="s">
        <v>934</v>
      </c>
      <c r="Z651" s="16" t="s">
        <v>935</v>
      </c>
      <c r="DA651" s="405" t="s">
        <v>5</v>
      </c>
      <c r="DB651" s="405" t="s">
        <v>363</v>
      </c>
      <c r="DC651" s="406" t="s">
        <v>85</v>
      </c>
      <c r="DD651" s="405" t="s">
        <v>917</v>
      </c>
      <c r="DE651" s="405" t="s">
        <v>5</v>
      </c>
      <c r="DF651" s="406" t="s">
        <v>85</v>
      </c>
      <c r="DG651" s="407">
        <v>45852</v>
      </c>
      <c r="DH651" s="405" t="s">
        <v>5818</v>
      </c>
      <c r="DI651" s="406">
        <v>465455</v>
      </c>
      <c r="DJ651" s="408">
        <v>5</v>
      </c>
      <c r="DK651" s="405">
        <v>1</v>
      </c>
      <c r="DL651" s="82">
        <v>319.27</v>
      </c>
      <c r="DM651" s="409">
        <v>1.5963499999999999</v>
      </c>
      <c r="DN651" s="82" t="s">
        <v>85</v>
      </c>
      <c r="DO651" s="82" t="s">
        <v>85</v>
      </c>
      <c r="DP651" s="410" t="s">
        <v>85</v>
      </c>
    </row>
    <row r="652" spans="1:120" x14ac:dyDescent="0.25">
      <c r="A652" s="16" t="s">
        <v>5815</v>
      </c>
      <c r="B652" s="16" t="s">
        <v>5816</v>
      </c>
      <c r="C652" s="16" t="s">
        <v>5817</v>
      </c>
      <c r="D652" s="16" t="s">
        <v>5686</v>
      </c>
      <c r="E652" s="16" t="s">
        <v>5818</v>
      </c>
      <c r="F652" s="16" t="s">
        <v>5819</v>
      </c>
      <c r="G652" s="16" t="s">
        <v>5820</v>
      </c>
      <c r="H652" s="16" t="s">
        <v>5821</v>
      </c>
      <c r="I652" s="16" t="s">
        <v>4159</v>
      </c>
      <c r="J652" s="16" t="s">
        <v>1354</v>
      </c>
      <c r="K652" s="16" t="s">
        <v>4160</v>
      </c>
      <c r="L652" s="16" t="s">
        <v>85</v>
      </c>
      <c r="M652" s="16" t="s">
        <v>945</v>
      </c>
      <c r="N652" s="16" t="s">
        <v>914</v>
      </c>
      <c r="O652" s="16" t="s">
        <v>946</v>
      </c>
      <c r="P652" s="16" t="s">
        <v>914</v>
      </c>
      <c r="Q652" s="16" t="s">
        <v>946</v>
      </c>
      <c r="R652" s="16" t="s">
        <v>915</v>
      </c>
      <c r="S652" s="16" t="s">
        <v>915</v>
      </c>
      <c r="T652" s="16" t="s">
        <v>945</v>
      </c>
      <c r="U652" s="16" t="s">
        <v>947</v>
      </c>
      <c r="V652" s="16" t="s">
        <v>916</v>
      </c>
      <c r="W652" s="16" t="s">
        <v>947</v>
      </c>
      <c r="X652" s="16" t="s">
        <v>934</v>
      </c>
      <c r="Y652" s="16" t="s">
        <v>934</v>
      </c>
      <c r="Z652" s="16" t="s">
        <v>935</v>
      </c>
      <c r="DA652" s="405" t="s">
        <v>5</v>
      </c>
      <c r="DB652" s="405" t="s">
        <v>363</v>
      </c>
      <c r="DC652" s="406" t="s">
        <v>85</v>
      </c>
      <c r="DD652" s="405" t="s">
        <v>917</v>
      </c>
      <c r="DE652" s="405" t="s">
        <v>5</v>
      </c>
      <c r="DF652" s="406" t="s">
        <v>85</v>
      </c>
      <c r="DG652" s="407">
        <v>45852</v>
      </c>
      <c r="DH652" s="405" t="s">
        <v>5818</v>
      </c>
      <c r="DI652" s="406">
        <v>465455</v>
      </c>
      <c r="DJ652" s="408">
        <v>5</v>
      </c>
      <c r="DK652" s="405">
        <v>1</v>
      </c>
      <c r="DL652" s="82">
        <v>319.27</v>
      </c>
      <c r="DM652" s="409">
        <v>1.5963499999999999</v>
      </c>
      <c r="DN652" s="82" t="s">
        <v>85</v>
      </c>
      <c r="DO652" s="82" t="s">
        <v>85</v>
      </c>
      <c r="DP652" s="410" t="s">
        <v>85</v>
      </c>
    </row>
    <row r="653" spans="1:120" x14ac:dyDescent="0.25">
      <c r="A653" s="16" t="s">
        <v>5824</v>
      </c>
      <c r="B653" s="16" t="s">
        <v>5825</v>
      </c>
      <c r="C653" s="16" t="s">
        <v>5826</v>
      </c>
      <c r="D653" s="16" t="s">
        <v>5686</v>
      </c>
      <c r="E653" s="16" t="s">
        <v>5827</v>
      </c>
      <c r="F653" s="16" t="s">
        <v>5828</v>
      </c>
      <c r="G653" s="16" t="s">
        <v>5829</v>
      </c>
      <c r="H653" s="16" t="s">
        <v>5830</v>
      </c>
      <c r="I653" s="16" t="s">
        <v>1970</v>
      </c>
      <c r="J653" s="16" t="s">
        <v>995</v>
      </c>
      <c r="K653" s="16" t="s">
        <v>1971</v>
      </c>
      <c r="L653" s="16" t="s">
        <v>85</v>
      </c>
      <c r="M653" s="16" t="s">
        <v>1165</v>
      </c>
      <c r="N653" s="16" t="s">
        <v>914</v>
      </c>
      <c r="O653" s="16" t="s">
        <v>1166</v>
      </c>
      <c r="P653" s="16" t="s">
        <v>914</v>
      </c>
      <c r="Q653" s="16" t="s">
        <v>1166</v>
      </c>
      <c r="R653" s="16" t="s">
        <v>915</v>
      </c>
      <c r="S653" s="16" t="s">
        <v>915</v>
      </c>
      <c r="T653" s="16" t="s">
        <v>1167</v>
      </c>
      <c r="U653" s="16" t="s">
        <v>1168</v>
      </c>
      <c r="V653" s="16" t="s">
        <v>916</v>
      </c>
      <c r="W653" s="16" t="s">
        <v>1168</v>
      </c>
      <c r="X653" s="16" t="s">
        <v>934</v>
      </c>
      <c r="Y653" s="16" t="s">
        <v>934</v>
      </c>
      <c r="Z653" s="16" t="s">
        <v>935</v>
      </c>
      <c r="DA653" s="405" t="s">
        <v>5</v>
      </c>
      <c r="DB653" s="405" t="s">
        <v>363</v>
      </c>
      <c r="DC653" s="406" t="s">
        <v>85</v>
      </c>
      <c r="DD653" s="405" t="s">
        <v>917</v>
      </c>
      <c r="DE653" s="405" t="s">
        <v>5</v>
      </c>
      <c r="DF653" s="406" t="s">
        <v>85</v>
      </c>
      <c r="DG653" s="407">
        <v>45852</v>
      </c>
      <c r="DH653" s="405" t="s">
        <v>5827</v>
      </c>
      <c r="DI653" s="406">
        <v>465455</v>
      </c>
      <c r="DJ653" s="408">
        <v>5</v>
      </c>
      <c r="DK653" s="405">
        <v>1</v>
      </c>
      <c r="DL653" s="82">
        <v>468.28</v>
      </c>
      <c r="DM653" s="409">
        <v>2.3413999999999997</v>
      </c>
      <c r="DN653" s="82" t="s">
        <v>85</v>
      </c>
      <c r="DO653" s="82" t="s">
        <v>85</v>
      </c>
      <c r="DP653" s="410" t="s">
        <v>85</v>
      </c>
    </row>
    <row r="654" spans="1:120" x14ac:dyDescent="0.25">
      <c r="A654" s="16" t="s">
        <v>5831</v>
      </c>
      <c r="B654" s="16" t="s">
        <v>5832</v>
      </c>
      <c r="C654" s="16" t="s">
        <v>5833</v>
      </c>
      <c r="D654" s="16" t="s">
        <v>5686</v>
      </c>
      <c r="E654" s="16" t="s">
        <v>5834</v>
      </c>
      <c r="F654" s="16" t="s">
        <v>5835</v>
      </c>
      <c r="G654" s="16" t="s">
        <v>5836</v>
      </c>
      <c r="H654" s="16" t="s">
        <v>5837</v>
      </c>
      <c r="I654" s="16" t="s">
        <v>1456</v>
      </c>
      <c r="J654" s="16" t="s">
        <v>928</v>
      </c>
      <c r="K654" s="16" t="s">
        <v>1457</v>
      </c>
      <c r="L654" s="16" t="s">
        <v>85</v>
      </c>
      <c r="M654" s="16" t="s">
        <v>1322</v>
      </c>
      <c r="N654" s="16" t="s">
        <v>914</v>
      </c>
      <c r="O654" s="16" t="s">
        <v>1323</v>
      </c>
      <c r="P654" s="16" t="s">
        <v>914</v>
      </c>
      <c r="Q654" s="16" t="s">
        <v>1323</v>
      </c>
      <c r="R654" s="16" t="s">
        <v>915</v>
      </c>
      <c r="S654" s="16" t="s">
        <v>915</v>
      </c>
      <c r="T654" s="16" t="s">
        <v>1322</v>
      </c>
      <c r="U654" s="16" t="s">
        <v>1324</v>
      </c>
      <c r="V654" s="16" t="s">
        <v>916</v>
      </c>
      <c r="W654" s="16" t="s">
        <v>1324</v>
      </c>
      <c r="X654" s="16" t="s">
        <v>934</v>
      </c>
      <c r="Y654" s="16" t="s">
        <v>934</v>
      </c>
      <c r="Z654" s="16" t="s">
        <v>935</v>
      </c>
      <c r="DA654" s="405" t="s">
        <v>5</v>
      </c>
      <c r="DB654" s="405" t="s">
        <v>363</v>
      </c>
      <c r="DC654" s="406" t="s">
        <v>85</v>
      </c>
      <c r="DD654" s="405" t="s">
        <v>917</v>
      </c>
      <c r="DE654" s="405" t="s">
        <v>5</v>
      </c>
      <c r="DF654" s="406" t="s">
        <v>85</v>
      </c>
      <c r="DG654" s="407">
        <v>45852</v>
      </c>
      <c r="DH654" s="405" t="s">
        <v>5834</v>
      </c>
      <c r="DI654" s="406">
        <v>465455</v>
      </c>
      <c r="DJ654" s="408">
        <v>5</v>
      </c>
      <c r="DK654" s="405">
        <v>1</v>
      </c>
      <c r="DL654" s="82">
        <v>332.47</v>
      </c>
      <c r="DM654" s="409">
        <v>1.6623500000000002</v>
      </c>
      <c r="DN654" s="82" t="s">
        <v>85</v>
      </c>
      <c r="DO654" s="82" t="s">
        <v>85</v>
      </c>
      <c r="DP654" s="410" t="s">
        <v>85</v>
      </c>
    </row>
    <row r="655" spans="1:120" x14ac:dyDescent="0.25">
      <c r="A655" s="16" t="s">
        <v>5838</v>
      </c>
      <c r="B655" s="16" t="s">
        <v>5839</v>
      </c>
      <c r="C655" s="16" t="s">
        <v>5840</v>
      </c>
      <c r="D655" s="16" t="s">
        <v>5686</v>
      </c>
      <c r="E655" s="16" t="s">
        <v>5841</v>
      </c>
      <c r="F655" s="16" t="s">
        <v>5842</v>
      </c>
      <c r="G655" s="16" t="s">
        <v>5843</v>
      </c>
      <c r="H655" s="16" t="s">
        <v>5844</v>
      </c>
      <c r="I655" s="16" t="s">
        <v>3998</v>
      </c>
      <c r="J655" s="16" t="s">
        <v>956</v>
      </c>
      <c r="K655" s="16" t="s">
        <v>3999</v>
      </c>
      <c r="L655" s="16" t="s">
        <v>85</v>
      </c>
      <c r="M655" s="16" t="s">
        <v>1396</v>
      </c>
      <c r="N655" s="16" t="s">
        <v>914</v>
      </c>
      <c r="O655" s="16" t="s">
        <v>1397</v>
      </c>
      <c r="P655" s="16" t="s">
        <v>914</v>
      </c>
      <c r="Q655" s="16" t="s">
        <v>1397</v>
      </c>
      <c r="R655" s="16" t="s">
        <v>915</v>
      </c>
      <c r="S655" s="16" t="s">
        <v>915</v>
      </c>
      <c r="T655" s="16" t="s">
        <v>1396</v>
      </c>
      <c r="U655" s="16" t="s">
        <v>1398</v>
      </c>
      <c r="V655" s="16" t="s">
        <v>916</v>
      </c>
      <c r="W655" s="16" t="s">
        <v>1398</v>
      </c>
      <c r="X655" s="16" t="s">
        <v>934</v>
      </c>
      <c r="Y655" s="16" t="s">
        <v>934</v>
      </c>
      <c r="Z655" s="16" t="s">
        <v>935</v>
      </c>
      <c r="DA655" s="405" t="s">
        <v>5</v>
      </c>
      <c r="DB655" s="405" t="s">
        <v>363</v>
      </c>
      <c r="DC655" s="406" t="s">
        <v>85</v>
      </c>
      <c r="DD655" s="405" t="s">
        <v>917</v>
      </c>
      <c r="DE655" s="405" t="s">
        <v>5</v>
      </c>
      <c r="DF655" s="406" t="s">
        <v>85</v>
      </c>
      <c r="DG655" s="407">
        <v>45852</v>
      </c>
      <c r="DH655" s="405" t="s">
        <v>5841</v>
      </c>
      <c r="DI655" s="406">
        <v>465455</v>
      </c>
      <c r="DJ655" s="408">
        <v>5</v>
      </c>
      <c r="DK655" s="405">
        <v>1</v>
      </c>
      <c r="DL655" s="82">
        <v>265.92</v>
      </c>
      <c r="DM655" s="409">
        <v>1.3296000000000001</v>
      </c>
      <c r="DN655" s="82" t="s">
        <v>85</v>
      </c>
      <c r="DO655" s="82" t="s">
        <v>85</v>
      </c>
      <c r="DP655" s="410" t="s">
        <v>85</v>
      </c>
    </row>
    <row r="656" spans="1:120" x14ac:dyDescent="0.25">
      <c r="A656" s="16" t="s">
        <v>5845</v>
      </c>
      <c r="B656" s="16" t="s">
        <v>5846</v>
      </c>
      <c r="C656" s="16" t="s">
        <v>5847</v>
      </c>
      <c r="D656" s="16" t="s">
        <v>5686</v>
      </c>
      <c r="E656" s="16" t="s">
        <v>5848</v>
      </c>
      <c r="F656" s="16" t="s">
        <v>5849</v>
      </c>
      <c r="G656" s="16" t="s">
        <v>5850</v>
      </c>
      <c r="H656" s="16" t="s">
        <v>5851</v>
      </c>
      <c r="I656" s="16" t="s">
        <v>1386</v>
      </c>
      <c r="J656" s="16" t="s">
        <v>1109</v>
      </c>
      <c r="K656" s="16" t="s">
        <v>1387</v>
      </c>
      <c r="L656" s="16" t="s">
        <v>85</v>
      </c>
      <c r="M656" s="16" t="s">
        <v>1311</v>
      </c>
      <c r="N656" s="16" t="s">
        <v>914</v>
      </c>
      <c r="O656" s="16" t="s">
        <v>1312</v>
      </c>
      <c r="P656" s="16" t="s">
        <v>914</v>
      </c>
      <c r="Q656" s="16" t="s">
        <v>1312</v>
      </c>
      <c r="R656" s="16" t="s">
        <v>915</v>
      </c>
      <c r="S656" s="16" t="s">
        <v>915</v>
      </c>
      <c r="T656" s="16" t="s">
        <v>1311</v>
      </c>
      <c r="U656" s="16" t="s">
        <v>1313</v>
      </c>
      <c r="V656" s="16" t="s">
        <v>916</v>
      </c>
      <c r="W656" s="16" t="s">
        <v>1313</v>
      </c>
      <c r="X656" s="16" t="s">
        <v>934</v>
      </c>
      <c r="Y656" s="16" t="s">
        <v>934</v>
      </c>
      <c r="Z656" s="16" t="s">
        <v>935</v>
      </c>
      <c r="DA656" s="405" t="s">
        <v>5</v>
      </c>
      <c r="DB656" s="405" t="s">
        <v>363</v>
      </c>
      <c r="DC656" s="406" t="s">
        <v>85</v>
      </c>
      <c r="DD656" s="405" t="s">
        <v>917</v>
      </c>
      <c r="DE656" s="405" t="s">
        <v>5</v>
      </c>
      <c r="DF656" s="406" t="s">
        <v>85</v>
      </c>
      <c r="DG656" s="407">
        <v>45852</v>
      </c>
      <c r="DH656" s="405" t="s">
        <v>5848</v>
      </c>
      <c r="DI656" s="406">
        <v>465455</v>
      </c>
      <c r="DJ656" s="408">
        <v>5</v>
      </c>
      <c r="DK656" s="405">
        <v>1</v>
      </c>
      <c r="DL656" s="82">
        <v>531.54</v>
      </c>
      <c r="DM656" s="409">
        <v>2.6576999999999997</v>
      </c>
      <c r="DN656" s="82" t="s">
        <v>85</v>
      </c>
      <c r="DO656" s="82" t="s">
        <v>85</v>
      </c>
      <c r="DP656" s="410" t="s">
        <v>85</v>
      </c>
    </row>
    <row r="657" spans="1:120" x14ac:dyDescent="0.25">
      <c r="A657" s="16" t="s">
        <v>5852</v>
      </c>
      <c r="B657" s="16" t="s">
        <v>5853</v>
      </c>
      <c r="C657" s="16" t="s">
        <v>5854</v>
      </c>
      <c r="D657" s="16" t="s">
        <v>5686</v>
      </c>
      <c r="E657" s="16" t="s">
        <v>5855</v>
      </c>
      <c r="F657" s="16" t="s">
        <v>5856</v>
      </c>
      <c r="G657" s="16" t="s">
        <v>5857</v>
      </c>
      <c r="H657" s="16" t="s">
        <v>5858</v>
      </c>
      <c r="I657" s="16" t="s">
        <v>1090</v>
      </c>
      <c r="J657" s="16" t="s">
        <v>943</v>
      </c>
      <c r="K657" s="16" t="s">
        <v>1091</v>
      </c>
      <c r="L657" s="16" t="s">
        <v>85</v>
      </c>
      <c r="M657" s="16" t="s">
        <v>984</v>
      </c>
      <c r="N657" s="16" t="s">
        <v>914</v>
      </c>
      <c r="O657" s="16" t="s">
        <v>985</v>
      </c>
      <c r="P657" s="16" t="s">
        <v>914</v>
      </c>
      <c r="Q657" s="16" t="s">
        <v>985</v>
      </c>
      <c r="R657" s="16" t="s">
        <v>915</v>
      </c>
      <c r="S657" s="16" t="s">
        <v>915</v>
      </c>
      <c r="T657" s="16" t="s">
        <v>986</v>
      </c>
      <c r="U657" s="16" t="s">
        <v>987</v>
      </c>
      <c r="V657" s="16" t="s">
        <v>916</v>
      </c>
      <c r="W657" s="16" t="s">
        <v>987</v>
      </c>
      <c r="X657" s="16" t="s">
        <v>934</v>
      </c>
      <c r="Y657" s="16" t="s">
        <v>934</v>
      </c>
      <c r="Z657" s="16" t="s">
        <v>935</v>
      </c>
      <c r="DA657" s="405" t="s">
        <v>5</v>
      </c>
      <c r="DB657" s="405" t="s">
        <v>363</v>
      </c>
      <c r="DC657" s="406" t="s">
        <v>85</v>
      </c>
      <c r="DD657" s="405" t="s">
        <v>917</v>
      </c>
      <c r="DE657" s="405" t="s">
        <v>5</v>
      </c>
      <c r="DF657" s="406" t="s">
        <v>85</v>
      </c>
      <c r="DG657" s="407">
        <v>45852</v>
      </c>
      <c r="DH657" s="405" t="s">
        <v>5855</v>
      </c>
      <c r="DI657" s="406">
        <v>465455</v>
      </c>
      <c r="DJ657" s="408">
        <v>5</v>
      </c>
      <c r="DK657" s="405">
        <v>1</v>
      </c>
      <c r="DL657" s="82">
        <v>340.55</v>
      </c>
      <c r="DM657" s="409">
        <v>1.70275</v>
      </c>
      <c r="DN657" s="82" t="s">
        <v>85</v>
      </c>
      <c r="DO657" s="82" t="s">
        <v>85</v>
      </c>
      <c r="DP657" s="410" t="s">
        <v>85</v>
      </c>
    </row>
    <row r="658" spans="1:120" x14ac:dyDescent="0.25">
      <c r="A658" s="16" t="s">
        <v>5859</v>
      </c>
      <c r="B658" s="16" t="s">
        <v>5860</v>
      </c>
      <c r="C658" s="16" t="s">
        <v>5861</v>
      </c>
      <c r="D658" s="16" t="s">
        <v>5686</v>
      </c>
      <c r="E658" s="16" t="s">
        <v>5862</v>
      </c>
      <c r="F658" s="16" t="s">
        <v>5863</v>
      </c>
      <c r="G658" s="16" t="s">
        <v>5864</v>
      </c>
      <c r="H658" s="16" t="s">
        <v>5865</v>
      </c>
      <c r="I658" s="16" t="s">
        <v>1287</v>
      </c>
      <c r="J658" s="16" t="s">
        <v>943</v>
      </c>
      <c r="K658" s="16" t="s">
        <v>1288</v>
      </c>
      <c r="L658" s="16" t="s">
        <v>85</v>
      </c>
      <c r="M658" s="16" t="s">
        <v>984</v>
      </c>
      <c r="N658" s="16" t="s">
        <v>914</v>
      </c>
      <c r="O658" s="16" t="s">
        <v>985</v>
      </c>
      <c r="P658" s="16" t="s">
        <v>914</v>
      </c>
      <c r="Q658" s="16" t="s">
        <v>985</v>
      </c>
      <c r="R658" s="16" t="s">
        <v>915</v>
      </c>
      <c r="S658" s="16" t="s">
        <v>915</v>
      </c>
      <c r="T658" s="16" t="s">
        <v>986</v>
      </c>
      <c r="U658" s="16" t="s">
        <v>987</v>
      </c>
      <c r="V658" s="16" t="s">
        <v>916</v>
      </c>
      <c r="W658" s="16" t="s">
        <v>987</v>
      </c>
      <c r="X658" s="16" t="s">
        <v>934</v>
      </c>
      <c r="Y658" s="16" t="s">
        <v>934</v>
      </c>
      <c r="Z658" s="16" t="s">
        <v>935</v>
      </c>
      <c r="DA658" s="405" t="s">
        <v>5</v>
      </c>
      <c r="DB658" s="405" t="s">
        <v>363</v>
      </c>
      <c r="DC658" s="406" t="s">
        <v>85</v>
      </c>
      <c r="DD658" s="405" t="s">
        <v>917</v>
      </c>
      <c r="DE658" s="405" t="s">
        <v>5</v>
      </c>
      <c r="DF658" s="406" t="s">
        <v>85</v>
      </c>
      <c r="DG658" s="407">
        <v>45852</v>
      </c>
      <c r="DH658" s="405" t="s">
        <v>5862</v>
      </c>
      <c r="DI658" s="406">
        <v>465455</v>
      </c>
      <c r="DJ658" s="408">
        <v>5</v>
      </c>
      <c r="DK658" s="405">
        <v>1</v>
      </c>
      <c r="DL658" s="82">
        <v>340.55</v>
      </c>
      <c r="DM658" s="409">
        <v>1.70275</v>
      </c>
      <c r="DN658" s="82" t="s">
        <v>85</v>
      </c>
      <c r="DO658" s="82" t="s">
        <v>85</v>
      </c>
      <c r="DP658" s="410" t="s">
        <v>85</v>
      </c>
    </row>
    <row r="659" spans="1:120" x14ac:dyDescent="0.25">
      <c r="A659" s="16" t="s">
        <v>5866</v>
      </c>
      <c r="B659" s="16" t="s">
        <v>5867</v>
      </c>
      <c r="C659" s="16" t="s">
        <v>5868</v>
      </c>
      <c r="D659" s="16" t="s">
        <v>5686</v>
      </c>
      <c r="E659" s="16" t="s">
        <v>5869</v>
      </c>
      <c r="F659" s="16" t="s">
        <v>5870</v>
      </c>
      <c r="G659" s="16" t="s">
        <v>5871</v>
      </c>
      <c r="H659" s="16" t="s">
        <v>5872</v>
      </c>
      <c r="I659" s="16" t="s">
        <v>2974</v>
      </c>
      <c r="J659" s="16" t="s">
        <v>1123</v>
      </c>
      <c r="K659" s="16" t="s">
        <v>2975</v>
      </c>
      <c r="L659" s="16" t="s">
        <v>85</v>
      </c>
      <c r="M659" s="16" t="s">
        <v>1238</v>
      </c>
      <c r="N659" s="16" t="s">
        <v>914</v>
      </c>
      <c r="O659" s="16" t="s">
        <v>1239</v>
      </c>
      <c r="P659" s="16" t="s">
        <v>914</v>
      </c>
      <c r="Q659" s="16" t="s">
        <v>1239</v>
      </c>
      <c r="R659" s="16" t="s">
        <v>915</v>
      </c>
      <c r="S659" s="16" t="s">
        <v>915</v>
      </c>
      <c r="T659" s="16" t="s">
        <v>1238</v>
      </c>
      <c r="U659" s="16" t="s">
        <v>1240</v>
      </c>
      <c r="V659" s="16" t="s">
        <v>916</v>
      </c>
      <c r="W659" s="16" t="s">
        <v>1240</v>
      </c>
      <c r="X659" s="16" t="s">
        <v>934</v>
      </c>
      <c r="Y659" s="16" t="s">
        <v>934</v>
      </c>
      <c r="Z659" s="16" t="s">
        <v>935</v>
      </c>
      <c r="DA659" s="405" t="s">
        <v>5</v>
      </c>
      <c r="DB659" s="405" t="s">
        <v>363</v>
      </c>
      <c r="DC659" s="406" t="s">
        <v>85</v>
      </c>
      <c r="DD659" s="405" t="s">
        <v>917</v>
      </c>
      <c r="DE659" s="405" t="s">
        <v>5</v>
      </c>
      <c r="DF659" s="406" t="s">
        <v>85</v>
      </c>
      <c r="DG659" s="407">
        <v>45852</v>
      </c>
      <c r="DH659" s="405" t="s">
        <v>5869</v>
      </c>
      <c r="DI659" s="406">
        <v>465455</v>
      </c>
      <c r="DJ659" s="408">
        <v>5</v>
      </c>
      <c r="DK659" s="405">
        <v>1</v>
      </c>
      <c r="DL659" s="82">
        <v>383.16</v>
      </c>
      <c r="DM659" s="409">
        <v>1.9158000000000002</v>
      </c>
      <c r="DN659" s="82" t="s">
        <v>85</v>
      </c>
      <c r="DO659" s="82" t="s">
        <v>85</v>
      </c>
      <c r="DP659" s="410" t="s">
        <v>85</v>
      </c>
    </row>
    <row r="660" spans="1:120" x14ac:dyDescent="0.25">
      <c r="A660" s="16" t="s">
        <v>5866</v>
      </c>
      <c r="B660" s="16" t="s">
        <v>5867</v>
      </c>
      <c r="C660" s="16" t="s">
        <v>5868</v>
      </c>
      <c r="D660" s="16" t="s">
        <v>5686</v>
      </c>
      <c r="E660" s="16" t="s">
        <v>5869</v>
      </c>
      <c r="F660" s="16" t="s">
        <v>5870</v>
      </c>
      <c r="G660" s="16" t="s">
        <v>5871</v>
      </c>
      <c r="H660" s="16" t="s">
        <v>5872</v>
      </c>
      <c r="I660" s="16" t="s">
        <v>4377</v>
      </c>
      <c r="J660" s="16" t="s">
        <v>1123</v>
      </c>
      <c r="K660" s="16" t="s">
        <v>4378</v>
      </c>
      <c r="L660" s="16" t="s">
        <v>85</v>
      </c>
      <c r="M660" s="16" t="s">
        <v>1238</v>
      </c>
      <c r="N660" s="16" t="s">
        <v>914</v>
      </c>
      <c r="O660" s="16" t="s">
        <v>1239</v>
      </c>
      <c r="P660" s="16" t="s">
        <v>914</v>
      </c>
      <c r="Q660" s="16" t="s">
        <v>1239</v>
      </c>
      <c r="R660" s="16" t="s">
        <v>915</v>
      </c>
      <c r="S660" s="16" t="s">
        <v>915</v>
      </c>
      <c r="T660" s="16" t="s">
        <v>1238</v>
      </c>
      <c r="U660" s="16" t="s">
        <v>1240</v>
      </c>
      <c r="V660" s="16" t="s">
        <v>916</v>
      </c>
      <c r="W660" s="16" t="s">
        <v>1240</v>
      </c>
      <c r="X660" s="16" t="s">
        <v>934</v>
      </c>
      <c r="Y660" s="16" t="s">
        <v>934</v>
      </c>
      <c r="Z660" s="16" t="s">
        <v>935</v>
      </c>
      <c r="DA660" s="405" t="s">
        <v>5</v>
      </c>
      <c r="DB660" s="405" t="s">
        <v>363</v>
      </c>
      <c r="DC660" s="406" t="s">
        <v>85</v>
      </c>
      <c r="DD660" s="405" t="s">
        <v>917</v>
      </c>
      <c r="DE660" s="405" t="s">
        <v>5</v>
      </c>
      <c r="DF660" s="406" t="s">
        <v>85</v>
      </c>
      <c r="DG660" s="407">
        <v>45852</v>
      </c>
      <c r="DH660" s="405" t="s">
        <v>5869</v>
      </c>
      <c r="DI660" s="406">
        <v>465455</v>
      </c>
      <c r="DJ660" s="408">
        <v>5</v>
      </c>
      <c r="DK660" s="405">
        <v>1</v>
      </c>
      <c r="DL660" s="82">
        <v>383.16</v>
      </c>
      <c r="DM660" s="409">
        <v>1.9158000000000002</v>
      </c>
      <c r="DN660" s="82" t="s">
        <v>85</v>
      </c>
      <c r="DO660" s="82" t="s">
        <v>85</v>
      </c>
      <c r="DP660" s="410" t="s">
        <v>85</v>
      </c>
    </row>
    <row r="661" spans="1:120" x14ac:dyDescent="0.25">
      <c r="A661" s="16" t="s">
        <v>5873</v>
      </c>
      <c r="B661" s="16" t="s">
        <v>5874</v>
      </c>
      <c r="C661" s="16" t="s">
        <v>5875</v>
      </c>
      <c r="D661" s="16" t="s">
        <v>5686</v>
      </c>
      <c r="E661" s="16" t="s">
        <v>5876</v>
      </c>
      <c r="F661" s="16" t="s">
        <v>5877</v>
      </c>
      <c r="G661" s="16" t="s">
        <v>5878</v>
      </c>
      <c r="H661" s="16" t="s">
        <v>5879</v>
      </c>
      <c r="I661" s="16" t="s">
        <v>3224</v>
      </c>
      <c r="J661" s="16" t="s">
        <v>928</v>
      </c>
      <c r="K661" s="16" t="s">
        <v>3225</v>
      </c>
      <c r="L661" s="16" t="s">
        <v>85</v>
      </c>
      <c r="M661" s="16" t="s">
        <v>1322</v>
      </c>
      <c r="N661" s="16" t="s">
        <v>914</v>
      </c>
      <c r="O661" s="16" t="s">
        <v>1323</v>
      </c>
      <c r="P661" s="16" t="s">
        <v>914</v>
      </c>
      <c r="Q661" s="16" t="s">
        <v>1323</v>
      </c>
      <c r="R661" s="16" t="s">
        <v>915</v>
      </c>
      <c r="S661" s="16" t="s">
        <v>915</v>
      </c>
      <c r="T661" s="16" t="s">
        <v>1322</v>
      </c>
      <c r="U661" s="16" t="s">
        <v>1324</v>
      </c>
      <c r="V661" s="16" t="s">
        <v>916</v>
      </c>
      <c r="W661" s="16" t="s">
        <v>1324</v>
      </c>
      <c r="X661" s="16" t="s">
        <v>934</v>
      </c>
      <c r="Y661" s="16" t="s">
        <v>934</v>
      </c>
      <c r="Z661" s="16" t="s">
        <v>935</v>
      </c>
      <c r="DA661" s="405" t="s">
        <v>5</v>
      </c>
      <c r="DB661" s="405" t="s">
        <v>363</v>
      </c>
      <c r="DC661" s="406" t="s">
        <v>85</v>
      </c>
      <c r="DD661" s="405" t="s">
        <v>917</v>
      </c>
      <c r="DE661" s="405" t="s">
        <v>5</v>
      </c>
      <c r="DF661" s="406" t="s">
        <v>85</v>
      </c>
      <c r="DG661" s="407">
        <v>45852</v>
      </c>
      <c r="DH661" s="405" t="s">
        <v>5876</v>
      </c>
      <c r="DI661" s="406">
        <v>465455</v>
      </c>
      <c r="DJ661" s="408">
        <v>5</v>
      </c>
      <c r="DK661" s="405">
        <v>1</v>
      </c>
      <c r="DL661" s="82">
        <v>332.47</v>
      </c>
      <c r="DM661" s="409">
        <v>1.6623500000000002</v>
      </c>
      <c r="DN661" s="82" t="s">
        <v>85</v>
      </c>
      <c r="DO661" s="82" t="s">
        <v>85</v>
      </c>
      <c r="DP661" s="410" t="s">
        <v>85</v>
      </c>
    </row>
    <row r="662" spans="1:120" x14ac:dyDescent="0.25">
      <c r="A662" s="16" t="s">
        <v>5880</v>
      </c>
      <c r="B662" s="16" t="s">
        <v>5881</v>
      </c>
      <c r="C662" s="16" t="s">
        <v>5882</v>
      </c>
      <c r="D662" s="16" t="s">
        <v>5686</v>
      </c>
      <c r="E662" s="16" t="s">
        <v>5883</v>
      </c>
      <c r="F662" s="16" t="s">
        <v>5884</v>
      </c>
      <c r="G662" s="16" t="s">
        <v>5885</v>
      </c>
      <c r="H662" s="16" t="s">
        <v>5886</v>
      </c>
      <c r="I662" s="16" t="s">
        <v>1682</v>
      </c>
      <c r="J662" s="16" t="s">
        <v>943</v>
      </c>
      <c r="K662" s="16" t="s">
        <v>1683</v>
      </c>
      <c r="L662" s="16" t="s">
        <v>85</v>
      </c>
      <c r="M662" s="16" t="s">
        <v>984</v>
      </c>
      <c r="N662" s="16" t="s">
        <v>914</v>
      </c>
      <c r="O662" s="16" t="s">
        <v>985</v>
      </c>
      <c r="P662" s="16" t="s">
        <v>914</v>
      </c>
      <c r="Q662" s="16" t="s">
        <v>985</v>
      </c>
      <c r="R662" s="16" t="s">
        <v>915</v>
      </c>
      <c r="S662" s="16" t="s">
        <v>915</v>
      </c>
      <c r="T662" s="16" t="s">
        <v>986</v>
      </c>
      <c r="U662" s="16" t="s">
        <v>987</v>
      </c>
      <c r="V662" s="16" t="s">
        <v>916</v>
      </c>
      <c r="W662" s="16" t="s">
        <v>987</v>
      </c>
      <c r="X662" s="16" t="s">
        <v>934</v>
      </c>
      <c r="Y662" s="16" t="s">
        <v>934</v>
      </c>
      <c r="Z662" s="16" t="s">
        <v>935</v>
      </c>
      <c r="DA662" s="405" t="s">
        <v>5</v>
      </c>
      <c r="DB662" s="405" t="s">
        <v>363</v>
      </c>
      <c r="DC662" s="406" t="s">
        <v>85</v>
      </c>
      <c r="DD662" s="405" t="s">
        <v>917</v>
      </c>
      <c r="DE662" s="405" t="s">
        <v>5</v>
      </c>
      <c r="DF662" s="406" t="s">
        <v>85</v>
      </c>
      <c r="DG662" s="407">
        <v>45852</v>
      </c>
      <c r="DH662" s="405" t="s">
        <v>5883</v>
      </c>
      <c r="DI662" s="406">
        <v>465455</v>
      </c>
      <c r="DJ662" s="408">
        <v>5</v>
      </c>
      <c r="DK662" s="405">
        <v>1</v>
      </c>
      <c r="DL662" s="82">
        <v>340.55</v>
      </c>
      <c r="DM662" s="409">
        <v>1.70275</v>
      </c>
      <c r="DN662" s="82" t="s">
        <v>85</v>
      </c>
      <c r="DO662" s="82" t="s">
        <v>85</v>
      </c>
      <c r="DP662" s="410" t="s">
        <v>85</v>
      </c>
    </row>
    <row r="663" spans="1:120" x14ac:dyDescent="0.25">
      <c r="A663" s="16" t="s">
        <v>5887</v>
      </c>
      <c r="B663" s="16" t="s">
        <v>5888</v>
      </c>
      <c r="C663" s="16" t="s">
        <v>5889</v>
      </c>
      <c r="D663" s="16" t="s">
        <v>5686</v>
      </c>
      <c r="E663" s="16" t="s">
        <v>5890</v>
      </c>
      <c r="F663" s="16" t="s">
        <v>5891</v>
      </c>
      <c r="G663" s="16" t="s">
        <v>5892</v>
      </c>
      <c r="H663" s="16" t="s">
        <v>5893</v>
      </c>
      <c r="I663" s="16" t="s">
        <v>3675</v>
      </c>
      <c r="J663" s="16" t="s">
        <v>928</v>
      </c>
      <c r="K663" s="16" t="s">
        <v>3676</v>
      </c>
      <c r="L663" s="16" t="s">
        <v>85</v>
      </c>
      <c r="M663" s="16" t="s">
        <v>1322</v>
      </c>
      <c r="N663" s="16" t="s">
        <v>914</v>
      </c>
      <c r="O663" s="16" t="s">
        <v>1323</v>
      </c>
      <c r="P663" s="16" t="s">
        <v>914</v>
      </c>
      <c r="Q663" s="16" t="s">
        <v>1323</v>
      </c>
      <c r="R663" s="16" t="s">
        <v>915</v>
      </c>
      <c r="S663" s="16" t="s">
        <v>915</v>
      </c>
      <c r="T663" s="16" t="s">
        <v>1322</v>
      </c>
      <c r="U663" s="16" t="s">
        <v>1324</v>
      </c>
      <c r="V663" s="16" t="s">
        <v>916</v>
      </c>
      <c r="W663" s="16" t="s">
        <v>1324</v>
      </c>
      <c r="X663" s="16" t="s">
        <v>934</v>
      </c>
      <c r="Y663" s="16" t="s">
        <v>934</v>
      </c>
      <c r="Z663" s="16" t="s">
        <v>935</v>
      </c>
      <c r="DA663" s="405" t="s">
        <v>5</v>
      </c>
      <c r="DB663" s="405" t="s">
        <v>363</v>
      </c>
      <c r="DC663" s="406" t="s">
        <v>85</v>
      </c>
      <c r="DD663" s="405" t="s">
        <v>917</v>
      </c>
      <c r="DE663" s="405" t="s">
        <v>5</v>
      </c>
      <c r="DF663" s="406" t="s">
        <v>85</v>
      </c>
      <c r="DG663" s="407">
        <v>45852</v>
      </c>
      <c r="DH663" s="405" t="s">
        <v>5890</v>
      </c>
      <c r="DI663" s="406">
        <v>465455</v>
      </c>
      <c r="DJ663" s="408">
        <v>5</v>
      </c>
      <c r="DK663" s="405">
        <v>1</v>
      </c>
      <c r="DL663" s="82">
        <v>332.47</v>
      </c>
      <c r="DM663" s="409">
        <v>1.6623500000000002</v>
      </c>
      <c r="DN663" s="82" t="s">
        <v>85</v>
      </c>
      <c r="DO663" s="82" t="s">
        <v>85</v>
      </c>
      <c r="DP663" s="410" t="s">
        <v>85</v>
      </c>
    </row>
    <row r="664" spans="1:120" x14ac:dyDescent="0.25">
      <c r="A664" s="16" t="s">
        <v>5894</v>
      </c>
      <c r="B664" s="16" t="s">
        <v>5895</v>
      </c>
      <c r="C664" s="16" t="s">
        <v>5896</v>
      </c>
      <c r="D664" s="16" t="s">
        <v>5686</v>
      </c>
      <c r="E664" s="16" t="s">
        <v>5897</v>
      </c>
      <c r="F664" s="16" t="s">
        <v>5898</v>
      </c>
      <c r="G664" s="16" t="s">
        <v>5899</v>
      </c>
      <c r="H664" s="16" t="s">
        <v>5900</v>
      </c>
      <c r="I664" s="16" t="s">
        <v>2661</v>
      </c>
      <c r="J664" s="16" t="s">
        <v>943</v>
      </c>
      <c r="K664" s="16" t="s">
        <v>2662</v>
      </c>
      <c r="L664" s="16" t="s">
        <v>85</v>
      </c>
      <c r="M664" s="16" t="s">
        <v>984</v>
      </c>
      <c r="N664" s="16" t="s">
        <v>914</v>
      </c>
      <c r="O664" s="16" t="s">
        <v>985</v>
      </c>
      <c r="P664" s="16" t="s">
        <v>914</v>
      </c>
      <c r="Q664" s="16" t="s">
        <v>985</v>
      </c>
      <c r="R664" s="16" t="s">
        <v>915</v>
      </c>
      <c r="S664" s="16" t="s">
        <v>915</v>
      </c>
      <c r="T664" s="16" t="s">
        <v>986</v>
      </c>
      <c r="U664" s="16" t="s">
        <v>987</v>
      </c>
      <c r="V664" s="16" t="s">
        <v>916</v>
      </c>
      <c r="W664" s="16" t="s">
        <v>987</v>
      </c>
      <c r="X664" s="16" t="s">
        <v>934</v>
      </c>
      <c r="Y664" s="16" t="s">
        <v>934</v>
      </c>
      <c r="Z664" s="16" t="s">
        <v>935</v>
      </c>
      <c r="DA664" s="405" t="s">
        <v>5</v>
      </c>
      <c r="DB664" s="405" t="s">
        <v>363</v>
      </c>
      <c r="DC664" s="406" t="s">
        <v>85</v>
      </c>
      <c r="DD664" s="405" t="s">
        <v>917</v>
      </c>
      <c r="DE664" s="405" t="s">
        <v>5</v>
      </c>
      <c r="DF664" s="406" t="s">
        <v>85</v>
      </c>
      <c r="DG664" s="407">
        <v>45852</v>
      </c>
      <c r="DH664" s="405" t="s">
        <v>5897</v>
      </c>
      <c r="DI664" s="406">
        <v>465455</v>
      </c>
      <c r="DJ664" s="408">
        <v>5</v>
      </c>
      <c r="DK664" s="405">
        <v>1</v>
      </c>
      <c r="DL664" s="82">
        <v>340.55</v>
      </c>
      <c r="DM664" s="409">
        <v>1.70275</v>
      </c>
      <c r="DN664" s="82" t="s">
        <v>85</v>
      </c>
      <c r="DO664" s="82" t="s">
        <v>85</v>
      </c>
      <c r="DP664" s="410" t="s">
        <v>85</v>
      </c>
    </row>
    <row r="665" spans="1:120" x14ac:dyDescent="0.25">
      <c r="A665" s="16" t="s">
        <v>5901</v>
      </c>
      <c r="B665" s="16" t="s">
        <v>5902</v>
      </c>
      <c r="C665" s="16" t="s">
        <v>5903</v>
      </c>
      <c r="D665" s="16" t="s">
        <v>5686</v>
      </c>
      <c r="E665" s="16" t="s">
        <v>5904</v>
      </c>
      <c r="F665" s="16" t="s">
        <v>5905</v>
      </c>
      <c r="G665" s="16" t="s">
        <v>5906</v>
      </c>
      <c r="H665" s="16" t="s">
        <v>5907</v>
      </c>
      <c r="I665" s="16" t="s">
        <v>4018</v>
      </c>
      <c r="J665" s="16" t="s">
        <v>1109</v>
      </c>
      <c r="K665" s="16" t="s">
        <v>4019</v>
      </c>
      <c r="L665" s="16" t="s">
        <v>85</v>
      </c>
      <c r="M665" s="16" t="s">
        <v>1311</v>
      </c>
      <c r="N665" s="16" t="s">
        <v>914</v>
      </c>
      <c r="O665" s="16" t="s">
        <v>1312</v>
      </c>
      <c r="P665" s="16" t="s">
        <v>914</v>
      </c>
      <c r="Q665" s="16" t="s">
        <v>1312</v>
      </c>
      <c r="R665" s="16" t="s">
        <v>915</v>
      </c>
      <c r="S665" s="16" t="s">
        <v>915</v>
      </c>
      <c r="T665" s="16" t="s">
        <v>1311</v>
      </c>
      <c r="U665" s="16" t="s">
        <v>1313</v>
      </c>
      <c r="V665" s="16" t="s">
        <v>916</v>
      </c>
      <c r="W665" s="16" t="s">
        <v>1313</v>
      </c>
      <c r="X665" s="16" t="s">
        <v>934</v>
      </c>
      <c r="Y665" s="16" t="s">
        <v>934</v>
      </c>
      <c r="Z665" s="16" t="s">
        <v>935</v>
      </c>
      <c r="DA665" s="405" t="s">
        <v>5</v>
      </c>
      <c r="DB665" s="405" t="s">
        <v>363</v>
      </c>
      <c r="DC665" s="406" t="s">
        <v>85</v>
      </c>
      <c r="DD665" s="405" t="s">
        <v>917</v>
      </c>
      <c r="DE665" s="405" t="s">
        <v>5</v>
      </c>
      <c r="DF665" s="406" t="s">
        <v>85</v>
      </c>
      <c r="DG665" s="407">
        <v>45852</v>
      </c>
      <c r="DH665" s="405" t="s">
        <v>5904</v>
      </c>
      <c r="DI665" s="406">
        <v>465455</v>
      </c>
      <c r="DJ665" s="408">
        <v>5</v>
      </c>
      <c r="DK665" s="405">
        <v>1</v>
      </c>
      <c r="DL665" s="82">
        <v>531.54</v>
      </c>
      <c r="DM665" s="409">
        <v>2.6576999999999997</v>
      </c>
      <c r="DN665" s="82" t="s">
        <v>85</v>
      </c>
      <c r="DO665" s="82" t="s">
        <v>85</v>
      </c>
      <c r="DP665" s="410" t="s">
        <v>85</v>
      </c>
    </row>
    <row r="666" spans="1:120" x14ac:dyDescent="0.25">
      <c r="A666" s="16" t="s">
        <v>5908</v>
      </c>
      <c r="B666" s="16" t="s">
        <v>5909</v>
      </c>
      <c r="C666" s="16" t="s">
        <v>5910</v>
      </c>
      <c r="D666" s="16" t="s">
        <v>5686</v>
      </c>
      <c r="E666" s="16" t="s">
        <v>5911</v>
      </c>
      <c r="F666" s="16" t="s">
        <v>5912</v>
      </c>
      <c r="G666" s="16" t="s">
        <v>5913</v>
      </c>
      <c r="H666" s="16" t="s">
        <v>5914</v>
      </c>
      <c r="I666" s="16" t="s">
        <v>1163</v>
      </c>
      <c r="J666" s="16" t="s">
        <v>995</v>
      </c>
      <c r="K666" s="16" t="s">
        <v>1164</v>
      </c>
      <c r="L666" s="16" t="s">
        <v>85</v>
      </c>
      <c r="M666" s="16" t="s">
        <v>1165</v>
      </c>
      <c r="N666" s="16" t="s">
        <v>914</v>
      </c>
      <c r="O666" s="16" t="s">
        <v>1166</v>
      </c>
      <c r="P666" s="16" t="s">
        <v>914</v>
      </c>
      <c r="Q666" s="16" t="s">
        <v>1166</v>
      </c>
      <c r="R666" s="16" t="s">
        <v>915</v>
      </c>
      <c r="S666" s="16" t="s">
        <v>915</v>
      </c>
      <c r="T666" s="16" t="s">
        <v>1167</v>
      </c>
      <c r="U666" s="16" t="s">
        <v>1168</v>
      </c>
      <c r="V666" s="16" t="s">
        <v>916</v>
      </c>
      <c r="W666" s="16" t="s">
        <v>1168</v>
      </c>
      <c r="X666" s="16" t="s">
        <v>934</v>
      </c>
      <c r="Y666" s="16" t="s">
        <v>934</v>
      </c>
      <c r="Z666" s="16" t="s">
        <v>935</v>
      </c>
      <c r="DA666" s="405" t="s">
        <v>5</v>
      </c>
      <c r="DB666" s="405" t="s">
        <v>363</v>
      </c>
      <c r="DC666" s="406" t="s">
        <v>85</v>
      </c>
      <c r="DD666" s="405" t="s">
        <v>917</v>
      </c>
      <c r="DE666" s="405" t="s">
        <v>5</v>
      </c>
      <c r="DF666" s="406" t="s">
        <v>85</v>
      </c>
      <c r="DG666" s="407">
        <v>45852</v>
      </c>
      <c r="DH666" s="405" t="s">
        <v>5911</v>
      </c>
      <c r="DI666" s="406">
        <v>465455</v>
      </c>
      <c r="DJ666" s="408">
        <v>5</v>
      </c>
      <c r="DK666" s="405">
        <v>1</v>
      </c>
      <c r="DL666" s="82">
        <v>468.28</v>
      </c>
      <c r="DM666" s="409">
        <v>2.3413999999999997</v>
      </c>
      <c r="DN666" s="82" t="s">
        <v>85</v>
      </c>
      <c r="DO666" s="82" t="s">
        <v>85</v>
      </c>
      <c r="DP666" s="410" t="s">
        <v>85</v>
      </c>
    </row>
    <row r="667" spans="1:120" x14ac:dyDescent="0.25">
      <c r="A667" s="16" t="s">
        <v>5915</v>
      </c>
      <c r="B667" s="16" t="s">
        <v>5916</v>
      </c>
      <c r="C667" s="16" t="s">
        <v>5917</v>
      </c>
      <c r="D667" s="16" t="s">
        <v>5686</v>
      </c>
      <c r="E667" s="16" t="s">
        <v>5918</v>
      </c>
      <c r="F667" s="16" t="s">
        <v>5919</v>
      </c>
      <c r="G667" s="16" t="s">
        <v>5920</v>
      </c>
      <c r="H667" s="16" t="s">
        <v>5921</v>
      </c>
      <c r="I667" s="16" t="s">
        <v>2997</v>
      </c>
      <c r="J667" s="16" t="s">
        <v>943</v>
      </c>
      <c r="K667" s="16" t="s">
        <v>2998</v>
      </c>
      <c r="L667" s="16" t="s">
        <v>85</v>
      </c>
      <c r="M667" s="16" t="s">
        <v>984</v>
      </c>
      <c r="N667" s="16" t="s">
        <v>914</v>
      </c>
      <c r="O667" s="16" t="s">
        <v>985</v>
      </c>
      <c r="P667" s="16" t="s">
        <v>914</v>
      </c>
      <c r="Q667" s="16" t="s">
        <v>985</v>
      </c>
      <c r="R667" s="16" t="s">
        <v>915</v>
      </c>
      <c r="S667" s="16" t="s">
        <v>915</v>
      </c>
      <c r="T667" s="16" t="s">
        <v>986</v>
      </c>
      <c r="U667" s="16" t="s">
        <v>987</v>
      </c>
      <c r="V667" s="16" t="s">
        <v>916</v>
      </c>
      <c r="W667" s="16" t="s">
        <v>987</v>
      </c>
      <c r="X667" s="16" t="s">
        <v>934</v>
      </c>
      <c r="Y667" s="16" t="s">
        <v>934</v>
      </c>
      <c r="Z667" s="16" t="s">
        <v>935</v>
      </c>
      <c r="DA667" s="405" t="s">
        <v>5</v>
      </c>
      <c r="DB667" s="405" t="s">
        <v>363</v>
      </c>
      <c r="DC667" s="406" t="s">
        <v>85</v>
      </c>
      <c r="DD667" s="405" t="s">
        <v>917</v>
      </c>
      <c r="DE667" s="405" t="s">
        <v>5</v>
      </c>
      <c r="DF667" s="406" t="s">
        <v>85</v>
      </c>
      <c r="DG667" s="407">
        <v>45852</v>
      </c>
      <c r="DH667" s="405" t="s">
        <v>5918</v>
      </c>
      <c r="DI667" s="406">
        <v>465455</v>
      </c>
      <c r="DJ667" s="408">
        <v>5</v>
      </c>
      <c r="DK667" s="405">
        <v>1</v>
      </c>
      <c r="DL667" s="82">
        <v>340.55</v>
      </c>
      <c r="DM667" s="409">
        <v>1.70275</v>
      </c>
      <c r="DN667" s="82" t="s">
        <v>85</v>
      </c>
      <c r="DO667" s="82" t="s">
        <v>85</v>
      </c>
      <c r="DP667" s="410" t="s">
        <v>85</v>
      </c>
    </row>
    <row r="668" spans="1:120" x14ac:dyDescent="0.25">
      <c r="A668" s="16" t="s">
        <v>5915</v>
      </c>
      <c r="B668" s="16" t="s">
        <v>5916</v>
      </c>
      <c r="C668" s="16" t="s">
        <v>5917</v>
      </c>
      <c r="D668" s="16" t="s">
        <v>5686</v>
      </c>
      <c r="E668" s="16" t="s">
        <v>5918</v>
      </c>
      <c r="F668" s="16" t="s">
        <v>5919</v>
      </c>
      <c r="G668" s="16" t="s">
        <v>5920</v>
      </c>
      <c r="H668" s="16" t="s">
        <v>5921</v>
      </c>
      <c r="I668" s="16" t="s">
        <v>5922</v>
      </c>
      <c r="J668" s="16" t="s">
        <v>943</v>
      </c>
      <c r="K668" s="16" t="s">
        <v>5923</v>
      </c>
      <c r="L668" s="16" t="s">
        <v>85</v>
      </c>
      <c r="M668" s="16" t="s">
        <v>984</v>
      </c>
      <c r="N668" s="16" t="s">
        <v>914</v>
      </c>
      <c r="O668" s="16" t="s">
        <v>985</v>
      </c>
      <c r="P668" s="16" t="s">
        <v>914</v>
      </c>
      <c r="Q668" s="16" t="s">
        <v>985</v>
      </c>
      <c r="R668" s="16" t="s">
        <v>915</v>
      </c>
      <c r="S668" s="16" t="s">
        <v>915</v>
      </c>
      <c r="T668" s="16" t="s">
        <v>986</v>
      </c>
      <c r="U668" s="16" t="s">
        <v>987</v>
      </c>
      <c r="V668" s="16" t="s">
        <v>916</v>
      </c>
      <c r="W668" s="16" t="s">
        <v>987</v>
      </c>
      <c r="X668" s="16" t="s">
        <v>934</v>
      </c>
      <c r="Y668" s="16" t="s">
        <v>934</v>
      </c>
      <c r="Z668" s="16" t="s">
        <v>935</v>
      </c>
      <c r="DA668" s="405" t="s">
        <v>5</v>
      </c>
      <c r="DB668" s="405" t="s">
        <v>363</v>
      </c>
      <c r="DC668" s="406" t="s">
        <v>85</v>
      </c>
      <c r="DD668" s="405" t="s">
        <v>917</v>
      </c>
      <c r="DE668" s="405" t="s">
        <v>5</v>
      </c>
      <c r="DF668" s="406" t="s">
        <v>85</v>
      </c>
      <c r="DG668" s="407">
        <v>45852</v>
      </c>
      <c r="DH668" s="405" t="s">
        <v>5918</v>
      </c>
      <c r="DI668" s="406">
        <v>465455</v>
      </c>
      <c r="DJ668" s="408">
        <v>5</v>
      </c>
      <c r="DK668" s="405">
        <v>1</v>
      </c>
      <c r="DL668" s="82">
        <v>340.55</v>
      </c>
      <c r="DM668" s="409">
        <v>1.70275</v>
      </c>
      <c r="DN668" s="82" t="s">
        <v>85</v>
      </c>
      <c r="DO668" s="82" t="s">
        <v>85</v>
      </c>
      <c r="DP668" s="410" t="s">
        <v>85</v>
      </c>
    </row>
    <row r="669" spans="1:120" x14ac:dyDescent="0.25">
      <c r="A669" s="16" t="s">
        <v>5924</v>
      </c>
      <c r="B669" s="16" t="s">
        <v>5925</v>
      </c>
      <c r="C669" s="16" t="s">
        <v>5926</v>
      </c>
      <c r="D669" s="16" t="s">
        <v>5686</v>
      </c>
      <c r="E669" s="16" t="s">
        <v>5927</v>
      </c>
      <c r="F669" s="16" t="s">
        <v>5928</v>
      </c>
      <c r="G669" s="16" t="s">
        <v>5929</v>
      </c>
      <c r="H669" s="16" t="s">
        <v>5930</v>
      </c>
      <c r="I669" s="16" t="s">
        <v>1163</v>
      </c>
      <c r="J669" s="16" t="s">
        <v>995</v>
      </c>
      <c r="K669" s="16" t="s">
        <v>1164</v>
      </c>
      <c r="L669" s="16" t="s">
        <v>85</v>
      </c>
      <c r="M669" s="16" t="s">
        <v>1165</v>
      </c>
      <c r="N669" s="16" t="s">
        <v>914</v>
      </c>
      <c r="O669" s="16" t="s">
        <v>1166</v>
      </c>
      <c r="P669" s="16" t="s">
        <v>914</v>
      </c>
      <c r="Q669" s="16" t="s">
        <v>1166</v>
      </c>
      <c r="R669" s="16" t="s">
        <v>915</v>
      </c>
      <c r="S669" s="16" t="s">
        <v>915</v>
      </c>
      <c r="T669" s="16" t="s">
        <v>1167</v>
      </c>
      <c r="U669" s="16" t="s">
        <v>1168</v>
      </c>
      <c r="V669" s="16" t="s">
        <v>916</v>
      </c>
      <c r="W669" s="16" t="s">
        <v>1168</v>
      </c>
      <c r="X669" s="16" t="s">
        <v>934</v>
      </c>
      <c r="Y669" s="16" t="s">
        <v>934</v>
      </c>
      <c r="Z669" s="16" t="s">
        <v>935</v>
      </c>
      <c r="DA669" s="405" t="s">
        <v>5</v>
      </c>
      <c r="DB669" s="405" t="s">
        <v>363</v>
      </c>
      <c r="DC669" s="406" t="s">
        <v>85</v>
      </c>
      <c r="DD669" s="405" t="s">
        <v>917</v>
      </c>
      <c r="DE669" s="405" t="s">
        <v>5</v>
      </c>
      <c r="DF669" s="406" t="s">
        <v>85</v>
      </c>
      <c r="DG669" s="407">
        <v>45852</v>
      </c>
      <c r="DH669" s="405" t="s">
        <v>5927</v>
      </c>
      <c r="DI669" s="406">
        <v>465455</v>
      </c>
      <c r="DJ669" s="408">
        <v>5</v>
      </c>
      <c r="DK669" s="405">
        <v>1</v>
      </c>
      <c r="DL669" s="82">
        <v>468.28</v>
      </c>
      <c r="DM669" s="409">
        <v>2.3413999999999997</v>
      </c>
      <c r="DN669" s="82" t="s">
        <v>85</v>
      </c>
      <c r="DO669" s="82" t="s">
        <v>85</v>
      </c>
      <c r="DP669" s="410" t="s">
        <v>85</v>
      </c>
    </row>
    <row r="670" spans="1:120" x14ac:dyDescent="0.25">
      <c r="A670" s="16" t="s">
        <v>5931</v>
      </c>
      <c r="B670" s="16" t="s">
        <v>5932</v>
      </c>
      <c r="C670" s="16" t="s">
        <v>5933</v>
      </c>
      <c r="D670" s="16" t="s">
        <v>5686</v>
      </c>
      <c r="E670" s="16" t="s">
        <v>5934</v>
      </c>
      <c r="F670" s="16" t="s">
        <v>5928</v>
      </c>
      <c r="G670" s="16" t="s">
        <v>5935</v>
      </c>
      <c r="H670" s="16" t="s">
        <v>5936</v>
      </c>
      <c r="I670" s="16" t="s">
        <v>1970</v>
      </c>
      <c r="J670" s="16" t="s">
        <v>995</v>
      </c>
      <c r="K670" s="16" t="s">
        <v>1971</v>
      </c>
      <c r="L670" s="16" t="s">
        <v>85</v>
      </c>
      <c r="M670" s="16" t="s">
        <v>1165</v>
      </c>
      <c r="N670" s="16" t="s">
        <v>914</v>
      </c>
      <c r="O670" s="16" t="s">
        <v>1166</v>
      </c>
      <c r="P670" s="16" t="s">
        <v>914</v>
      </c>
      <c r="Q670" s="16" t="s">
        <v>1166</v>
      </c>
      <c r="R670" s="16" t="s">
        <v>915</v>
      </c>
      <c r="S670" s="16" t="s">
        <v>915</v>
      </c>
      <c r="T670" s="16" t="s">
        <v>1167</v>
      </c>
      <c r="U670" s="16" t="s">
        <v>1168</v>
      </c>
      <c r="V670" s="16" t="s">
        <v>916</v>
      </c>
      <c r="W670" s="16" t="s">
        <v>1168</v>
      </c>
      <c r="X670" s="16" t="s">
        <v>934</v>
      </c>
      <c r="Y670" s="16" t="s">
        <v>934</v>
      </c>
      <c r="Z670" s="16" t="s">
        <v>935</v>
      </c>
      <c r="DA670" s="405" t="s">
        <v>5</v>
      </c>
      <c r="DB670" s="405" t="s">
        <v>363</v>
      </c>
      <c r="DC670" s="406" t="s">
        <v>85</v>
      </c>
      <c r="DD670" s="405" t="s">
        <v>917</v>
      </c>
      <c r="DE670" s="405" t="s">
        <v>5</v>
      </c>
      <c r="DF670" s="406" t="s">
        <v>85</v>
      </c>
      <c r="DG670" s="407">
        <v>45852</v>
      </c>
      <c r="DH670" s="405" t="s">
        <v>5934</v>
      </c>
      <c r="DI670" s="406">
        <v>465455</v>
      </c>
      <c r="DJ670" s="408">
        <v>5</v>
      </c>
      <c r="DK670" s="405">
        <v>1</v>
      </c>
      <c r="DL670" s="82">
        <v>468.28</v>
      </c>
      <c r="DM670" s="409">
        <v>2.3413999999999997</v>
      </c>
      <c r="DN670" s="82" t="s">
        <v>85</v>
      </c>
      <c r="DO670" s="82" t="s">
        <v>85</v>
      </c>
      <c r="DP670" s="410" t="s">
        <v>85</v>
      </c>
    </row>
    <row r="671" spans="1:120" x14ac:dyDescent="0.25">
      <c r="A671" s="16" t="s">
        <v>5937</v>
      </c>
      <c r="B671" s="16" t="s">
        <v>5938</v>
      </c>
      <c r="C671" s="16" t="s">
        <v>5939</v>
      </c>
      <c r="D671" s="16" t="s">
        <v>5686</v>
      </c>
      <c r="E671" s="16" t="s">
        <v>5940</v>
      </c>
      <c r="F671" s="16" t="s">
        <v>5941</v>
      </c>
      <c r="G671" s="16" t="s">
        <v>5942</v>
      </c>
      <c r="H671" s="16" t="s">
        <v>5943</v>
      </c>
      <c r="I671" s="16" t="s">
        <v>2676</v>
      </c>
      <c r="J671" s="16" t="s">
        <v>943</v>
      </c>
      <c r="K671" s="16" t="s">
        <v>2677</v>
      </c>
      <c r="L671" s="16" t="s">
        <v>85</v>
      </c>
      <c r="M671" s="16" t="s">
        <v>984</v>
      </c>
      <c r="N671" s="16" t="s">
        <v>914</v>
      </c>
      <c r="O671" s="16" t="s">
        <v>985</v>
      </c>
      <c r="P671" s="16" t="s">
        <v>914</v>
      </c>
      <c r="Q671" s="16" t="s">
        <v>985</v>
      </c>
      <c r="R671" s="16" t="s">
        <v>915</v>
      </c>
      <c r="S671" s="16" t="s">
        <v>915</v>
      </c>
      <c r="T671" s="16" t="s">
        <v>986</v>
      </c>
      <c r="U671" s="16" t="s">
        <v>987</v>
      </c>
      <c r="V671" s="16" t="s">
        <v>916</v>
      </c>
      <c r="W671" s="16" t="s">
        <v>987</v>
      </c>
      <c r="X671" s="16" t="s">
        <v>934</v>
      </c>
      <c r="Y671" s="16" t="s">
        <v>934</v>
      </c>
      <c r="Z671" s="16" t="s">
        <v>935</v>
      </c>
      <c r="DA671" s="405" t="s">
        <v>5</v>
      </c>
      <c r="DB671" s="405" t="s">
        <v>363</v>
      </c>
      <c r="DC671" s="406" t="s">
        <v>85</v>
      </c>
      <c r="DD671" s="405" t="s">
        <v>917</v>
      </c>
      <c r="DE671" s="405" t="s">
        <v>5</v>
      </c>
      <c r="DF671" s="406" t="s">
        <v>85</v>
      </c>
      <c r="DG671" s="407">
        <v>45852</v>
      </c>
      <c r="DH671" s="405" t="s">
        <v>5940</v>
      </c>
      <c r="DI671" s="406">
        <v>465455</v>
      </c>
      <c r="DJ671" s="408">
        <v>5</v>
      </c>
      <c r="DK671" s="405">
        <v>1</v>
      </c>
      <c r="DL671" s="82">
        <v>340.55</v>
      </c>
      <c r="DM671" s="409">
        <v>1.70275</v>
      </c>
      <c r="DN671" s="82" t="s">
        <v>85</v>
      </c>
      <c r="DO671" s="82" t="s">
        <v>85</v>
      </c>
      <c r="DP671" s="410" t="s">
        <v>85</v>
      </c>
    </row>
    <row r="672" spans="1:120" x14ac:dyDescent="0.25">
      <c r="A672" s="16" t="s">
        <v>5944</v>
      </c>
      <c r="B672" s="16" t="s">
        <v>5945</v>
      </c>
      <c r="C672" s="16" t="s">
        <v>5946</v>
      </c>
      <c r="D672" s="16" t="s">
        <v>5686</v>
      </c>
      <c r="E672" s="16" t="s">
        <v>5947</v>
      </c>
      <c r="F672" s="16" t="s">
        <v>5948</v>
      </c>
      <c r="G672" s="16" t="s">
        <v>5949</v>
      </c>
      <c r="H672" s="16" t="s">
        <v>5950</v>
      </c>
      <c r="I672" s="16" t="s">
        <v>1377</v>
      </c>
      <c r="J672" s="16" t="s">
        <v>943</v>
      </c>
      <c r="K672" s="16" t="s">
        <v>1378</v>
      </c>
      <c r="L672" s="16" t="s">
        <v>85</v>
      </c>
      <c r="M672" s="16" t="s">
        <v>984</v>
      </c>
      <c r="N672" s="16" t="s">
        <v>914</v>
      </c>
      <c r="O672" s="16" t="s">
        <v>985</v>
      </c>
      <c r="P672" s="16" t="s">
        <v>914</v>
      </c>
      <c r="Q672" s="16" t="s">
        <v>985</v>
      </c>
      <c r="R672" s="16" t="s">
        <v>915</v>
      </c>
      <c r="S672" s="16" t="s">
        <v>915</v>
      </c>
      <c r="T672" s="16" t="s">
        <v>986</v>
      </c>
      <c r="U672" s="16" t="s">
        <v>987</v>
      </c>
      <c r="V672" s="16" t="s">
        <v>916</v>
      </c>
      <c r="W672" s="16" t="s">
        <v>987</v>
      </c>
      <c r="X672" s="16" t="s">
        <v>934</v>
      </c>
      <c r="Y672" s="16" t="s">
        <v>934</v>
      </c>
      <c r="Z672" s="16" t="s">
        <v>935</v>
      </c>
      <c r="DA672" s="405" t="s">
        <v>5</v>
      </c>
      <c r="DB672" s="405" t="s">
        <v>363</v>
      </c>
      <c r="DC672" s="406" t="s">
        <v>85</v>
      </c>
      <c r="DD672" s="405" t="s">
        <v>917</v>
      </c>
      <c r="DE672" s="405" t="s">
        <v>5</v>
      </c>
      <c r="DF672" s="406" t="s">
        <v>85</v>
      </c>
      <c r="DG672" s="407">
        <v>45852</v>
      </c>
      <c r="DH672" s="405" t="s">
        <v>5947</v>
      </c>
      <c r="DI672" s="406">
        <v>465455</v>
      </c>
      <c r="DJ672" s="408">
        <v>5</v>
      </c>
      <c r="DK672" s="405">
        <v>1</v>
      </c>
      <c r="DL672" s="82">
        <v>340.55</v>
      </c>
      <c r="DM672" s="409">
        <v>1.70275</v>
      </c>
      <c r="DN672" s="82" t="s">
        <v>85</v>
      </c>
      <c r="DO672" s="82" t="s">
        <v>85</v>
      </c>
      <c r="DP672" s="410" t="s">
        <v>85</v>
      </c>
    </row>
    <row r="673" spans="1:120" x14ac:dyDescent="0.25">
      <c r="A673" s="16" t="s">
        <v>5944</v>
      </c>
      <c r="B673" s="16" t="s">
        <v>5945</v>
      </c>
      <c r="C673" s="16" t="s">
        <v>5946</v>
      </c>
      <c r="D673" s="16" t="s">
        <v>5686</v>
      </c>
      <c r="E673" s="16" t="s">
        <v>5947</v>
      </c>
      <c r="F673" s="16" t="s">
        <v>5948</v>
      </c>
      <c r="G673" s="16" t="s">
        <v>5949</v>
      </c>
      <c r="H673" s="16" t="s">
        <v>5950</v>
      </c>
      <c r="I673" s="16" t="s">
        <v>2822</v>
      </c>
      <c r="J673" s="16" t="s">
        <v>943</v>
      </c>
      <c r="K673" s="16" t="s">
        <v>2823</v>
      </c>
      <c r="L673" s="16" t="s">
        <v>85</v>
      </c>
      <c r="M673" s="16" t="s">
        <v>984</v>
      </c>
      <c r="N673" s="16" t="s">
        <v>914</v>
      </c>
      <c r="O673" s="16" t="s">
        <v>985</v>
      </c>
      <c r="P673" s="16" t="s">
        <v>914</v>
      </c>
      <c r="Q673" s="16" t="s">
        <v>985</v>
      </c>
      <c r="R673" s="16" t="s">
        <v>915</v>
      </c>
      <c r="S673" s="16" t="s">
        <v>915</v>
      </c>
      <c r="T673" s="16" t="s">
        <v>986</v>
      </c>
      <c r="U673" s="16" t="s">
        <v>987</v>
      </c>
      <c r="V673" s="16" t="s">
        <v>916</v>
      </c>
      <c r="W673" s="16" t="s">
        <v>987</v>
      </c>
      <c r="X673" s="16" t="s">
        <v>934</v>
      </c>
      <c r="Y673" s="16" t="s">
        <v>934</v>
      </c>
      <c r="Z673" s="16" t="s">
        <v>935</v>
      </c>
      <c r="DA673" s="405" t="s">
        <v>5</v>
      </c>
      <c r="DB673" s="405" t="s">
        <v>363</v>
      </c>
      <c r="DC673" s="406" t="s">
        <v>85</v>
      </c>
      <c r="DD673" s="405" t="s">
        <v>917</v>
      </c>
      <c r="DE673" s="405" t="s">
        <v>5</v>
      </c>
      <c r="DF673" s="406" t="s">
        <v>85</v>
      </c>
      <c r="DG673" s="407">
        <v>45852</v>
      </c>
      <c r="DH673" s="405" t="s">
        <v>5947</v>
      </c>
      <c r="DI673" s="406">
        <v>465455</v>
      </c>
      <c r="DJ673" s="408">
        <v>5</v>
      </c>
      <c r="DK673" s="405">
        <v>1</v>
      </c>
      <c r="DL673" s="82">
        <v>340.55</v>
      </c>
      <c r="DM673" s="409">
        <v>1.70275</v>
      </c>
      <c r="DN673" s="82" t="s">
        <v>85</v>
      </c>
      <c r="DO673" s="82" t="s">
        <v>85</v>
      </c>
      <c r="DP673" s="410" t="s">
        <v>85</v>
      </c>
    </row>
    <row r="674" spans="1:120" x14ac:dyDescent="0.25">
      <c r="A674" s="16" t="s">
        <v>5951</v>
      </c>
      <c r="B674" s="16" t="s">
        <v>5952</v>
      </c>
      <c r="C674" s="16" t="s">
        <v>5953</v>
      </c>
      <c r="D674" s="16" t="s">
        <v>5686</v>
      </c>
      <c r="E674" s="16" t="s">
        <v>5954</v>
      </c>
      <c r="F674" s="16" t="s">
        <v>5955</v>
      </c>
      <c r="G674" s="16" t="s">
        <v>5956</v>
      </c>
      <c r="H674" s="16" t="s">
        <v>5957</v>
      </c>
      <c r="I674" s="16" t="s">
        <v>3823</v>
      </c>
      <c r="J674" s="16" t="s">
        <v>928</v>
      </c>
      <c r="K674" s="16" t="s">
        <v>3824</v>
      </c>
      <c r="L674" s="16" t="s">
        <v>85</v>
      </c>
      <c r="M674" s="16" t="s">
        <v>1322</v>
      </c>
      <c r="N674" s="16" t="s">
        <v>914</v>
      </c>
      <c r="O674" s="16" t="s">
        <v>1323</v>
      </c>
      <c r="P674" s="16" t="s">
        <v>914</v>
      </c>
      <c r="Q674" s="16" t="s">
        <v>1323</v>
      </c>
      <c r="R674" s="16" t="s">
        <v>915</v>
      </c>
      <c r="S674" s="16" t="s">
        <v>915</v>
      </c>
      <c r="T674" s="16" t="s">
        <v>1322</v>
      </c>
      <c r="U674" s="16" t="s">
        <v>1324</v>
      </c>
      <c r="V674" s="16" t="s">
        <v>916</v>
      </c>
      <c r="W674" s="16" t="s">
        <v>1324</v>
      </c>
      <c r="X674" s="16" t="s">
        <v>934</v>
      </c>
      <c r="Y674" s="16" t="s">
        <v>934</v>
      </c>
      <c r="Z674" s="16" t="s">
        <v>935</v>
      </c>
      <c r="DA674" s="405" t="s">
        <v>5</v>
      </c>
      <c r="DB674" s="405" t="s">
        <v>363</v>
      </c>
      <c r="DC674" s="406" t="s">
        <v>85</v>
      </c>
      <c r="DD674" s="405" t="s">
        <v>917</v>
      </c>
      <c r="DE674" s="405" t="s">
        <v>5</v>
      </c>
      <c r="DF674" s="406" t="s">
        <v>85</v>
      </c>
      <c r="DG674" s="407">
        <v>45852</v>
      </c>
      <c r="DH674" s="405" t="s">
        <v>5954</v>
      </c>
      <c r="DI674" s="406">
        <v>465455</v>
      </c>
      <c r="DJ674" s="408">
        <v>5</v>
      </c>
      <c r="DK674" s="405">
        <v>1</v>
      </c>
      <c r="DL674" s="82">
        <v>332.47</v>
      </c>
      <c r="DM674" s="409">
        <v>1.6623500000000002</v>
      </c>
      <c r="DN674" s="82" t="s">
        <v>85</v>
      </c>
      <c r="DO674" s="82" t="s">
        <v>85</v>
      </c>
      <c r="DP674" s="410" t="s">
        <v>85</v>
      </c>
    </row>
    <row r="675" spans="1:120" x14ac:dyDescent="0.25">
      <c r="A675" s="16" t="s">
        <v>5958</v>
      </c>
      <c r="B675" s="16" t="s">
        <v>5959</v>
      </c>
      <c r="C675" s="16" t="s">
        <v>5960</v>
      </c>
      <c r="D675" s="16" t="s">
        <v>5686</v>
      </c>
      <c r="E675" s="16" t="s">
        <v>5961</v>
      </c>
      <c r="F675" s="16" t="s">
        <v>5962</v>
      </c>
      <c r="G675" s="16" t="s">
        <v>5963</v>
      </c>
      <c r="H675" s="16" t="s">
        <v>5964</v>
      </c>
      <c r="I675" s="16" t="s">
        <v>1880</v>
      </c>
      <c r="J675" s="16" t="s">
        <v>928</v>
      </c>
      <c r="K675" s="16" t="s">
        <v>1881</v>
      </c>
      <c r="L675" s="16" t="s">
        <v>85</v>
      </c>
      <c r="M675" s="16" t="s">
        <v>1322</v>
      </c>
      <c r="N675" s="16" t="s">
        <v>914</v>
      </c>
      <c r="O675" s="16" t="s">
        <v>1323</v>
      </c>
      <c r="P675" s="16" t="s">
        <v>914</v>
      </c>
      <c r="Q675" s="16" t="s">
        <v>1323</v>
      </c>
      <c r="R675" s="16" t="s">
        <v>915</v>
      </c>
      <c r="S675" s="16" t="s">
        <v>915</v>
      </c>
      <c r="T675" s="16" t="s">
        <v>1322</v>
      </c>
      <c r="U675" s="16" t="s">
        <v>1324</v>
      </c>
      <c r="V675" s="16" t="s">
        <v>916</v>
      </c>
      <c r="W675" s="16" t="s">
        <v>1324</v>
      </c>
      <c r="X675" s="16" t="s">
        <v>934</v>
      </c>
      <c r="Y675" s="16" t="s">
        <v>934</v>
      </c>
      <c r="Z675" s="16" t="s">
        <v>935</v>
      </c>
      <c r="DA675" s="405" t="s">
        <v>5</v>
      </c>
      <c r="DB675" s="405" t="s">
        <v>363</v>
      </c>
      <c r="DC675" s="406" t="s">
        <v>85</v>
      </c>
      <c r="DD675" s="405" t="s">
        <v>917</v>
      </c>
      <c r="DE675" s="405" t="s">
        <v>5</v>
      </c>
      <c r="DF675" s="406" t="s">
        <v>85</v>
      </c>
      <c r="DG675" s="407">
        <v>45852</v>
      </c>
      <c r="DH675" s="405" t="s">
        <v>5961</v>
      </c>
      <c r="DI675" s="406">
        <v>465455</v>
      </c>
      <c r="DJ675" s="408">
        <v>5</v>
      </c>
      <c r="DK675" s="405">
        <v>1</v>
      </c>
      <c r="DL675" s="82">
        <v>332.47</v>
      </c>
      <c r="DM675" s="409">
        <v>1.6623500000000002</v>
      </c>
      <c r="DN675" s="82" t="s">
        <v>85</v>
      </c>
      <c r="DO675" s="82" t="s">
        <v>85</v>
      </c>
      <c r="DP675" s="410" t="s">
        <v>85</v>
      </c>
    </row>
    <row r="676" spans="1:120" x14ac:dyDescent="0.25">
      <c r="A676" s="16" t="s">
        <v>5965</v>
      </c>
      <c r="B676" s="16" t="s">
        <v>5966</v>
      </c>
      <c r="C676" s="16" t="s">
        <v>5967</v>
      </c>
      <c r="D676" s="16" t="s">
        <v>5686</v>
      </c>
      <c r="E676" s="16" t="s">
        <v>5968</v>
      </c>
      <c r="F676" s="16" t="s">
        <v>5969</v>
      </c>
      <c r="G676" s="16" t="s">
        <v>5970</v>
      </c>
      <c r="H676" s="16" t="s">
        <v>5971</v>
      </c>
      <c r="I676" s="16" t="s">
        <v>4789</v>
      </c>
      <c r="J676" s="16" t="s">
        <v>928</v>
      </c>
      <c r="K676" s="16" t="s">
        <v>4790</v>
      </c>
      <c r="L676" s="16" t="s">
        <v>85</v>
      </c>
      <c r="M676" s="16" t="s">
        <v>1322</v>
      </c>
      <c r="N676" s="16" t="s">
        <v>914</v>
      </c>
      <c r="O676" s="16" t="s">
        <v>1323</v>
      </c>
      <c r="P676" s="16" t="s">
        <v>914</v>
      </c>
      <c r="Q676" s="16" t="s">
        <v>1323</v>
      </c>
      <c r="R676" s="16" t="s">
        <v>915</v>
      </c>
      <c r="S676" s="16" t="s">
        <v>915</v>
      </c>
      <c r="T676" s="16" t="s">
        <v>1322</v>
      </c>
      <c r="U676" s="16" t="s">
        <v>1324</v>
      </c>
      <c r="V676" s="16" t="s">
        <v>916</v>
      </c>
      <c r="W676" s="16" t="s">
        <v>1324</v>
      </c>
      <c r="X676" s="16" t="s">
        <v>934</v>
      </c>
      <c r="Y676" s="16" t="s">
        <v>934</v>
      </c>
      <c r="Z676" s="16" t="s">
        <v>935</v>
      </c>
      <c r="DA676" s="405" t="s">
        <v>5</v>
      </c>
      <c r="DB676" s="405" t="s">
        <v>363</v>
      </c>
      <c r="DC676" s="406" t="s">
        <v>85</v>
      </c>
      <c r="DD676" s="405" t="s">
        <v>917</v>
      </c>
      <c r="DE676" s="405" t="s">
        <v>5</v>
      </c>
      <c r="DF676" s="406" t="s">
        <v>85</v>
      </c>
      <c r="DG676" s="407">
        <v>45852</v>
      </c>
      <c r="DH676" s="405" t="s">
        <v>5968</v>
      </c>
      <c r="DI676" s="406">
        <v>465455</v>
      </c>
      <c r="DJ676" s="408">
        <v>5</v>
      </c>
      <c r="DK676" s="405">
        <v>1</v>
      </c>
      <c r="DL676" s="82">
        <v>332.47</v>
      </c>
      <c r="DM676" s="409">
        <v>1.6623500000000002</v>
      </c>
      <c r="DN676" s="82" t="s">
        <v>85</v>
      </c>
      <c r="DO676" s="82" t="s">
        <v>85</v>
      </c>
      <c r="DP676" s="410" t="s">
        <v>85</v>
      </c>
    </row>
    <row r="677" spans="1:120" x14ac:dyDescent="0.25">
      <c r="A677" s="16" t="s">
        <v>5965</v>
      </c>
      <c r="B677" s="16" t="s">
        <v>5966</v>
      </c>
      <c r="C677" s="16" t="s">
        <v>5967</v>
      </c>
      <c r="D677" s="16" t="s">
        <v>5686</v>
      </c>
      <c r="E677" s="16" t="s">
        <v>5968</v>
      </c>
      <c r="F677" s="16" t="s">
        <v>5969</v>
      </c>
      <c r="G677" s="16" t="s">
        <v>5970</v>
      </c>
      <c r="H677" s="16" t="s">
        <v>5971</v>
      </c>
      <c r="I677" s="16" t="s">
        <v>1880</v>
      </c>
      <c r="J677" s="16" t="s">
        <v>928</v>
      </c>
      <c r="K677" s="16" t="s">
        <v>1881</v>
      </c>
      <c r="L677" s="16" t="s">
        <v>85</v>
      </c>
      <c r="M677" s="16" t="s">
        <v>1322</v>
      </c>
      <c r="N677" s="16" t="s">
        <v>914</v>
      </c>
      <c r="O677" s="16" t="s">
        <v>1323</v>
      </c>
      <c r="P677" s="16" t="s">
        <v>914</v>
      </c>
      <c r="Q677" s="16" t="s">
        <v>1323</v>
      </c>
      <c r="R677" s="16" t="s">
        <v>915</v>
      </c>
      <c r="S677" s="16" t="s">
        <v>915</v>
      </c>
      <c r="T677" s="16" t="s">
        <v>1322</v>
      </c>
      <c r="U677" s="16" t="s">
        <v>1324</v>
      </c>
      <c r="V677" s="16" t="s">
        <v>916</v>
      </c>
      <c r="W677" s="16" t="s">
        <v>1324</v>
      </c>
      <c r="X677" s="16" t="s">
        <v>934</v>
      </c>
      <c r="Y677" s="16" t="s">
        <v>934</v>
      </c>
      <c r="Z677" s="16" t="s">
        <v>935</v>
      </c>
      <c r="DA677" s="405" t="s">
        <v>5</v>
      </c>
      <c r="DB677" s="405" t="s">
        <v>363</v>
      </c>
      <c r="DC677" s="406" t="s">
        <v>85</v>
      </c>
      <c r="DD677" s="405" t="s">
        <v>917</v>
      </c>
      <c r="DE677" s="405" t="s">
        <v>5</v>
      </c>
      <c r="DF677" s="406" t="s">
        <v>85</v>
      </c>
      <c r="DG677" s="407">
        <v>45852</v>
      </c>
      <c r="DH677" s="405" t="s">
        <v>5968</v>
      </c>
      <c r="DI677" s="406">
        <v>465455</v>
      </c>
      <c r="DJ677" s="408">
        <v>5</v>
      </c>
      <c r="DK677" s="405">
        <v>1</v>
      </c>
      <c r="DL677" s="82">
        <v>332.47</v>
      </c>
      <c r="DM677" s="409">
        <v>1.6623500000000002</v>
      </c>
      <c r="DN677" s="82" t="s">
        <v>85</v>
      </c>
      <c r="DO677" s="82" t="s">
        <v>85</v>
      </c>
      <c r="DP677" s="410" t="s">
        <v>85</v>
      </c>
    </row>
    <row r="678" spans="1:120" x14ac:dyDescent="0.25">
      <c r="A678" s="16" t="s">
        <v>5965</v>
      </c>
      <c r="B678" s="16" t="s">
        <v>5966</v>
      </c>
      <c r="C678" s="16" t="s">
        <v>5967</v>
      </c>
      <c r="D678" s="16" t="s">
        <v>5686</v>
      </c>
      <c r="E678" s="16" t="s">
        <v>5968</v>
      </c>
      <c r="F678" s="16" t="s">
        <v>5969</v>
      </c>
      <c r="G678" s="16" t="s">
        <v>5970</v>
      </c>
      <c r="H678" s="16" t="s">
        <v>5971</v>
      </c>
      <c r="I678" s="16" t="s">
        <v>3041</v>
      </c>
      <c r="J678" s="16" t="s">
        <v>928</v>
      </c>
      <c r="K678" s="16" t="s">
        <v>3042</v>
      </c>
      <c r="L678" s="16" t="s">
        <v>85</v>
      </c>
      <c r="M678" s="16" t="s">
        <v>1322</v>
      </c>
      <c r="N678" s="16" t="s">
        <v>914</v>
      </c>
      <c r="O678" s="16" t="s">
        <v>1323</v>
      </c>
      <c r="P678" s="16" t="s">
        <v>914</v>
      </c>
      <c r="Q678" s="16" t="s">
        <v>1323</v>
      </c>
      <c r="R678" s="16" t="s">
        <v>915</v>
      </c>
      <c r="S678" s="16" t="s">
        <v>915</v>
      </c>
      <c r="T678" s="16" t="s">
        <v>1322</v>
      </c>
      <c r="U678" s="16" t="s">
        <v>1324</v>
      </c>
      <c r="V678" s="16" t="s">
        <v>916</v>
      </c>
      <c r="W678" s="16" t="s">
        <v>1324</v>
      </c>
      <c r="X678" s="16" t="s">
        <v>934</v>
      </c>
      <c r="Y678" s="16" t="s">
        <v>934</v>
      </c>
      <c r="Z678" s="16" t="s">
        <v>935</v>
      </c>
      <c r="DA678" s="405" t="s">
        <v>5</v>
      </c>
      <c r="DB678" s="405" t="s">
        <v>363</v>
      </c>
      <c r="DC678" s="406" t="s">
        <v>85</v>
      </c>
      <c r="DD678" s="405" t="s">
        <v>917</v>
      </c>
      <c r="DE678" s="405" t="s">
        <v>5</v>
      </c>
      <c r="DF678" s="406" t="s">
        <v>85</v>
      </c>
      <c r="DG678" s="407">
        <v>45852</v>
      </c>
      <c r="DH678" s="405" t="s">
        <v>5968</v>
      </c>
      <c r="DI678" s="406">
        <v>465455</v>
      </c>
      <c r="DJ678" s="408">
        <v>5</v>
      </c>
      <c r="DK678" s="405">
        <v>1</v>
      </c>
      <c r="DL678" s="82">
        <v>332.47</v>
      </c>
      <c r="DM678" s="409">
        <v>1.6623500000000002</v>
      </c>
      <c r="DN678" s="82" t="s">
        <v>85</v>
      </c>
      <c r="DO678" s="82" t="s">
        <v>85</v>
      </c>
      <c r="DP678" s="410" t="s">
        <v>85</v>
      </c>
    </row>
    <row r="679" spans="1:120" x14ac:dyDescent="0.25">
      <c r="A679" s="16" t="s">
        <v>5972</v>
      </c>
      <c r="B679" s="16" t="s">
        <v>5973</v>
      </c>
      <c r="C679" s="16" t="s">
        <v>5974</v>
      </c>
      <c r="D679" s="16" t="s">
        <v>5686</v>
      </c>
      <c r="E679" s="16" t="s">
        <v>5975</v>
      </c>
      <c r="F679" s="16" t="s">
        <v>5976</v>
      </c>
      <c r="G679" s="16" t="s">
        <v>5977</v>
      </c>
      <c r="H679" s="16" t="s">
        <v>5978</v>
      </c>
      <c r="I679" s="16" t="s">
        <v>1214</v>
      </c>
      <c r="J679" s="16" t="s">
        <v>1036</v>
      </c>
      <c r="K679" s="16" t="s">
        <v>1215</v>
      </c>
      <c r="L679" s="16" t="s">
        <v>85</v>
      </c>
      <c r="M679" s="16" t="s">
        <v>1216</v>
      </c>
      <c r="N679" s="16" t="s">
        <v>914</v>
      </c>
      <c r="O679" s="16" t="s">
        <v>946</v>
      </c>
      <c r="P679" s="16" t="s">
        <v>914</v>
      </c>
      <c r="Q679" s="16" t="s">
        <v>946</v>
      </c>
      <c r="R679" s="16" t="s">
        <v>915</v>
      </c>
      <c r="S679" s="16" t="s">
        <v>915</v>
      </c>
      <c r="T679" s="16" t="s">
        <v>1216</v>
      </c>
      <c r="U679" s="16" t="s">
        <v>1217</v>
      </c>
      <c r="V679" s="16" t="s">
        <v>916</v>
      </c>
      <c r="W679" s="16" t="s">
        <v>1217</v>
      </c>
      <c r="X679" s="16" t="s">
        <v>934</v>
      </c>
      <c r="Y679" s="16" t="s">
        <v>934</v>
      </c>
      <c r="Z679" s="16" t="s">
        <v>935</v>
      </c>
      <c r="DA679" s="405" t="s">
        <v>5</v>
      </c>
      <c r="DB679" s="405" t="s">
        <v>363</v>
      </c>
      <c r="DC679" s="406" t="s">
        <v>85</v>
      </c>
      <c r="DD679" s="405" t="s">
        <v>917</v>
      </c>
      <c r="DE679" s="405" t="s">
        <v>5</v>
      </c>
      <c r="DF679" s="406" t="s">
        <v>85</v>
      </c>
      <c r="DG679" s="407">
        <v>45852</v>
      </c>
      <c r="DH679" s="405" t="s">
        <v>5975</v>
      </c>
      <c r="DI679" s="406">
        <v>465455</v>
      </c>
      <c r="DJ679" s="408">
        <v>5</v>
      </c>
      <c r="DK679" s="405">
        <v>1</v>
      </c>
      <c r="DL679" s="82">
        <v>319.22000000000003</v>
      </c>
      <c r="DM679" s="409">
        <v>1.5961000000000001</v>
      </c>
      <c r="DN679" s="82" t="s">
        <v>85</v>
      </c>
      <c r="DO679" s="82" t="s">
        <v>85</v>
      </c>
      <c r="DP679" s="410" t="s">
        <v>85</v>
      </c>
    </row>
    <row r="680" spans="1:120" x14ac:dyDescent="0.25">
      <c r="A680" s="16" t="s">
        <v>5979</v>
      </c>
      <c r="B680" s="16" t="s">
        <v>5980</v>
      </c>
      <c r="C680" s="16" t="s">
        <v>5981</v>
      </c>
      <c r="D680" s="16" t="s">
        <v>5686</v>
      </c>
      <c r="E680" s="16" t="s">
        <v>5982</v>
      </c>
      <c r="F680" s="16" t="s">
        <v>5983</v>
      </c>
      <c r="G680" s="16" t="s">
        <v>5984</v>
      </c>
      <c r="H680" s="16" t="s">
        <v>5985</v>
      </c>
      <c r="I680" s="16" t="s">
        <v>1620</v>
      </c>
      <c r="J680" s="16" t="s">
        <v>943</v>
      </c>
      <c r="K680" s="16" t="s">
        <v>1621</v>
      </c>
      <c r="L680" s="16" t="s">
        <v>85</v>
      </c>
      <c r="M680" s="16" t="s">
        <v>984</v>
      </c>
      <c r="N680" s="16" t="s">
        <v>914</v>
      </c>
      <c r="O680" s="16" t="s">
        <v>985</v>
      </c>
      <c r="P680" s="16" t="s">
        <v>914</v>
      </c>
      <c r="Q680" s="16" t="s">
        <v>985</v>
      </c>
      <c r="R680" s="16" t="s">
        <v>915</v>
      </c>
      <c r="S680" s="16" t="s">
        <v>915</v>
      </c>
      <c r="T680" s="16" t="s">
        <v>986</v>
      </c>
      <c r="U680" s="16" t="s">
        <v>987</v>
      </c>
      <c r="V680" s="16" t="s">
        <v>916</v>
      </c>
      <c r="W680" s="16" t="s">
        <v>987</v>
      </c>
      <c r="X680" s="16" t="s">
        <v>934</v>
      </c>
      <c r="Y680" s="16" t="s">
        <v>934</v>
      </c>
      <c r="Z680" s="16" t="s">
        <v>935</v>
      </c>
      <c r="DA680" s="405" t="s">
        <v>5</v>
      </c>
      <c r="DB680" s="405" t="s">
        <v>363</v>
      </c>
      <c r="DC680" s="406" t="s">
        <v>85</v>
      </c>
      <c r="DD680" s="405" t="s">
        <v>917</v>
      </c>
      <c r="DE680" s="405" t="s">
        <v>5</v>
      </c>
      <c r="DF680" s="406" t="s">
        <v>85</v>
      </c>
      <c r="DG680" s="407">
        <v>45852</v>
      </c>
      <c r="DH680" s="405" t="s">
        <v>5982</v>
      </c>
      <c r="DI680" s="406">
        <v>465455</v>
      </c>
      <c r="DJ680" s="408">
        <v>5</v>
      </c>
      <c r="DK680" s="405">
        <v>1</v>
      </c>
      <c r="DL680" s="82">
        <v>340.55</v>
      </c>
      <c r="DM680" s="409">
        <v>1.70275</v>
      </c>
      <c r="DN680" s="82" t="s">
        <v>85</v>
      </c>
      <c r="DO680" s="82" t="s">
        <v>85</v>
      </c>
      <c r="DP680" s="410" t="s">
        <v>85</v>
      </c>
    </row>
    <row r="681" spans="1:120" x14ac:dyDescent="0.25">
      <c r="A681" s="16" t="s">
        <v>5986</v>
      </c>
      <c r="B681" s="16" t="s">
        <v>5987</v>
      </c>
      <c r="C681" s="16" t="s">
        <v>5988</v>
      </c>
      <c r="D681" s="16" t="s">
        <v>5686</v>
      </c>
      <c r="E681" s="16" t="s">
        <v>5989</v>
      </c>
      <c r="F681" s="16" t="s">
        <v>5990</v>
      </c>
      <c r="G681" s="16" t="s">
        <v>5991</v>
      </c>
      <c r="H681" s="16" t="s">
        <v>5992</v>
      </c>
      <c r="I681" s="16" t="s">
        <v>2661</v>
      </c>
      <c r="J681" s="16" t="s">
        <v>943</v>
      </c>
      <c r="K681" s="16" t="s">
        <v>2662</v>
      </c>
      <c r="L681" s="16" t="s">
        <v>85</v>
      </c>
      <c r="M681" s="16" t="s">
        <v>984</v>
      </c>
      <c r="N681" s="16" t="s">
        <v>914</v>
      </c>
      <c r="O681" s="16" t="s">
        <v>985</v>
      </c>
      <c r="P681" s="16" t="s">
        <v>914</v>
      </c>
      <c r="Q681" s="16" t="s">
        <v>985</v>
      </c>
      <c r="R681" s="16" t="s">
        <v>915</v>
      </c>
      <c r="S681" s="16" t="s">
        <v>915</v>
      </c>
      <c r="T681" s="16" t="s">
        <v>986</v>
      </c>
      <c r="U681" s="16" t="s">
        <v>987</v>
      </c>
      <c r="V681" s="16" t="s">
        <v>916</v>
      </c>
      <c r="W681" s="16" t="s">
        <v>987</v>
      </c>
      <c r="X681" s="16" t="s">
        <v>934</v>
      </c>
      <c r="Y681" s="16" t="s">
        <v>934</v>
      </c>
      <c r="Z681" s="16" t="s">
        <v>935</v>
      </c>
      <c r="DA681" s="405" t="s">
        <v>5</v>
      </c>
      <c r="DB681" s="405" t="s">
        <v>363</v>
      </c>
      <c r="DC681" s="406" t="s">
        <v>85</v>
      </c>
      <c r="DD681" s="405" t="s">
        <v>917</v>
      </c>
      <c r="DE681" s="405" t="s">
        <v>5</v>
      </c>
      <c r="DF681" s="406" t="s">
        <v>85</v>
      </c>
      <c r="DG681" s="407">
        <v>45852</v>
      </c>
      <c r="DH681" s="405" t="s">
        <v>5989</v>
      </c>
      <c r="DI681" s="406">
        <v>465455</v>
      </c>
      <c r="DJ681" s="408">
        <v>5</v>
      </c>
      <c r="DK681" s="405">
        <v>1</v>
      </c>
      <c r="DL681" s="82">
        <v>340.55</v>
      </c>
      <c r="DM681" s="409">
        <v>1.70275</v>
      </c>
      <c r="DN681" s="82" t="s">
        <v>85</v>
      </c>
      <c r="DO681" s="82" t="s">
        <v>85</v>
      </c>
      <c r="DP681" s="410" t="s">
        <v>85</v>
      </c>
    </row>
    <row r="682" spans="1:120" x14ac:dyDescent="0.25">
      <c r="A682" s="16" t="s">
        <v>5993</v>
      </c>
      <c r="B682" s="16" t="s">
        <v>5994</v>
      </c>
      <c r="C682" s="16" t="s">
        <v>5995</v>
      </c>
      <c r="D682" s="16" t="s">
        <v>5686</v>
      </c>
      <c r="E682" s="16" t="s">
        <v>5996</v>
      </c>
      <c r="F682" s="16" t="s">
        <v>5997</v>
      </c>
      <c r="G682" s="16" t="s">
        <v>5998</v>
      </c>
      <c r="H682" s="16" t="s">
        <v>5999</v>
      </c>
      <c r="I682" s="16" t="s">
        <v>1494</v>
      </c>
      <c r="J682" s="16" t="s">
        <v>943</v>
      </c>
      <c r="K682" s="16" t="s">
        <v>1495</v>
      </c>
      <c r="L682" s="16" t="s">
        <v>85</v>
      </c>
      <c r="M682" s="16" t="s">
        <v>984</v>
      </c>
      <c r="N682" s="16" t="s">
        <v>914</v>
      </c>
      <c r="O682" s="16" t="s">
        <v>985</v>
      </c>
      <c r="P682" s="16" t="s">
        <v>914</v>
      </c>
      <c r="Q682" s="16" t="s">
        <v>985</v>
      </c>
      <c r="R682" s="16" t="s">
        <v>915</v>
      </c>
      <c r="S682" s="16" t="s">
        <v>915</v>
      </c>
      <c r="T682" s="16" t="s">
        <v>986</v>
      </c>
      <c r="U682" s="16" t="s">
        <v>987</v>
      </c>
      <c r="V682" s="16" t="s">
        <v>916</v>
      </c>
      <c r="W682" s="16" t="s">
        <v>987</v>
      </c>
      <c r="X682" s="16" t="s">
        <v>934</v>
      </c>
      <c r="Y682" s="16" t="s">
        <v>934</v>
      </c>
      <c r="Z682" s="16" t="s">
        <v>935</v>
      </c>
      <c r="DA682" s="405" t="s">
        <v>5</v>
      </c>
      <c r="DB682" s="405" t="s">
        <v>363</v>
      </c>
      <c r="DC682" s="406" t="s">
        <v>85</v>
      </c>
      <c r="DD682" s="405" t="s">
        <v>917</v>
      </c>
      <c r="DE682" s="405" t="s">
        <v>5</v>
      </c>
      <c r="DF682" s="406" t="s">
        <v>85</v>
      </c>
      <c r="DG682" s="407">
        <v>45852</v>
      </c>
      <c r="DH682" s="405" t="s">
        <v>5996</v>
      </c>
      <c r="DI682" s="406">
        <v>465455</v>
      </c>
      <c r="DJ682" s="408">
        <v>5</v>
      </c>
      <c r="DK682" s="405">
        <v>1</v>
      </c>
      <c r="DL682" s="82">
        <v>340.55</v>
      </c>
      <c r="DM682" s="409">
        <v>1.70275</v>
      </c>
      <c r="DN682" s="82" t="s">
        <v>85</v>
      </c>
      <c r="DO682" s="82" t="s">
        <v>85</v>
      </c>
      <c r="DP682" s="410" t="s">
        <v>85</v>
      </c>
    </row>
    <row r="683" spans="1:120" x14ac:dyDescent="0.25">
      <c r="A683" s="16" t="s">
        <v>6000</v>
      </c>
      <c r="B683" s="16" t="s">
        <v>6001</v>
      </c>
      <c r="C683" s="16" t="s">
        <v>6002</v>
      </c>
      <c r="D683" s="16" t="s">
        <v>5686</v>
      </c>
      <c r="E683" s="16" t="s">
        <v>6003</v>
      </c>
      <c r="F683" s="16" t="s">
        <v>6004</v>
      </c>
      <c r="G683" s="16" t="s">
        <v>6005</v>
      </c>
      <c r="H683" s="16" t="s">
        <v>6006</v>
      </c>
      <c r="I683" s="16" t="s">
        <v>1728</v>
      </c>
      <c r="J683" s="16" t="s">
        <v>943</v>
      </c>
      <c r="K683" s="16" t="s">
        <v>1729</v>
      </c>
      <c r="L683" s="16" t="s">
        <v>85</v>
      </c>
      <c r="M683" s="16" t="s">
        <v>984</v>
      </c>
      <c r="N683" s="16" t="s">
        <v>914</v>
      </c>
      <c r="O683" s="16" t="s">
        <v>985</v>
      </c>
      <c r="P683" s="16" t="s">
        <v>914</v>
      </c>
      <c r="Q683" s="16" t="s">
        <v>985</v>
      </c>
      <c r="R683" s="16" t="s">
        <v>915</v>
      </c>
      <c r="S683" s="16" t="s">
        <v>915</v>
      </c>
      <c r="T683" s="16" t="s">
        <v>986</v>
      </c>
      <c r="U683" s="16" t="s">
        <v>987</v>
      </c>
      <c r="V683" s="16" t="s">
        <v>916</v>
      </c>
      <c r="W683" s="16" t="s">
        <v>987</v>
      </c>
      <c r="X683" s="16" t="s">
        <v>934</v>
      </c>
      <c r="Y683" s="16" t="s">
        <v>934</v>
      </c>
      <c r="Z683" s="16" t="s">
        <v>935</v>
      </c>
      <c r="DA683" s="405" t="s">
        <v>5</v>
      </c>
      <c r="DB683" s="405" t="s">
        <v>363</v>
      </c>
      <c r="DC683" s="406" t="s">
        <v>85</v>
      </c>
      <c r="DD683" s="405" t="s">
        <v>917</v>
      </c>
      <c r="DE683" s="405" t="s">
        <v>5</v>
      </c>
      <c r="DF683" s="406" t="s">
        <v>85</v>
      </c>
      <c r="DG683" s="407">
        <v>45852</v>
      </c>
      <c r="DH683" s="405" t="s">
        <v>6003</v>
      </c>
      <c r="DI683" s="406">
        <v>465455</v>
      </c>
      <c r="DJ683" s="408">
        <v>5</v>
      </c>
      <c r="DK683" s="405">
        <v>1</v>
      </c>
      <c r="DL683" s="82">
        <v>340.55</v>
      </c>
      <c r="DM683" s="409">
        <v>1.70275</v>
      </c>
      <c r="DN683" s="82" t="s">
        <v>85</v>
      </c>
      <c r="DO683" s="82" t="s">
        <v>85</v>
      </c>
      <c r="DP683" s="410" t="s">
        <v>85</v>
      </c>
    </row>
    <row r="684" spans="1:120" x14ac:dyDescent="0.25">
      <c r="A684" s="16" t="s">
        <v>6007</v>
      </c>
      <c r="B684" s="16" t="s">
        <v>6008</v>
      </c>
      <c r="C684" s="16" t="s">
        <v>6009</v>
      </c>
      <c r="D684" s="16" t="s">
        <v>5686</v>
      </c>
      <c r="E684" s="16" t="s">
        <v>6010</v>
      </c>
      <c r="F684" s="16" t="s">
        <v>6011</v>
      </c>
      <c r="G684" s="16" t="s">
        <v>6012</v>
      </c>
      <c r="H684" s="16" t="s">
        <v>6013</v>
      </c>
      <c r="I684" s="16" t="s">
        <v>1287</v>
      </c>
      <c r="J684" s="16" t="s">
        <v>943</v>
      </c>
      <c r="K684" s="16" t="s">
        <v>1288</v>
      </c>
      <c r="L684" s="16" t="s">
        <v>85</v>
      </c>
      <c r="M684" s="16" t="s">
        <v>984</v>
      </c>
      <c r="N684" s="16" t="s">
        <v>914</v>
      </c>
      <c r="O684" s="16" t="s">
        <v>985</v>
      </c>
      <c r="P684" s="16" t="s">
        <v>914</v>
      </c>
      <c r="Q684" s="16" t="s">
        <v>985</v>
      </c>
      <c r="R684" s="16" t="s">
        <v>915</v>
      </c>
      <c r="S684" s="16" t="s">
        <v>915</v>
      </c>
      <c r="T684" s="16" t="s">
        <v>986</v>
      </c>
      <c r="U684" s="16" t="s">
        <v>987</v>
      </c>
      <c r="V684" s="16" t="s">
        <v>916</v>
      </c>
      <c r="W684" s="16" t="s">
        <v>987</v>
      </c>
      <c r="X684" s="16" t="s">
        <v>934</v>
      </c>
      <c r="Y684" s="16" t="s">
        <v>934</v>
      </c>
      <c r="Z684" s="16" t="s">
        <v>935</v>
      </c>
      <c r="DA684" s="405" t="s">
        <v>5</v>
      </c>
      <c r="DB684" s="405" t="s">
        <v>363</v>
      </c>
      <c r="DC684" s="406" t="s">
        <v>85</v>
      </c>
      <c r="DD684" s="405" t="s">
        <v>917</v>
      </c>
      <c r="DE684" s="405" t="s">
        <v>5</v>
      </c>
      <c r="DF684" s="406" t="s">
        <v>85</v>
      </c>
      <c r="DG684" s="407">
        <v>45852</v>
      </c>
      <c r="DH684" s="405" t="s">
        <v>6010</v>
      </c>
      <c r="DI684" s="406">
        <v>465455</v>
      </c>
      <c r="DJ684" s="408">
        <v>5</v>
      </c>
      <c r="DK684" s="405">
        <v>1</v>
      </c>
      <c r="DL684" s="82">
        <v>340.55</v>
      </c>
      <c r="DM684" s="409">
        <v>1.70275</v>
      </c>
      <c r="DN684" s="82" t="s">
        <v>85</v>
      </c>
      <c r="DO684" s="82" t="s">
        <v>85</v>
      </c>
      <c r="DP684" s="410" t="s">
        <v>85</v>
      </c>
    </row>
    <row r="685" spans="1:120" x14ac:dyDescent="0.25">
      <c r="A685" s="16" t="s">
        <v>6014</v>
      </c>
      <c r="B685" s="16" t="s">
        <v>6015</v>
      </c>
      <c r="C685" s="16" t="s">
        <v>6016</v>
      </c>
      <c r="D685" s="16" t="s">
        <v>5686</v>
      </c>
      <c r="E685" s="16" t="s">
        <v>6017</v>
      </c>
      <c r="F685" s="16" t="s">
        <v>6018</v>
      </c>
      <c r="G685" s="16" t="s">
        <v>6019</v>
      </c>
      <c r="H685" s="16" t="s">
        <v>6020</v>
      </c>
      <c r="I685" s="16" t="s">
        <v>1598</v>
      </c>
      <c r="J685" s="16" t="s">
        <v>995</v>
      </c>
      <c r="K685" s="16" t="s">
        <v>1599</v>
      </c>
      <c r="L685" s="16" t="s">
        <v>85</v>
      </c>
      <c r="M685" s="16" t="s">
        <v>3840</v>
      </c>
      <c r="N685" s="16" t="s">
        <v>914</v>
      </c>
      <c r="O685" s="16" t="s">
        <v>3841</v>
      </c>
      <c r="P685" s="16" t="s">
        <v>914</v>
      </c>
      <c r="Q685" s="16" t="s">
        <v>3841</v>
      </c>
      <c r="R685" s="16" t="s">
        <v>915</v>
      </c>
      <c r="S685" s="16" t="s">
        <v>915</v>
      </c>
      <c r="T685" s="16" t="s">
        <v>3840</v>
      </c>
      <c r="U685" s="16" t="s">
        <v>3842</v>
      </c>
      <c r="V685" s="16" t="s">
        <v>916</v>
      </c>
      <c r="W685" s="16" t="s">
        <v>3842</v>
      </c>
      <c r="X685" s="16" t="s">
        <v>934</v>
      </c>
      <c r="Y685" s="16" t="s">
        <v>934</v>
      </c>
      <c r="Z685" s="16" t="s">
        <v>935</v>
      </c>
      <c r="DA685" s="405" t="s">
        <v>5</v>
      </c>
      <c r="DB685" s="405" t="s">
        <v>363</v>
      </c>
      <c r="DC685" s="406" t="s">
        <v>85</v>
      </c>
      <c r="DD685" s="405" t="s">
        <v>917</v>
      </c>
      <c r="DE685" s="405" t="s">
        <v>5</v>
      </c>
      <c r="DF685" s="406" t="s">
        <v>85</v>
      </c>
      <c r="DG685" s="407">
        <v>45852</v>
      </c>
      <c r="DH685" s="405" t="s">
        <v>6017</v>
      </c>
      <c r="DI685" s="406">
        <v>465455</v>
      </c>
      <c r="DJ685" s="408">
        <v>5</v>
      </c>
      <c r="DK685" s="405">
        <v>1</v>
      </c>
      <c r="DL685" s="82">
        <v>433.17</v>
      </c>
      <c r="DM685" s="409">
        <v>2.1658500000000003</v>
      </c>
      <c r="DN685" s="82" t="s">
        <v>85</v>
      </c>
      <c r="DO685" s="82" t="s">
        <v>85</v>
      </c>
      <c r="DP685" s="410" t="s">
        <v>85</v>
      </c>
    </row>
    <row r="686" spans="1:120" x14ac:dyDescent="0.25">
      <c r="A686" s="16" t="s">
        <v>6021</v>
      </c>
      <c r="B686" s="16" t="s">
        <v>6022</v>
      </c>
      <c r="C686" s="16" t="s">
        <v>6023</v>
      </c>
      <c r="D686" s="16" t="s">
        <v>5686</v>
      </c>
      <c r="E686" s="16" t="s">
        <v>6024</v>
      </c>
      <c r="F686" s="16" t="s">
        <v>5969</v>
      </c>
      <c r="G686" s="16" t="s">
        <v>6025</v>
      </c>
      <c r="H686" s="16" t="s">
        <v>6026</v>
      </c>
      <c r="I686" s="16" t="s">
        <v>994</v>
      </c>
      <c r="J686" s="16" t="s">
        <v>995</v>
      </c>
      <c r="K686" s="16" t="s">
        <v>996</v>
      </c>
      <c r="L686" s="16" t="s">
        <v>85</v>
      </c>
      <c r="M686" s="16" t="s">
        <v>1165</v>
      </c>
      <c r="N686" s="16" t="s">
        <v>914</v>
      </c>
      <c r="O686" s="16" t="s">
        <v>1166</v>
      </c>
      <c r="P686" s="16" t="s">
        <v>914</v>
      </c>
      <c r="Q686" s="16" t="s">
        <v>1166</v>
      </c>
      <c r="R686" s="16" t="s">
        <v>915</v>
      </c>
      <c r="S686" s="16" t="s">
        <v>915</v>
      </c>
      <c r="T686" s="16" t="s">
        <v>1167</v>
      </c>
      <c r="U686" s="16" t="s">
        <v>1168</v>
      </c>
      <c r="V686" s="16" t="s">
        <v>916</v>
      </c>
      <c r="W686" s="16" t="s">
        <v>1168</v>
      </c>
      <c r="X686" s="16" t="s">
        <v>934</v>
      </c>
      <c r="Y686" s="16" t="s">
        <v>934</v>
      </c>
      <c r="Z686" s="16" t="s">
        <v>935</v>
      </c>
      <c r="DA686" s="405" t="s">
        <v>5</v>
      </c>
      <c r="DB686" s="405" t="s">
        <v>363</v>
      </c>
      <c r="DC686" s="406" t="s">
        <v>85</v>
      </c>
      <c r="DD686" s="405" t="s">
        <v>917</v>
      </c>
      <c r="DE686" s="405" t="s">
        <v>5</v>
      </c>
      <c r="DF686" s="406" t="s">
        <v>85</v>
      </c>
      <c r="DG686" s="407">
        <v>45852</v>
      </c>
      <c r="DH686" s="405" t="s">
        <v>6024</v>
      </c>
      <c r="DI686" s="406">
        <v>465455</v>
      </c>
      <c r="DJ686" s="408">
        <v>5</v>
      </c>
      <c r="DK686" s="405">
        <v>1</v>
      </c>
      <c r="DL686" s="82">
        <v>468.28</v>
      </c>
      <c r="DM686" s="409">
        <v>2.3413999999999997</v>
      </c>
      <c r="DN686" s="82" t="s">
        <v>85</v>
      </c>
      <c r="DO686" s="82" t="s">
        <v>85</v>
      </c>
      <c r="DP686" s="410" t="s">
        <v>85</v>
      </c>
    </row>
    <row r="687" spans="1:120" x14ac:dyDescent="0.25">
      <c r="A687" s="16" t="s">
        <v>6027</v>
      </c>
      <c r="B687" s="16" t="s">
        <v>6028</v>
      </c>
      <c r="C687" s="16" t="s">
        <v>6029</v>
      </c>
      <c r="D687" s="16" t="s">
        <v>5686</v>
      </c>
      <c r="E687" s="16" t="s">
        <v>6030</v>
      </c>
      <c r="F687" s="16" t="s">
        <v>6031</v>
      </c>
      <c r="G687" s="16" t="s">
        <v>6032</v>
      </c>
      <c r="H687" s="16" t="s">
        <v>6033</v>
      </c>
      <c r="I687" s="16" t="s">
        <v>4273</v>
      </c>
      <c r="J687" s="16" t="s">
        <v>943</v>
      </c>
      <c r="K687" s="16" t="s">
        <v>4274</v>
      </c>
      <c r="L687" s="16" t="s">
        <v>85</v>
      </c>
      <c r="M687" s="16" t="s">
        <v>3454</v>
      </c>
      <c r="N687" s="16" t="s">
        <v>914</v>
      </c>
      <c r="O687" s="16" t="s">
        <v>985</v>
      </c>
      <c r="P687" s="16" t="s">
        <v>914</v>
      </c>
      <c r="Q687" s="16" t="s">
        <v>985</v>
      </c>
      <c r="R687" s="16" t="s">
        <v>915</v>
      </c>
      <c r="S687" s="16" t="s">
        <v>915</v>
      </c>
      <c r="T687" s="16" t="s">
        <v>986</v>
      </c>
      <c r="U687" s="16" t="s">
        <v>987</v>
      </c>
      <c r="V687" s="16" t="s">
        <v>1763</v>
      </c>
      <c r="W687" s="16" t="s">
        <v>3455</v>
      </c>
      <c r="X687" s="16" t="s">
        <v>934</v>
      </c>
      <c r="Y687" s="16" t="s">
        <v>934</v>
      </c>
      <c r="Z687" s="16" t="s">
        <v>935</v>
      </c>
      <c r="DA687" s="405" t="s">
        <v>5</v>
      </c>
      <c r="DB687" s="405" t="s">
        <v>363</v>
      </c>
      <c r="DC687" s="406" t="s">
        <v>85</v>
      </c>
      <c r="DD687" s="405" t="s">
        <v>917</v>
      </c>
      <c r="DE687" s="405" t="s">
        <v>5</v>
      </c>
      <c r="DF687" s="406" t="s">
        <v>85</v>
      </c>
      <c r="DG687" s="407">
        <v>45852</v>
      </c>
      <c r="DH687" s="405" t="s">
        <v>6030</v>
      </c>
      <c r="DI687" s="406">
        <v>465455</v>
      </c>
      <c r="DJ687" s="408">
        <v>5</v>
      </c>
      <c r="DK687" s="405">
        <v>2</v>
      </c>
      <c r="DL687" s="82">
        <v>340.55</v>
      </c>
      <c r="DM687" s="409">
        <v>1.70275</v>
      </c>
      <c r="DN687" s="82" t="s">
        <v>85</v>
      </c>
      <c r="DO687" s="82" t="s">
        <v>85</v>
      </c>
      <c r="DP687" s="410" t="s">
        <v>85</v>
      </c>
    </row>
    <row r="688" spans="1:120" x14ac:dyDescent="0.25">
      <c r="A688" s="16" t="s">
        <v>6034</v>
      </c>
      <c r="B688" s="16" t="s">
        <v>6035</v>
      </c>
      <c r="C688" s="16" t="s">
        <v>6036</v>
      </c>
      <c r="D688" s="16" t="s">
        <v>5686</v>
      </c>
      <c r="E688" s="16" t="s">
        <v>6037</v>
      </c>
      <c r="F688" s="16" t="s">
        <v>6038</v>
      </c>
      <c r="G688" s="16" t="s">
        <v>6039</v>
      </c>
      <c r="H688" s="16" t="s">
        <v>6040</v>
      </c>
      <c r="I688" s="16" t="s">
        <v>2958</v>
      </c>
      <c r="J688" s="16" t="s">
        <v>943</v>
      </c>
      <c r="K688" s="16" t="s">
        <v>2959</v>
      </c>
      <c r="L688" s="16" t="s">
        <v>85</v>
      </c>
      <c r="M688" s="16" t="s">
        <v>984</v>
      </c>
      <c r="N688" s="16" t="s">
        <v>914</v>
      </c>
      <c r="O688" s="16" t="s">
        <v>985</v>
      </c>
      <c r="P688" s="16" t="s">
        <v>914</v>
      </c>
      <c r="Q688" s="16" t="s">
        <v>985</v>
      </c>
      <c r="R688" s="16" t="s">
        <v>915</v>
      </c>
      <c r="S688" s="16" t="s">
        <v>915</v>
      </c>
      <c r="T688" s="16" t="s">
        <v>986</v>
      </c>
      <c r="U688" s="16" t="s">
        <v>987</v>
      </c>
      <c r="V688" s="16" t="s">
        <v>916</v>
      </c>
      <c r="W688" s="16" t="s">
        <v>987</v>
      </c>
      <c r="X688" s="16" t="s">
        <v>934</v>
      </c>
      <c r="Y688" s="16" t="s">
        <v>934</v>
      </c>
      <c r="Z688" s="16" t="s">
        <v>935</v>
      </c>
      <c r="DA688" s="405" t="s">
        <v>5</v>
      </c>
      <c r="DB688" s="405" t="s">
        <v>363</v>
      </c>
      <c r="DC688" s="406" t="s">
        <v>85</v>
      </c>
      <c r="DD688" s="405" t="s">
        <v>917</v>
      </c>
      <c r="DE688" s="405" t="s">
        <v>5</v>
      </c>
      <c r="DF688" s="406" t="s">
        <v>85</v>
      </c>
      <c r="DG688" s="407">
        <v>45852</v>
      </c>
      <c r="DH688" s="405" t="s">
        <v>6037</v>
      </c>
      <c r="DI688" s="406">
        <v>465455</v>
      </c>
      <c r="DJ688" s="408">
        <v>5</v>
      </c>
      <c r="DK688" s="405">
        <v>1</v>
      </c>
      <c r="DL688" s="82">
        <v>340.55</v>
      </c>
      <c r="DM688" s="409">
        <v>1.70275</v>
      </c>
      <c r="DN688" s="82" t="s">
        <v>85</v>
      </c>
      <c r="DO688" s="82" t="s">
        <v>85</v>
      </c>
      <c r="DP688" s="410" t="s">
        <v>85</v>
      </c>
    </row>
    <row r="689" spans="1:120" x14ac:dyDescent="0.25">
      <c r="A689" s="16" t="s">
        <v>6041</v>
      </c>
      <c r="B689" s="16" t="s">
        <v>6042</v>
      </c>
      <c r="C689" s="16" t="s">
        <v>6043</v>
      </c>
      <c r="D689" s="16" t="s">
        <v>5686</v>
      </c>
      <c r="E689" s="16" t="s">
        <v>6044</v>
      </c>
      <c r="F689" s="16" t="s">
        <v>6045</v>
      </c>
      <c r="G689" s="16" t="s">
        <v>6046</v>
      </c>
      <c r="H689" s="16" t="s">
        <v>6047</v>
      </c>
      <c r="I689" s="16" t="s">
        <v>6048</v>
      </c>
      <c r="J689" s="16" t="s">
        <v>1123</v>
      </c>
      <c r="K689" s="16" t="s">
        <v>6049</v>
      </c>
      <c r="L689" s="16" t="s">
        <v>85</v>
      </c>
      <c r="M689" s="16" t="s">
        <v>1238</v>
      </c>
      <c r="N689" s="16" t="s">
        <v>914</v>
      </c>
      <c r="O689" s="16" t="s">
        <v>1239</v>
      </c>
      <c r="P689" s="16" t="s">
        <v>914</v>
      </c>
      <c r="Q689" s="16" t="s">
        <v>1239</v>
      </c>
      <c r="R689" s="16" t="s">
        <v>915</v>
      </c>
      <c r="S689" s="16" t="s">
        <v>915</v>
      </c>
      <c r="T689" s="16" t="s">
        <v>1238</v>
      </c>
      <c r="U689" s="16" t="s">
        <v>1240</v>
      </c>
      <c r="V689" s="16" t="s">
        <v>916</v>
      </c>
      <c r="W689" s="16" t="s">
        <v>1240</v>
      </c>
      <c r="X689" s="16" t="s">
        <v>934</v>
      </c>
      <c r="Y689" s="16" t="s">
        <v>934</v>
      </c>
      <c r="Z689" s="16" t="s">
        <v>935</v>
      </c>
      <c r="DA689" s="405" t="s">
        <v>5</v>
      </c>
      <c r="DB689" s="405" t="s">
        <v>363</v>
      </c>
      <c r="DC689" s="406" t="s">
        <v>85</v>
      </c>
      <c r="DD689" s="405" t="s">
        <v>917</v>
      </c>
      <c r="DE689" s="405" t="s">
        <v>5</v>
      </c>
      <c r="DF689" s="406" t="s">
        <v>85</v>
      </c>
      <c r="DG689" s="407">
        <v>45852</v>
      </c>
      <c r="DH689" s="405" t="s">
        <v>6044</v>
      </c>
      <c r="DI689" s="406">
        <v>465455</v>
      </c>
      <c r="DJ689" s="408">
        <v>5</v>
      </c>
      <c r="DK689" s="405">
        <v>1</v>
      </c>
      <c r="DL689" s="82">
        <v>383.16</v>
      </c>
      <c r="DM689" s="409">
        <v>1.9158000000000002</v>
      </c>
      <c r="DN689" s="82" t="s">
        <v>85</v>
      </c>
      <c r="DO689" s="82" t="s">
        <v>85</v>
      </c>
      <c r="DP689" s="410" t="s">
        <v>85</v>
      </c>
    </row>
    <row r="690" spans="1:120" x14ac:dyDescent="0.25">
      <c r="A690" s="16" t="s">
        <v>6050</v>
      </c>
      <c r="B690" s="16" t="s">
        <v>6051</v>
      </c>
      <c r="C690" s="16" t="s">
        <v>6052</v>
      </c>
      <c r="D690" s="16" t="s">
        <v>5686</v>
      </c>
      <c r="E690" s="16" t="s">
        <v>6053</v>
      </c>
      <c r="F690" s="16" t="s">
        <v>6054</v>
      </c>
      <c r="G690" s="16" t="s">
        <v>6055</v>
      </c>
      <c r="H690" s="16" t="s">
        <v>6056</v>
      </c>
      <c r="I690" s="16" t="s">
        <v>1970</v>
      </c>
      <c r="J690" s="16" t="s">
        <v>995</v>
      </c>
      <c r="K690" s="16" t="s">
        <v>1971</v>
      </c>
      <c r="L690" s="16" t="s">
        <v>85</v>
      </c>
      <c r="M690" s="16" t="s">
        <v>1165</v>
      </c>
      <c r="N690" s="16" t="s">
        <v>914</v>
      </c>
      <c r="O690" s="16" t="s">
        <v>1166</v>
      </c>
      <c r="P690" s="16" t="s">
        <v>914</v>
      </c>
      <c r="Q690" s="16" t="s">
        <v>1166</v>
      </c>
      <c r="R690" s="16" t="s">
        <v>915</v>
      </c>
      <c r="S690" s="16" t="s">
        <v>915</v>
      </c>
      <c r="T690" s="16" t="s">
        <v>1167</v>
      </c>
      <c r="U690" s="16" t="s">
        <v>1168</v>
      </c>
      <c r="V690" s="16" t="s">
        <v>916</v>
      </c>
      <c r="W690" s="16" t="s">
        <v>1168</v>
      </c>
      <c r="X690" s="16" t="s">
        <v>934</v>
      </c>
      <c r="Y690" s="16" t="s">
        <v>934</v>
      </c>
      <c r="Z690" s="16" t="s">
        <v>935</v>
      </c>
      <c r="DA690" s="405" t="s">
        <v>5</v>
      </c>
      <c r="DB690" s="405" t="s">
        <v>363</v>
      </c>
      <c r="DC690" s="406" t="s">
        <v>85</v>
      </c>
      <c r="DD690" s="405" t="s">
        <v>917</v>
      </c>
      <c r="DE690" s="405" t="s">
        <v>5</v>
      </c>
      <c r="DF690" s="406" t="s">
        <v>85</v>
      </c>
      <c r="DG690" s="407">
        <v>45852</v>
      </c>
      <c r="DH690" s="405" t="s">
        <v>6053</v>
      </c>
      <c r="DI690" s="406">
        <v>465455</v>
      </c>
      <c r="DJ690" s="408">
        <v>5</v>
      </c>
      <c r="DK690" s="405">
        <v>1</v>
      </c>
      <c r="DL690" s="82">
        <v>468.28</v>
      </c>
      <c r="DM690" s="409">
        <v>2.3413999999999997</v>
      </c>
      <c r="DN690" s="82" t="s">
        <v>85</v>
      </c>
      <c r="DO690" s="82" t="s">
        <v>85</v>
      </c>
      <c r="DP690" s="410" t="s">
        <v>85</v>
      </c>
    </row>
    <row r="691" spans="1:120" x14ac:dyDescent="0.25">
      <c r="A691" s="16" t="s">
        <v>6057</v>
      </c>
      <c r="B691" s="16" t="s">
        <v>6058</v>
      </c>
      <c r="C691" s="16" t="s">
        <v>6059</v>
      </c>
      <c r="D691" s="16" t="s">
        <v>5686</v>
      </c>
      <c r="E691" s="16" t="s">
        <v>6060</v>
      </c>
      <c r="F691" s="16" t="s">
        <v>6061</v>
      </c>
      <c r="G691" s="16" t="s">
        <v>6062</v>
      </c>
      <c r="H691" s="16" t="s">
        <v>6063</v>
      </c>
      <c r="I691" s="16" t="s">
        <v>2958</v>
      </c>
      <c r="J691" s="16" t="s">
        <v>943</v>
      </c>
      <c r="K691" s="16" t="s">
        <v>2959</v>
      </c>
      <c r="L691" s="16" t="s">
        <v>85</v>
      </c>
      <c r="M691" s="16" t="s">
        <v>984</v>
      </c>
      <c r="N691" s="16" t="s">
        <v>914</v>
      </c>
      <c r="O691" s="16" t="s">
        <v>985</v>
      </c>
      <c r="P691" s="16" t="s">
        <v>914</v>
      </c>
      <c r="Q691" s="16" t="s">
        <v>985</v>
      </c>
      <c r="R691" s="16" t="s">
        <v>915</v>
      </c>
      <c r="S691" s="16" t="s">
        <v>915</v>
      </c>
      <c r="T691" s="16" t="s">
        <v>986</v>
      </c>
      <c r="U691" s="16" t="s">
        <v>987</v>
      </c>
      <c r="V691" s="16" t="s">
        <v>916</v>
      </c>
      <c r="W691" s="16" t="s">
        <v>987</v>
      </c>
      <c r="X691" s="16" t="s">
        <v>934</v>
      </c>
      <c r="Y691" s="16" t="s">
        <v>934</v>
      </c>
      <c r="Z691" s="16" t="s">
        <v>935</v>
      </c>
      <c r="DA691" s="405" t="s">
        <v>5</v>
      </c>
      <c r="DB691" s="405" t="s">
        <v>363</v>
      </c>
      <c r="DC691" s="406" t="s">
        <v>85</v>
      </c>
      <c r="DD691" s="405" t="s">
        <v>917</v>
      </c>
      <c r="DE691" s="405" t="s">
        <v>5</v>
      </c>
      <c r="DF691" s="406" t="s">
        <v>85</v>
      </c>
      <c r="DG691" s="407">
        <v>45852</v>
      </c>
      <c r="DH691" s="405" t="s">
        <v>6060</v>
      </c>
      <c r="DI691" s="406">
        <v>465455</v>
      </c>
      <c r="DJ691" s="408">
        <v>5</v>
      </c>
      <c r="DK691" s="405">
        <v>1</v>
      </c>
      <c r="DL691" s="82">
        <v>340.55</v>
      </c>
      <c r="DM691" s="409">
        <v>1.70275</v>
      </c>
      <c r="DN691" s="82" t="s">
        <v>85</v>
      </c>
      <c r="DO691" s="82" t="s">
        <v>85</v>
      </c>
      <c r="DP691" s="410" t="s">
        <v>85</v>
      </c>
    </row>
    <row r="692" spans="1:120" x14ac:dyDescent="0.25">
      <c r="A692" s="16" t="s">
        <v>6064</v>
      </c>
      <c r="B692" s="16" t="s">
        <v>6065</v>
      </c>
      <c r="C692" s="16" t="s">
        <v>6066</v>
      </c>
      <c r="D692" s="16" t="s">
        <v>5686</v>
      </c>
      <c r="E692" s="16" t="s">
        <v>6067</v>
      </c>
      <c r="F692" s="16" t="s">
        <v>5941</v>
      </c>
      <c r="G692" s="16" t="s">
        <v>6068</v>
      </c>
      <c r="H692" s="16" t="s">
        <v>6069</v>
      </c>
      <c r="I692" s="16" t="s">
        <v>1423</v>
      </c>
      <c r="J692" s="16" t="s">
        <v>928</v>
      </c>
      <c r="K692" s="16" t="s">
        <v>1424</v>
      </c>
      <c r="L692" s="16" t="s">
        <v>85</v>
      </c>
      <c r="M692" s="16" t="s">
        <v>1322</v>
      </c>
      <c r="N692" s="16" t="s">
        <v>914</v>
      </c>
      <c r="O692" s="16" t="s">
        <v>1323</v>
      </c>
      <c r="P692" s="16" t="s">
        <v>914</v>
      </c>
      <c r="Q692" s="16" t="s">
        <v>1323</v>
      </c>
      <c r="R692" s="16" t="s">
        <v>915</v>
      </c>
      <c r="S692" s="16" t="s">
        <v>915</v>
      </c>
      <c r="T692" s="16" t="s">
        <v>1322</v>
      </c>
      <c r="U692" s="16" t="s">
        <v>1324</v>
      </c>
      <c r="V692" s="16" t="s">
        <v>916</v>
      </c>
      <c r="W692" s="16" t="s">
        <v>1324</v>
      </c>
      <c r="X692" s="16" t="s">
        <v>934</v>
      </c>
      <c r="Y692" s="16" t="s">
        <v>934</v>
      </c>
      <c r="Z692" s="16" t="s">
        <v>935</v>
      </c>
      <c r="DA692" s="405" t="s">
        <v>5</v>
      </c>
      <c r="DB692" s="405" t="s">
        <v>363</v>
      </c>
      <c r="DC692" s="406" t="s">
        <v>85</v>
      </c>
      <c r="DD692" s="405" t="s">
        <v>917</v>
      </c>
      <c r="DE692" s="405" t="s">
        <v>5</v>
      </c>
      <c r="DF692" s="406" t="s">
        <v>85</v>
      </c>
      <c r="DG692" s="407">
        <v>45852</v>
      </c>
      <c r="DH692" s="405" t="s">
        <v>6067</v>
      </c>
      <c r="DI692" s="406">
        <v>465455</v>
      </c>
      <c r="DJ692" s="408">
        <v>5</v>
      </c>
      <c r="DK692" s="405">
        <v>1</v>
      </c>
      <c r="DL692" s="82">
        <v>332.47</v>
      </c>
      <c r="DM692" s="409">
        <v>1.6623500000000002</v>
      </c>
      <c r="DN692" s="82" t="s">
        <v>85</v>
      </c>
      <c r="DO692" s="82" t="s">
        <v>85</v>
      </c>
      <c r="DP692" s="410" t="s">
        <v>85</v>
      </c>
    </row>
    <row r="693" spans="1:120" x14ac:dyDescent="0.25">
      <c r="A693" s="16" t="s">
        <v>6070</v>
      </c>
      <c r="B693" s="16" t="s">
        <v>6071</v>
      </c>
      <c r="C693" s="16" t="s">
        <v>6072</v>
      </c>
      <c r="D693" s="16" t="s">
        <v>5686</v>
      </c>
      <c r="E693" s="16" t="s">
        <v>6073</v>
      </c>
      <c r="F693" s="16" t="s">
        <v>6074</v>
      </c>
      <c r="G693" s="16" t="s">
        <v>6075</v>
      </c>
      <c r="H693" s="16" t="s">
        <v>6076</v>
      </c>
      <c r="I693" s="16" t="s">
        <v>1017</v>
      </c>
      <c r="J693" s="16" t="s">
        <v>995</v>
      </c>
      <c r="K693" s="16" t="s">
        <v>1018</v>
      </c>
      <c r="L693" s="16" t="s">
        <v>85</v>
      </c>
      <c r="M693" s="16" t="s">
        <v>1165</v>
      </c>
      <c r="N693" s="16" t="s">
        <v>914</v>
      </c>
      <c r="O693" s="16" t="s">
        <v>1166</v>
      </c>
      <c r="P693" s="16" t="s">
        <v>914</v>
      </c>
      <c r="Q693" s="16" t="s">
        <v>1166</v>
      </c>
      <c r="R693" s="16" t="s">
        <v>915</v>
      </c>
      <c r="S693" s="16" t="s">
        <v>915</v>
      </c>
      <c r="T693" s="16" t="s">
        <v>1167</v>
      </c>
      <c r="U693" s="16" t="s">
        <v>1168</v>
      </c>
      <c r="V693" s="16" t="s">
        <v>916</v>
      </c>
      <c r="W693" s="16" t="s">
        <v>1168</v>
      </c>
      <c r="X693" s="16" t="s">
        <v>934</v>
      </c>
      <c r="Y693" s="16" t="s">
        <v>934</v>
      </c>
      <c r="Z693" s="16" t="s">
        <v>935</v>
      </c>
      <c r="DA693" s="405" t="s">
        <v>5</v>
      </c>
      <c r="DB693" s="405" t="s">
        <v>363</v>
      </c>
      <c r="DC693" s="406" t="s">
        <v>85</v>
      </c>
      <c r="DD693" s="405" t="s">
        <v>917</v>
      </c>
      <c r="DE693" s="405" t="s">
        <v>5</v>
      </c>
      <c r="DF693" s="406" t="s">
        <v>85</v>
      </c>
      <c r="DG693" s="407">
        <v>45852</v>
      </c>
      <c r="DH693" s="405" t="s">
        <v>6073</v>
      </c>
      <c r="DI693" s="406">
        <v>465455</v>
      </c>
      <c r="DJ693" s="408">
        <v>5</v>
      </c>
      <c r="DK693" s="405">
        <v>1</v>
      </c>
      <c r="DL693" s="82">
        <v>468.28</v>
      </c>
      <c r="DM693" s="409">
        <v>2.3413999999999997</v>
      </c>
      <c r="DN693" s="82" t="s">
        <v>85</v>
      </c>
      <c r="DO693" s="82" t="s">
        <v>85</v>
      </c>
      <c r="DP693" s="410" t="s">
        <v>85</v>
      </c>
    </row>
    <row r="694" spans="1:120" x14ac:dyDescent="0.25">
      <c r="A694" s="16" t="s">
        <v>6077</v>
      </c>
      <c r="B694" s="16" t="s">
        <v>6078</v>
      </c>
      <c r="C694" s="16" t="s">
        <v>6079</v>
      </c>
      <c r="D694" s="16" t="s">
        <v>5686</v>
      </c>
      <c r="E694" s="16" t="s">
        <v>6080</v>
      </c>
      <c r="F694" s="16" t="s">
        <v>6081</v>
      </c>
      <c r="G694" s="16" t="s">
        <v>6082</v>
      </c>
      <c r="H694" s="16" t="s">
        <v>6083</v>
      </c>
      <c r="I694" s="16" t="s">
        <v>4049</v>
      </c>
      <c r="J694" s="16" t="s">
        <v>928</v>
      </c>
      <c r="K694" s="16" t="s">
        <v>4050</v>
      </c>
      <c r="L694" s="16" t="s">
        <v>85</v>
      </c>
      <c r="M694" s="16" t="s">
        <v>1322</v>
      </c>
      <c r="N694" s="16" t="s">
        <v>914</v>
      </c>
      <c r="O694" s="16" t="s">
        <v>1323</v>
      </c>
      <c r="P694" s="16" t="s">
        <v>914</v>
      </c>
      <c r="Q694" s="16" t="s">
        <v>1323</v>
      </c>
      <c r="R694" s="16" t="s">
        <v>915</v>
      </c>
      <c r="S694" s="16" t="s">
        <v>915</v>
      </c>
      <c r="T694" s="16" t="s">
        <v>1322</v>
      </c>
      <c r="U694" s="16" t="s">
        <v>1324</v>
      </c>
      <c r="V694" s="16" t="s">
        <v>916</v>
      </c>
      <c r="W694" s="16" t="s">
        <v>1324</v>
      </c>
      <c r="X694" s="16" t="s">
        <v>934</v>
      </c>
      <c r="Y694" s="16" t="s">
        <v>934</v>
      </c>
      <c r="Z694" s="16" t="s">
        <v>935</v>
      </c>
      <c r="DA694" s="405" t="s">
        <v>5</v>
      </c>
      <c r="DB694" s="405" t="s">
        <v>363</v>
      </c>
      <c r="DC694" s="406" t="s">
        <v>85</v>
      </c>
      <c r="DD694" s="405" t="s">
        <v>917</v>
      </c>
      <c r="DE694" s="405" t="s">
        <v>5</v>
      </c>
      <c r="DF694" s="406" t="s">
        <v>85</v>
      </c>
      <c r="DG694" s="407">
        <v>45852</v>
      </c>
      <c r="DH694" s="405" t="s">
        <v>6080</v>
      </c>
      <c r="DI694" s="406">
        <v>465455</v>
      </c>
      <c r="DJ694" s="408">
        <v>5</v>
      </c>
      <c r="DK694" s="405">
        <v>1</v>
      </c>
      <c r="DL694" s="82">
        <v>332.47</v>
      </c>
      <c r="DM694" s="409">
        <v>1.6623500000000002</v>
      </c>
      <c r="DN694" s="82" t="s">
        <v>85</v>
      </c>
      <c r="DO694" s="82" t="s">
        <v>85</v>
      </c>
      <c r="DP694" s="410" t="s">
        <v>85</v>
      </c>
    </row>
    <row r="695" spans="1:120" x14ac:dyDescent="0.25">
      <c r="A695" s="16" t="s">
        <v>6084</v>
      </c>
      <c r="B695" s="16" t="s">
        <v>6085</v>
      </c>
      <c r="C695" s="16" t="s">
        <v>6086</v>
      </c>
      <c r="D695" s="16" t="s">
        <v>5686</v>
      </c>
      <c r="E695" s="16" t="s">
        <v>6087</v>
      </c>
      <c r="F695" s="16" t="s">
        <v>6088</v>
      </c>
      <c r="G695" s="16" t="s">
        <v>6089</v>
      </c>
      <c r="H695" s="16" t="s">
        <v>6090</v>
      </c>
      <c r="I695" s="16" t="s">
        <v>1368</v>
      </c>
      <c r="J695" s="16" t="s">
        <v>1123</v>
      </c>
      <c r="K695" s="16" t="s">
        <v>1369</v>
      </c>
      <c r="L695" s="16" t="s">
        <v>85</v>
      </c>
      <c r="M695" s="16" t="s">
        <v>1238</v>
      </c>
      <c r="N695" s="16" t="s">
        <v>914</v>
      </c>
      <c r="O695" s="16" t="s">
        <v>1239</v>
      </c>
      <c r="P695" s="16" t="s">
        <v>914</v>
      </c>
      <c r="Q695" s="16" t="s">
        <v>1239</v>
      </c>
      <c r="R695" s="16" t="s">
        <v>915</v>
      </c>
      <c r="S695" s="16" t="s">
        <v>915</v>
      </c>
      <c r="T695" s="16" t="s">
        <v>1238</v>
      </c>
      <c r="U695" s="16" t="s">
        <v>1240</v>
      </c>
      <c r="V695" s="16" t="s">
        <v>916</v>
      </c>
      <c r="W695" s="16" t="s">
        <v>1240</v>
      </c>
      <c r="X695" s="16" t="s">
        <v>934</v>
      </c>
      <c r="Y695" s="16" t="s">
        <v>934</v>
      </c>
      <c r="Z695" s="16" t="s">
        <v>935</v>
      </c>
      <c r="DA695" s="405" t="s">
        <v>5</v>
      </c>
      <c r="DB695" s="405" t="s">
        <v>363</v>
      </c>
      <c r="DC695" s="406" t="s">
        <v>85</v>
      </c>
      <c r="DD695" s="405" t="s">
        <v>917</v>
      </c>
      <c r="DE695" s="405" t="s">
        <v>5</v>
      </c>
      <c r="DF695" s="406" t="s">
        <v>85</v>
      </c>
      <c r="DG695" s="407">
        <v>45852</v>
      </c>
      <c r="DH695" s="405" t="s">
        <v>6087</v>
      </c>
      <c r="DI695" s="406">
        <v>465455</v>
      </c>
      <c r="DJ695" s="408">
        <v>5</v>
      </c>
      <c r="DK695" s="405">
        <v>1</v>
      </c>
      <c r="DL695" s="82">
        <v>383.16</v>
      </c>
      <c r="DM695" s="409">
        <v>1.9158000000000002</v>
      </c>
      <c r="DN695" s="82" t="s">
        <v>85</v>
      </c>
      <c r="DO695" s="82" t="s">
        <v>85</v>
      </c>
      <c r="DP695" s="410" t="s">
        <v>85</v>
      </c>
    </row>
    <row r="696" spans="1:120" x14ac:dyDescent="0.25">
      <c r="A696" s="16" t="s">
        <v>6091</v>
      </c>
      <c r="B696" s="16" t="s">
        <v>6092</v>
      </c>
      <c r="C696" s="16" t="s">
        <v>6093</v>
      </c>
      <c r="D696" s="16" t="s">
        <v>5686</v>
      </c>
      <c r="E696" s="16" t="s">
        <v>6094</v>
      </c>
      <c r="F696" s="16" t="s">
        <v>6095</v>
      </c>
      <c r="G696" s="16" t="s">
        <v>6096</v>
      </c>
      <c r="H696" s="16" t="s">
        <v>6097</v>
      </c>
      <c r="I696" s="16" t="s">
        <v>1007</v>
      </c>
      <c r="J696" s="16" t="s">
        <v>928</v>
      </c>
      <c r="K696" s="16" t="s">
        <v>1008</v>
      </c>
      <c r="L696" s="16" t="s">
        <v>85</v>
      </c>
      <c r="M696" s="16" t="s">
        <v>1322</v>
      </c>
      <c r="N696" s="16" t="s">
        <v>914</v>
      </c>
      <c r="O696" s="16" t="s">
        <v>1323</v>
      </c>
      <c r="P696" s="16" t="s">
        <v>914</v>
      </c>
      <c r="Q696" s="16" t="s">
        <v>1323</v>
      </c>
      <c r="R696" s="16" t="s">
        <v>915</v>
      </c>
      <c r="S696" s="16" t="s">
        <v>915</v>
      </c>
      <c r="T696" s="16" t="s">
        <v>1322</v>
      </c>
      <c r="U696" s="16" t="s">
        <v>1324</v>
      </c>
      <c r="V696" s="16" t="s">
        <v>916</v>
      </c>
      <c r="W696" s="16" t="s">
        <v>1324</v>
      </c>
      <c r="X696" s="16" t="s">
        <v>934</v>
      </c>
      <c r="Y696" s="16" t="s">
        <v>934</v>
      </c>
      <c r="Z696" s="16" t="s">
        <v>935</v>
      </c>
      <c r="DA696" s="405" t="s">
        <v>5</v>
      </c>
      <c r="DB696" s="405" t="s">
        <v>363</v>
      </c>
      <c r="DC696" s="406" t="s">
        <v>85</v>
      </c>
      <c r="DD696" s="405" t="s">
        <v>917</v>
      </c>
      <c r="DE696" s="405" t="s">
        <v>5</v>
      </c>
      <c r="DF696" s="406" t="s">
        <v>85</v>
      </c>
      <c r="DG696" s="407">
        <v>45852</v>
      </c>
      <c r="DH696" s="405" t="s">
        <v>6094</v>
      </c>
      <c r="DI696" s="406">
        <v>465455</v>
      </c>
      <c r="DJ696" s="408">
        <v>5</v>
      </c>
      <c r="DK696" s="405">
        <v>1</v>
      </c>
      <c r="DL696" s="82">
        <v>332.47</v>
      </c>
      <c r="DM696" s="409">
        <v>1.6623500000000002</v>
      </c>
      <c r="DN696" s="82" t="s">
        <v>85</v>
      </c>
      <c r="DO696" s="82" t="s">
        <v>85</v>
      </c>
      <c r="DP696" s="410" t="s">
        <v>85</v>
      </c>
    </row>
    <row r="697" spans="1:120" x14ac:dyDescent="0.25">
      <c r="A697" s="16" t="s">
        <v>6091</v>
      </c>
      <c r="B697" s="16" t="s">
        <v>6092</v>
      </c>
      <c r="C697" s="16" t="s">
        <v>6093</v>
      </c>
      <c r="D697" s="16" t="s">
        <v>5686</v>
      </c>
      <c r="E697" s="16" t="s">
        <v>6094</v>
      </c>
      <c r="F697" s="16" t="s">
        <v>6095</v>
      </c>
      <c r="G697" s="16" t="s">
        <v>6096</v>
      </c>
      <c r="H697" s="16" t="s">
        <v>6097</v>
      </c>
      <c r="I697" s="16" t="s">
        <v>6098</v>
      </c>
      <c r="J697" s="16" t="s">
        <v>928</v>
      </c>
      <c r="K697" s="16" t="s">
        <v>6099</v>
      </c>
      <c r="L697" s="16" t="s">
        <v>85</v>
      </c>
      <c r="M697" s="16" t="s">
        <v>1322</v>
      </c>
      <c r="N697" s="16" t="s">
        <v>914</v>
      </c>
      <c r="O697" s="16" t="s">
        <v>1323</v>
      </c>
      <c r="P697" s="16" t="s">
        <v>914</v>
      </c>
      <c r="Q697" s="16" t="s">
        <v>1323</v>
      </c>
      <c r="R697" s="16" t="s">
        <v>915</v>
      </c>
      <c r="S697" s="16" t="s">
        <v>915</v>
      </c>
      <c r="T697" s="16" t="s">
        <v>1322</v>
      </c>
      <c r="U697" s="16" t="s">
        <v>1324</v>
      </c>
      <c r="V697" s="16" t="s">
        <v>916</v>
      </c>
      <c r="W697" s="16" t="s">
        <v>1324</v>
      </c>
      <c r="X697" s="16" t="s">
        <v>934</v>
      </c>
      <c r="Y697" s="16" t="s">
        <v>934</v>
      </c>
      <c r="Z697" s="16" t="s">
        <v>935</v>
      </c>
      <c r="DA697" s="405" t="s">
        <v>5</v>
      </c>
      <c r="DB697" s="405" t="s">
        <v>363</v>
      </c>
      <c r="DC697" s="406" t="s">
        <v>85</v>
      </c>
      <c r="DD697" s="405" t="s">
        <v>917</v>
      </c>
      <c r="DE697" s="405" t="s">
        <v>5</v>
      </c>
      <c r="DF697" s="406" t="s">
        <v>85</v>
      </c>
      <c r="DG697" s="407">
        <v>45852</v>
      </c>
      <c r="DH697" s="405" t="s">
        <v>6094</v>
      </c>
      <c r="DI697" s="406">
        <v>465455</v>
      </c>
      <c r="DJ697" s="408">
        <v>5</v>
      </c>
      <c r="DK697" s="405">
        <v>1</v>
      </c>
      <c r="DL697" s="82">
        <v>332.47</v>
      </c>
      <c r="DM697" s="409">
        <v>1.6623500000000002</v>
      </c>
      <c r="DN697" s="82" t="s">
        <v>85</v>
      </c>
      <c r="DO697" s="82" t="s">
        <v>85</v>
      </c>
      <c r="DP697" s="410" t="s">
        <v>85</v>
      </c>
    </row>
    <row r="698" spans="1:120" x14ac:dyDescent="0.25">
      <c r="A698" s="16" t="s">
        <v>6100</v>
      </c>
      <c r="B698" s="16" t="s">
        <v>6101</v>
      </c>
      <c r="C698" s="16" t="s">
        <v>6102</v>
      </c>
      <c r="D698" s="16" t="s">
        <v>5686</v>
      </c>
      <c r="E698" s="16" t="s">
        <v>6103</v>
      </c>
      <c r="F698" s="16" t="s">
        <v>6104</v>
      </c>
      <c r="G698" s="16" t="s">
        <v>6105</v>
      </c>
      <c r="H698" s="16" t="s">
        <v>6106</v>
      </c>
      <c r="I698" s="16" t="s">
        <v>3164</v>
      </c>
      <c r="J698" s="16" t="s">
        <v>995</v>
      </c>
      <c r="K698" s="16" t="s">
        <v>3165</v>
      </c>
      <c r="L698" s="16" t="s">
        <v>85</v>
      </c>
      <c r="M698" s="16" t="s">
        <v>1165</v>
      </c>
      <c r="N698" s="16" t="s">
        <v>914</v>
      </c>
      <c r="O698" s="16" t="s">
        <v>1166</v>
      </c>
      <c r="P698" s="16" t="s">
        <v>914</v>
      </c>
      <c r="Q698" s="16" t="s">
        <v>1166</v>
      </c>
      <c r="R698" s="16" t="s">
        <v>915</v>
      </c>
      <c r="S698" s="16" t="s">
        <v>915</v>
      </c>
      <c r="T698" s="16" t="s">
        <v>1167</v>
      </c>
      <c r="U698" s="16" t="s">
        <v>1168</v>
      </c>
      <c r="V698" s="16" t="s">
        <v>916</v>
      </c>
      <c r="W698" s="16" t="s">
        <v>1168</v>
      </c>
      <c r="X698" s="16" t="s">
        <v>934</v>
      </c>
      <c r="Y698" s="16" t="s">
        <v>934</v>
      </c>
      <c r="Z698" s="16" t="s">
        <v>935</v>
      </c>
      <c r="DA698" s="405" t="s">
        <v>5</v>
      </c>
      <c r="DB698" s="405" t="s">
        <v>363</v>
      </c>
      <c r="DC698" s="406" t="s">
        <v>85</v>
      </c>
      <c r="DD698" s="405" t="s">
        <v>917</v>
      </c>
      <c r="DE698" s="405" t="s">
        <v>5</v>
      </c>
      <c r="DF698" s="406" t="s">
        <v>85</v>
      </c>
      <c r="DG698" s="407">
        <v>45852</v>
      </c>
      <c r="DH698" s="405" t="s">
        <v>6103</v>
      </c>
      <c r="DI698" s="406">
        <v>465455</v>
      </c>
      <c r="DJ698" s="408">
        <v>5</v>
      </c>
      <c r="DK698" s="405">
        <v>1</v>
      </c>
      <c r="DL698" s="82">
        <v>468.28</v>
      </c>
      <c r="DM698" s="409">
        <v>2.3413999999999997</v>
      </c>
      <c r="DN698" s="82" t="s">
        <v>85</v>
      </c>
      <c r="DO698" s="82" t="s">
        <v>85</v>
      </c>
      <c r="DP698" s="410" t="s">
        <v>85</v>
      </c>
    </row>
    <row r="699" spans="1:120" x14ac:dyDescent="0.25">
      <c r="A699" s="16" t="s">
        <v>5440</v>
      </c>
      <c r="B699" s="16" t="s">
        <v>5441</v>
      </c>
      <c r="C699" s="16" t="s">
        <v>5442</v>
      </c>
      <c r="D699" s="16" t="s">
        <v>5435</v>
      </c>
      <c r="E699" s="16" t="s">
        <v>5443</v>
      </c>
      <c r="F699" s="16" t="s">
        <v>5444</v>
      </c>
      <c r="G699" s="16" t="s">
        <v>5445</v>
      </c>
      <c r="H699" s="16" t="s">
        <v>5446</v>
      </c>
      <c r="I699" s="16" t="s">
        <v>1214</v>
      </c>
      <c r="J699" s="16" t="s">
        <v>1036</v>
      </c>
      <c r="K699" s="16" t="s">
        <v>1215</v>
      </c>
      <c r="L699" s="16" t="s">
        <v>85</v>
      </c>
      <c r="M699" s="16" t="s">
        <v>5447</v>
      </c>
      <c r="N699" s="16" t="s">
        <v>914</v>
      </c>
      <c r="O699" s="16" t="s">
        <v>5448</v>
      </c>
      <c r="P699" s="16" t="s">
        <v>914</v>
      </c>
      <c r="Q699" s="16" t="s">
        <v>5448</v>
      </c>
      <c r="R699" s="16" t="s">
        <v>915</v>
      </c>
      <c r="S699" s="16" t="s">
        <v>915</v>
      </c>
      <c r="T699" s="16" t="s">
        <v>5447</v>
      </c>
      <c r="U699" s="16" t="s">
        <v>5449</v>
      </c>
      <c r="V699" s="16" t="s">
        <v>916</v>
      </c>
      <c r="W699" s="16" t="s">
        <v>5449</v>
      </c>
      <c r="X699" s="16" t="s">
        <v>934</v>
      </c>
      <c r="Y699" s="16" t="s">
        <v>934</v>
      </c>
      <c r="Z699" s="16" t="s">
        <v>935</v>
      </c>
      <c r="DA699" s="405" t="s">
        <v>5</v>
      </c>
      <c r="DB699" s="405" t="s">
        <v>363</v>
      </c>
      <c r="DC699" s="406" t="s">
        <v>85</v>
      </c>
      <c r="DD699" s="405" t="s">
        <v>917</v>
      </c>
      <c r="DE699" s="405" t="s">
        <v>5</v>
      </c>
      <c r="DF699" s="406" t="s">
        <v>85</v>
      </c>
      <c r="DG699" s="407">
        <v>45853</v>
      </c>
      <c r="DH699" s="405" t="s">
        <v>5443</v>
      </c>
      <c r="DI699" s="406">
        <v>465455</v>
      </c>
      <c r="DJ699" s="408">
        <v>5</v>
      </c>
      <c r="DK699" s="405">
        <v>1</v>
      </c>
      <c r="DL699" s="82">
        <v>295.27999999999997</v>
      </c>
      <c r="DM699" s="409">
        <v>1.4763999999999999</v>
      </c>
      <c r="DN699" s="82" t="s">
        <v>85</v>
      </c>
      <c r="DO699" s="82" t="s">
        <v>85</v>
      </c>
      <c r="DP699" s="410" t="s">
        <v>85</v>
      </c>
    </row>
    <row r="700" spans="1:120" x14ac:dyDescent="0.25">
      <c r="A700" s="16" t="s">
        <v>5450</v>
      </c>
      <c r="B700" s="16" t="s">
        <v>5451</v>
      </c>
      <c r="C700" s="16" t="s">
        <v>5452</v>
      </c>
      <c r="D700" s="16" t="s">
        <v>5435</v>
      </c>
      <c r="E700" s="16" t="s">
        <v>5453</v>
      </c>
      <c r="F700" s="16" t="s">
        <v>5454</v>
      </c>
      <c r="G700" s="16" t="s">
        <v>5455</v>
      </c>
      <c r="H700" s="16" t="s">
        <v>5456</v>
      </c>
      <c r="I700" s="16" t="s">
        <v>968</v>
      </c>
      <c r="J700" s="16" t="s">
        <v>943</v>
      </c>
      <c r="K700" s="16" t="s">
        <v>969</v>
      </c>
      <c r="L700" s="16" t="s">
        <v>85</v>
      </c>
      <c r="M700" s="16" t="s">
        <v>984</v>
      </c>
      <c r="N700" s="16" t="s">
        <v>914</v>
      </c>
      <c r="O700" s="16" t="s">
        <v>985</v>
      </c>
      <c r="P700" s="16" t="s">
        <v>914</v>
      </c>
      <c r="Q700" s="16" t="s">
        <v>985</v>
      </c>
      <c r="R700" s="16" t="s">
        <v>915</v>
      </c>
      <c r="S700" s="16" t="s">
        <v>915</v>
      </c>
      <c r="T700" s="16" t="s">
        <v>986</v>
      </c>
      <c r="U700" s="16" t="s">
        <v>987</v>
      </c>
      <c r="V700" s="16" t="s">
        <v>916</v>
      </c>
      <c r="W700" s="16" t="s">
        <v>987</v>
      </c>
      <c r="X700" s="16" t="s">
        <v>934</v>
      </c>
      <c r="Y700" s="16" t="s">
        <v>934</v>
      </c>
      <c r="Z700" s="16" t="s">
        <v>935</v>
      </c>
      <c r="DA700" s="405" t="s">
        <v>5</v>
      </c>
      <c r="DB700" s="405" t="s">
        <v>363</v>
      </c>
      <c r="DC700" s="406" t="s">
        <v>85</v>
      </c>
      <c r="DD700" s="405" t="s">
        <v>917</v>
      </c>
      <c r="DE700" s="405" t="s">
        <v>5</v>
      </c>
      <c r="DF700" s="406" t="s">
        <v>85</v>
      </c>
      <c r="DG700" s="407">
        <v>45853</v>
      </c>
      <c r="DH700" s="405" t="s">
        <v>5453</v>
      </c>
      <c r="DI700" s="406">
        <v>465455</v>
      </c>
      <c r="DJ700" s="408">
        <v>5</v>
      </c>
      <c r="DK700" s="405">
        <v>1</v>
      </c>
      <c r="DL700" s="82">
        <v>340.55</v>
      </c>
      <c r="DM700" s="409">
        <v>1.70275</v>
      </c>
      <c r="DN700" s="82" t="s">
        <v>85</v>
      </c>
      <c r="DO700" s="82" t="s">
        <v>85</v>
      </c>
      <c r="DP700" s="410" t="s">
        <v>85</v>
      </c>
    </row>
    <row r="701" spans="1:120" x14ac:dyDescent="0.25">
      <c r="A701" s="16" t="s">
        <v>5457</v>
      </c>
      <c r="B701" s="16" t="s">
        <v>5458</v>
      </c>
      <c r="C701" s="16" t="s">
        <v>5459</v>
      </c>
      <c r="D701" s="16" t="s">
        <v>5435</v>
      </c>
      <c r="E701" s="16" t="s">
        <v>5460</v>
      </c>
      <c r="F701" s="16" t="s">
        <v>5461</v>
      </c>
      <c r="G701" s="16" t="s">
        <v>5462</v>
      </c>
      <c r="H701" s="16" t="s">
        <v>5463</v>
      </c>
      <c r="I701" s="16" t="s">
        <v>5464</v>
      </c>
      <c r="J701" s="16" t="s">
        <v>943</v>
      </c>
      <c r="K701" s="16" t="s">
        <v>5465</v>
      </c>
      <c r="L701" s="16" t="s">
        <v>85</v>
      </c>
      <c r="M701" s="16" t="s">
        <v>984</v>
      </c>
      <c r="N701" s="16" t="s">
        <v>914</v>
      </c>
      <c r="O701" s="16" t="s">
        <v>985</v>
      </c>
      <c r="P701" s="16" t="s">
        <v>914</v>
      </c>
      <c r="Q701" s="16" t="s">
        <v>985</v>
      </c>
      <c r="R701" s="16" t="s">
        <v>915</v>
      </c>
      <c r="S701" s="16" t="s">
        <v>915</v>
      </c>
      <c r="T701" s="16" t="s">
        <v>986</v>
      </c>
      <c r="U701" s="16" t="s">
        <v>987</v>
      </c>
      <c r="V701" s="16" t="s">
        <v>916</v>
      </c>
      <c r="W701" s="16" t="s">
        <v>987</v>
      </c>
      <c r="X701" s="16" t="s">
        <v>934</v>
      </c>
      <c r="Y701" s="16" t="s">
        <v>934</v>
      </c>
      <c r="Z701" s="16" t="s">
        <v>935</v>
      </c>
      <c r="DA701" s="405" t="s">
        <v>5</v>
      </c>
      <c r="DB701" s="405" t="s">
        <v>363</v>
      </c>
      <c r="DC701" s="406" t="s">
        <v>85</v>
      </c>
      <c r="DD701" s="405" t="s">
        <v>917</v>
      </c>
      <c r="DE701" s="405" t="s">
        <v>5</v>
      </c>
      <c r="DF701" s="406" t="s">
        <v>85</v>
      </c>
      <c r="DG701" s="407">
        <v>45853</v>
      </c>
      <c r="DH701" s="405" t="s">
        <v>5460</v>
      </c>
      <c r="DI701" s="406">
        <v>465455</v>
      </c>
      <c r="DJ701" s="408">
        <v>5</v>
      </c>
      <c r="DK701" s="405">
        <v>1</v>
      </c>
      <c r="DL701" s="82">
        <v>340.55</v>
      </c>
      <c r="DM701" s="409">
        <v>1.70275</v>
      </c>
      <c r="DN701" s="82" t="s">
        <v>85</v>
      </c>
      <c r="DO701" s="82" t="s">
        <v>85</v>
      </c>
      <c r="DP701" s="410" t="s">
        <v>85</v>
      </c>
    </row>
    <row r="702" spans="1:120" x14ac:dyDescent="0.25">
      <c r="A702" s="16" t="s">
        <v>5466</v>
      </c>
      <c r="B702" s="16" t="s">
        <v>5467</v>
      </c>
      <c r="C702" s="16" t="s">
        <v>5468</v>
      </c>
      <c r="D702" s="16" t="s">
        <v>5435</v>
      </c>
      <c r="E702" s="16" t="s">
        <v>5469</v>
      </c>
      <c r="F702" s="16" t="s">
        <v>5470</v>
      </c>
      <c r="G702" s="16" t="s">
        <v>5471</v>
      </c>
      <c r="H702" s="16" t="s">
        <v>5472</v>
      </c>
      <c r="I702" s="16" t="s">
        <v>2056</v>
      </c>
      <c r="J702" s="16" t="s">
        <v>943</v>
      </c>
      <c r="K702" s="16" t="s">
        <v>2057</v>
      </c>
      <c r="L702" s="16" t="s">
        <v>85</v>
      </c>
      <c r="M702" s="16" t="s">
        <v>1152</v>
      </c>
      <c r="N702" s="16" t="s">
        <v>914</v>
      </c>
      <c r="O702" s="16" t="s">
        <v>1153</v>
      </c>
      <c r="P702" s="16" t="s">
        <v>914</v>
      </c>
      <c r="Q702" s="16" t="s">
        <v>1153</v>
      </c>
      <c r="R702" s="16" t="s">
        <v>915</v>
      </c>
      <c r="S702" s="16" t="s">
        <v>915</v>
      </c>
      <c r="T702" s="16" t="s">
        <v>1154</v>
      </c>
      <c r="U702" s="16" t="s">
        <v>1155</v>
      </c>
      <c r="V702" s="16" t="s">
        <v>916</v>
      </c>
      <c r="W702" s="16" t="s">
        <v>1155</v>
      </c>
      <c r="X702" s="16" t="s">
        <v>934</v>
      </c>
      <c r="Y702" s="16" t="s">
        <v>934</v>
      </c>
      <c r="Z702" s="16" t="s">
        <v>935</v>
      </c>
      <c r="DA702" s="405" t="s">
        <v>5</v>
      </c>
      <c r="DB702" s="405" t="s">
        <v>363</v>
      </c>
      <c r="DC702" s="406" t="s">
        <v>85</v>
      </c>
      <c r="DD702" s="405" t="s">
        <v>917</v>
      </c>
      <c r="DE702" s="405" t="s">
        <v>5</v>
      </c>
      <c r="DF702" s="406" t="s">
        <v>85</v>
      </c>
      <c r="DG702" s="407">
        <v>45853</v>
      </c>
      <c r="DH702" s="405" t="s">
        <v>5469</v>
      </c>
      <c r="DI702" s="406">
        <v>465455</v>
      </c>
      <c r="DJ702" s="408">
        <v>5</v>
      </c>
      <c r="DK702" s="405">
        <v>1</v>
      </c>
      <c r="DL702" s="82">
        <v>308.62</v>
      </c>
      <c r="DM702" s="409">
        <v>1.5431000000000001</v>
      </c>
      <c r="DN702" s="82" t="s">
        <v>85</v>
      </c>
      <c r="DO702" s="82" t="s">
        <v>85</v>
      </c>
      <c r="DP702" s="410" t="s">
        <v>85</v>
      </c>
    </row>
    <row r="703" spans="1:120" x14ac:dyDescent="0.25">
      <c r="A703" s="16" t="s">
        <v>5473</v>
      </c>
      <c r="B703" s="16" t="s">
        <v>5474</v>
      </c>
      <c r="C703" s="16" t="s">
        <v>5475</v>
      </c>
      <c r="D703" s="16" t="s">
        <v>5435</v>
      </c>
      <c r="E703" s="16" t="s">
        <v>5476</v>
      </c>
      <c r="F703" s="16" t="s">
        <v>5477</v>
      </c>
      <c r="G703" s="16" t="s">
        <v>5478</v>
      </c>
      <c r="H703" s="16" t="s">
        <v>5477</v>
      </c>
      <c r="I703" s="16" t="s">
        <v>1929</v>
      </c>
      <c r="J703" s="16" t="s">
        <v>995</v>
      </c>
      <c r="K703" s="16" t="s">
        <v>1930</v>
      </c>
      <c r="L703" s="16" t="s">
        <v>85</v>
      </c>
      <c r="M703" s="16" t="s">
        <v>3840</v>
      </c>
      <c r="N703" s="16" t="s">
        <v>914</v>
      </c>
      <c r="O703" s="16" t="s">
        <v>3841</v>
      </c>
      <c r="P703" s="16" t="s">
        <v>914</v>
      </c>
      <c r="Q703" s="16" t="s">
        <v>3841</v>
      </c>
      <c r="R703" s="16" t="s">
        <v>915</v>
      </c>
      <c r="S703" s="16" t="s">
        <v>915</v>
      </c>
      <c r="T703" s="16" t="s">
        <v>3840</v>
      </c>
      <c r="U703" s="16" t="s">
        <v>3842</v>
      </c>
      <c r="V703" s="16" t="s">
        <v>916</v>
      </c>
      <c r="W703" s="16" t="s">
        <v>3842</v>
      </c>
      <c r="X703" s="16" t="s">
        <v>934</v>
      </c>
      <c r="Y703" s="16" t="s">
        <v>934</v>
      </c>
      <c r="Z703" s="16" t="s">
        <v>935</v>
      </c>
      <c r="DA703" s="405" t="s">
        <v>5</v>
      </c>
      <c r="DB703" s="405" t="s">
        <v>363</v>
      </c>
      <c r="DC703" s="406" t="s">
        <v>85</v>
      </c>
      <c r="DD703" s="405" t="s">
        <v>917</v>
      </c>
      <c r="DE703" s="405" t="s">
        <v>5</v>
      </c>
      <c r="DF703" s="406" t="s">
        <v>85</v>
      </c>
      <c r="DG703" s="407">
        <v>45853</v>
      </c>
      <c r="DH703" s="405" t="s">
        <v>5476</v>
      </c>
      <c r="DI703" s="406">
        <v>465455</v>
      </c>
      <c r="DJ703" s="408">
        <v>5</v>
      </c>
      <c r="DK703" s="405">
        <v>1</v>
      </c>
      <c r="DL703" s="82">
        <v>433.17</v>
      </c>
      <c r="DM703" s="409">
        <v>2.1658500000000003</v>
      </c>
      <c r="DN703" s="82" t="s">
        <v>85</v>
      </c>
      <c r="DO703" s="82" t="s">
        <v>85</v>
      </c>
      <c r="DP703" s="410" t="s">
        <v>85</v>
      </c>
    </row>
    <row r="704" spans="1:120" x14ac:dyDescent="0.25">
      <c r="A704" s="16" t="s">
        <v>5479</v>
      </c>
      <c r="B704" s="16" t="s">
        <v>5480</v>
      </c>
      <c r="C704" s="16" t="s">
        <v>5481</v>
      </c>
      <c r="D704" s="16" t="s">
        <v>5435</v>
      </c>
      <c r="E704" s="16" t="s">
        <v>5482</v>
      </c>
      <c r="F704" s="16" t="s">
        <v>5483</v>
      </c>
      <c r="G704" s="16" t="s">
        <v>5484</v>
      </c>
      <c r="H704" s="16" t="s">
        <v>5485</v>
      </c>
      <c r="I704" s="16" t="s">
        <v>2661</v>
      </c>
      <c r="J704" s="16" t="s">
        <v>943</v>
      </c>
      <c r="K704" s="16" t="s">
        <v>2662</v>
      </c>
      <c r="L704" s="16" t="s">
        <v>85</v>
      </c>
      <c r="M704" s="16" t="s">
        <v>1152</v>
      </c>
      <c r="N704" s="16" t="s">
        <v>914</v>
      </c>
      <c r="O704" s="16" t="s">
        <v>1153</v>
      </c>
      <c r="P704" s="16" t="s">
        <v>914</v>
      </c>
      <c r="Q704" s="16" t="s">
        <v>1153</v>
      </c>
      <c r="R704" s="16" t="s">
        <v>915</v>
      </c>
      <c r="S704" s="16" t="s">
        <v>915</v>
      </c>
      <c r="T704" s="16" t="s">
        <v>1154</v>
      </c>
      <c r="U704" s="16" t="s">
        <v>1155</v>
      </c>
      <c r="V704" s="16" t="s">
        <v>916</v>
      </c>
      <c r="W704" s="16" t="s">
        <v>1155</v>
      </c>
      <c r="X704" s="16" t="s">
        <v>934</v>
      </c>
      <c r="Y704" s="16" t="s">
        <v>934</v>
      </c>
      <c r="Z704" s="16" t="s">
        <v>935</v>
      </c>
      <c r="DA704" s="405" t="s">
        <v>5</v>
      </c>
      <c r="DB704" s="405" t="s">
        <v>363</v>
      </c>
      <c r="DC704" s="406" t="s">
        <v>85</v>
      </c>
      <c r="DD704" s="405" t="s">
        <v>917</v>
      </c>
      <c r="DE704" s="405" t="s">
        <v>5</v>
      </c>
      <c r="DF704" s="406" t="s">
        <v>85</v>
      </c>
      <c r="DG704" s="407">
        <v>45853</v>
      </c>
      <c r="DH704" s="405" t="s">
        <v>5482</v>
      </c>
      <c r="DI704" s="406">
        <v>465455</v>
      </c>
      <c r="DJ704" s="408">
        <v>5</v>
      </c>
      <c r="DK704" s="405">
        <v>1</v>
      </c>
      <c r="DL704" s="82">
        <v>308.62</v>
      </c>
      <c r="DM704" s="409">
        <v>1.5431000000000001</v>
      </c>
      <c r="DN704" s="82" t="s">
        <v>85</v>
      </c>
      <c r="DO704" s="82" t="s">
        <v>85</v>
      </c>
      <c r="DP704" s="410" t="s">
        <v>85</v>
      </c>
    </row>
    <row r="705" spans="1:120" x14ac:dyDescent="0.25">
      <c r="A705" s="16" t="s">
        <v>5479</v>
      </c>
      <c r="B705" s="16" t="s">
        <v>5480</v>
      </c>
      <c r="C705" s="16" t="s">
        <v>5481</v>
      </c>
      <c r="D705" s="16" t="s">
        <v>5435</v>
      </c>
      <c r="E705" s="16" t="s">
        <v>5482</v>
      </c>
      <c r="F705" s="16" t="s">
        <v>5483</v>
      </c>
      <c r="G705" s="16" t="s">
        <v>5484</v>
      </c>
      <c r="H705" s="16" t="s">
        <v>5485</v>
      </c>
      <c r="I705" s="16" t="s">
        <v>2793</v>
      </c>
      <c r="J705" s="16" t="s">
        <v>943</v>
      </c>
      <c r="K705" s="16" t="s">
        <v>2794</v>
      </c>
      <c r="L705" s="16" t="s">
        <v>85</v>
      </c>
      <c r="M705" s="16" t="s">
        <v>1152</v>
      </c>
      <c r="N705" s="16" t="s">
        <v>914</v>
      </c>
      <c r="O705" s="16" t="s">
        <v>1153</v>
      </c>
      <c r="P705" s="16" t="s">
        <v>914</v>
      </c>
      <c r="Q705" s="16" t="s">
        <v>1153</v>
      </c>
      <c r="R705" s="16" t="s">
        <v>915</v>
      </c>
      <c r="S705" s="16" t="s">
        <v>915</v>
      </c>
      <c r="T705" s="16" t="s">
        <v>1154</v>
      </c>
      <c r="U705" s="16" t="s">
        <v>1155</v>
      </c>
      <c r="V705" s="16" t="s">
        <v>916</v>
      </c>
      <c r="W705" s="16" t="s">
        <v>1155</v>
      </c>
      <c r="X705" s="16" t="s">
        <v>934</v>
      </c>
      <c r="Y705" s="16" t="s">
        <v>934</v>
      </c>
      <c r="Z705" s="16" t="s">
        <v>935</v>
      </c>
      <c r="DA705" s="405" t="s">
        <v>5</v>
      </c>
      <c r="DB705" s="405" t="s">
        <v>363</v>
      </c>
      <c r="DC705" s="406" t="s">
        <v>85</v>
      </c>
      <c r="DD705" s="405" t="s">
        <v>917</v>
      </c>
      <c r="DE705" s="405" t="s">
        <v>5</v>
      </c>
      <c r="DF705" s="406" t="s">
        <v>85</v>
      </c>
      <c r="DG705" s="407">
        <v>45853</v>
      </c>
      <c r="DH705" s="405" t="s">
        <v>5482</v>
      </c>
      <c r="DI705" s="406">
        <v>465455</v>
      </c>
      <c r="DJ705" s="408">
        <v>5</v>
      </c>
      <c r="DK705" s="405">
        <v>1</v>
      </c>
      <c r="DL705" s="82">
        <v>308.62</v>
      </c>
      <c r="DM705" s="409">
        <v>1.5431000000000001</v>
      </c>
      <c r="DN705" s="82" t="s">
        <v>85</v>
      </c>
      <c r="DO705" s="82" t="s">
        <v>85</v>
      </c>
      <c r="DP705" s="410" t="s">
        <v>85</v>
      </c>
    </row>
    <row r="706" spans="1:120" x14ac:dyDescent="0.25">
      <c r="A706" s="16" t="s">
        <v>5479</v>
      </c>
      <c r="B706" s="16" t="s">
        <v>5480</v>
      </c>
      <c r="C706" s="16" t="s">
        <v>5481</v>
      </c>
      <c r="D706" s="16" t="s">
        <v>5435</v>
      </c>
      <c r="E706" s="16" t="s">
        <v>5482</v>
      </c>
      <c r="F706" s="16" t="s">
        <v>5483</v>
      </c>
      <c r="G706" s="16" t="s">
        <v>5484</v>
      </c>
      <c r="H706" s="16" t="s">
        <v>5485</v>
      </c>
      <c r="I706" s="16" t="s">
        <v>2958</v>
      </c>
      <c r="J706" s="16" t="s">
        <v>943</v>
      </c>
      <c r="K706" s="16" t="s">
        <v>2959</v>
      </c>
      <c r="L706" s="16" t="s">
        <v>85</v>
      </c>
      <c r="M706" s="16" t="s">
        <v>1152</v>
      </c>
      <c r="N706" s="16" t="s">
        <v>914</v>
      </c>
      <c r="O706" s="16" t="s">
        <v>1153</v>
      </c>
      <c r="P706" s="16" t="s">
        <v>914</v>
      </c>
      <c r="Q706" s="16" t="s">
        <v>1153</v>
      </c>
      <c r="R706" s="16" t="s">
        <v>915</v>
      </c>
      <c r="S706" s="16" t="s">
        <v>915</v>
      </c>
      <c r="T706" s="16" t="s">
        <v>1154</v>
      </c>
      <c r="U706" s="16" t="s">
        <v>1155</v>
      </c>
      <c r="V706" s="16" t="s">
        <v>916</v>
      </c>
      <c r="W706" s="16" t="s">
        <v>1155</v>
      </c>
      <c r="X706" s="16" t="s">
        <v>934</v>
      </c>
      <c r="Y706" s="16" t="s">
        <v>934</v>
      </c>
      <c r="Z706" s="16" t="s">
        <v>935</v>
      </c>
      <c r="DA706" s="405" t="s">
        <v>5</v>
      </c>
      <c r="DB706" s="405" t="s">
        <v>363</v>
      </c>
      <c r="DC706" s="406" t="s">
        <v>85</v>
      </c>
      <c r="DD706" s="405" t="s">
        <v>917</v>
      </c>
      <c r="DE706" s="405" t="s">
        <v>5</v>
      </c>
      <c r="DF706" s="406" t="s">
        <v>85</v>
      </c>
      <c r="DG706" s="407">
        <v>45853</v>
      </c>
      <c r="DH706" s="405" t="s">
        <v>5482</v>
      </c>
      <c r="DI706" s="406">
        <v>465455</v>
      </c>
      <c r="DJ706" s="408">
        <v>5</v>
      </c>
      <c r="DK706" s="405">
        <v>1</v>
      </c>
      <c r="DL706" s="82">
        <v>308.62</v>
      </c>
      <c r="DM706" s="409">
        <v>1.5431000000000001</v>
      </c>
      <c r="DN706" s="82" t="s">
        <v>85</v>
      </c>
      <c r="DO706" s="82" t="s">
        <v>85</v>
      </c>
      <c r="DP706" s="410" t="s">
        <v>85</v>
      </c>
    </row>
    <row r="707" spans="1:120" x14ac:dyDescent="0.25">
      <c r="A707" s="16" t="s">
        <v>5479</v>
      </c>
      <c r="B707" s="16" t="s">
        <v>5480</v>
      </c>
      <c r="C707" s="16" t="s">
        <v>5481</v>
      </c>
      <c r="D707" s="16" t="s">
        <v>5435</v>
      </c>
      <c r="E707" s="16" t="s">
        <v>5482</v>
      </c>
      <c r="F707" s="16" t="s">
        <v>5483</v>
      </c>
      <c r="G707" s="16" t="s">
        <v>5484</v>
      </c>
      <c r="H707" s="16" t="s">
        <v>5485</v>
      </c>
      <c r="I707" s="16" t="s">
        <v>2960</v>
      </c>
      <c r="J707" s="16" t="s">
        <v>943</v>
      </c>
      <c r="K707" s="16" t="s">
        <v>2961</v>
      </c>
      <c r="L707" s="16" t="s">
        <v>85</v>
      </c>
      <c r="M707" s="16" t="s">
        <v>1152</v>
      </c>
      <c r="N707" s="16" t="s">
        <v>914</v>
      </c>
      <c r="O707" s="16" t="s">
        <v>1153</v>
      </c>
      <c r="P707" s="16" t="s">
        <v>914</v>
      </c>
      <c r="Q707" s="16" t="s">
        <v>1153</v>
      </c>
      <c r="R707" s="16" t="s">
        <v>915</v>
      </c>
      <c r="S707" s="16" t="s">
        <v>915</v>
      </c>
      <c r="T707" s="16" t="s">
        <v>1154</v>
      </c>
      <c r="U707" s="16" t="s">
        <v>1155</v>
      </c>
      <c r="V707" s="16" t="s">
        <v>916</v>
      </c>
      <c r="W707" s="16" t="s">
        <v>1155</v>
      </c>
      <c r="X707" s="16" t="s">
        <v>934</v>
      </c>
      <c r="Y707" s="16" t="s">
        <v>934</v>
      </c>
      <c r="Z707" s="16" t="s">
        <v>935</v>
      </c>
      <c r="DA707" s="405" t="s">
        <v>5</v>
      </c>
      <c r="DB707" s="405" t="s">
        <v>363</v>
      </c>
      <c r="DC707" s="406" t="s">
        <v>85</v>
      </c>
      <c r="DD707" s="405" t="s">
        <v>917</v>
      </c>
      <c r="DE707" s="405" t="s">
        <v>5</v>
      </c>
      <c r="DF707" s="406" t="s">
        <v>85</v>
      </c>
      <c r="DG707" s="407">
        <v>45853</v>
      </c>
      <c r="DH707" s="405" t="s">
        <v>5482</v>
      </c>
      <c r="DI707" s="406">
        <v>465455</v>
      </c>
      <c r="DJ707" s="408">
        <v>5</v>
      </c>
      <c r="DK707" s="405">
        <v>1</v>
      </c>
      <c r="DL707" s="82">
        <v>308.62</v>
      </c>
      <c r="DM707" s="409">
        <v>1.5431000000000001</v>
      </c>
      <c r="DN707" s="82" t="s">
        <v>85</v>
      </c>
      <c r="DO707" s="82" t="s">
        <v>85</v>
      </c>
      <c r="DP707" s="410" t="s">
        <v>85</v>
      </c>
    </row>
    <row r="708" spans="1:120" x14ac:dyDescent="0.25">
      <c r="A708" s="16" t="s">
        <v>5486</v>
      </c>
      <c r="B708" s="16" t="s">
        <v>5487</v>
      </c>
      <c r="C708" s="16" t="s">
        <v>5488</v>
      </c>
      <c r="D708" s="16" t="s">
        <v>5435</v>
      </c>
      <c r="E708" s="16" t="s">
        <v>5489</v>
      </c>
      <c r="F708" s="16" t="s">
        <v>5490</v>
      </c>
      <c r="G708" s="16" t="s">
        <v>5491</v>
      </c>
      <c r="H708" s="16" t="s">
        <v>5492</v>
      </c>
      <c r="I708" s="16" t="s">
        <v>2473</v>
      </c>
      <c r="J708" s="16" t="s">
        <v>928</v>
      </c>
      <c r="K708" s="16" t="s">
        <v>2474</v>
      </c>
      <c r="L708" s="16" t="s">
        <v>85</v>
      </c>
      <c r="M708" s="16" t="s">
        <v>5493</v>
      </c>
      <c r="N708" s="16" t="s">
        <v>914</v>
      </c>
      <c r="O708" s="16" t="s">
        <v>5494</v>
      </c>
      <c r="P708" s="16" t="s">
        <v>914</v>
      </c>
      <c r="Q708" s="16" t="s">
        <v>5494</v>
      </c>
      <c r="R708" s="16" t="s">
        <v>915</v>
      </c>
      <c r="S708" s="16" t="s">
        <v>915</v>
      </c>
      <c r="T708" s="16" t="s">
        <v>5495</v>
      </c>
      <c r="U708" s="16" t="s">
        <v>5496</v>
      </c>
      <c r="V708" s="16" t="s">
        <v>916</v>
      </c>
      <c r="W708" s="16" t="s">
        <v>5496</v>
      </c>
      <c r="X708" s="16" t="s">
        <v>934</v>
      </c>
      <c r="Y708" s="16" t="s">
        <v>934</v>
      </c>
      <c r="Z708" s="16" t="s">
        <v>935</v>
      </c>
      <c r="DA708" s="405" t="s">
        <v>5</v>
      </c>
      <c r="DB708" s="405" t="s">
        <v>363</v>
      </c>
      <c r="DC708" s="406" t="s">
        <v>85</v>
      </c>
      <c r="DD708" s="405" t="s">
        <v>917</v>
      </c>
      <c r="DE708" s="405" t="s">
        <v>5</v>
      </c>
      <c r="DF708" s="406" t="s">
        <v>85</v>
      </c>
      <c r="DG708" s="407">
        <v>45853</v>
      </c>
      <c r="DH708" s="405" t="s">
        <v>5489</v>
      </c>
      <c r="DI708" s="406">
        <v>465455</v>
      </c>
      <c r="DJ708" s="408">
        <v>5</v>
      </c>
      <c r="DK708" s="405">
        <v>1</v>
      </c>
      <c r="DL708" s="82">
        <v>312.52999999999997</v>
      </c>
      <c r="DM708" s="409">
        <v>1.5626499999999999</v>
      </c>
      <c r="DN708" s="82" t="s">
        <v>85</v>
      </c>
      <c r="DO708" s="82" t="s">
        <v>85</v>
      </c>
      <c r="DP708" s="410" t="s">
        <v>85</v>
      </c>
    </row>
    <row r="709" spans="1:120" x14ac:dyDescent="0.25">
      <c r="A709" s="16" t="s">
        <v>5497</v>
      </c>
      <c r="B709" s="16" t="s">
        <v>5498</v>
      </c>
      <c r="C709" s="16" t="s">
        <v>5499</v>
      </c>
      <c r="D709" s="16" t="s">
        <v>5435</v>
      </c>
      <c r="E709" s="16" t="s">
        <v>5500</v>
      </c>
      <c r="F709" s="16" t="s">
        <v>5501</v>
      </c>
      <c r="G709" s="16" t="s">
        <v>5502</v>
      </c>
      <c r="H709" s="16" t="s">
        <v>5503</v>
      </c>
      <c r="I709" s="16" t="s">
        <v>1075</v>
      </c>
      <c r="J709" s="16" t="s">
        <v>1036</v>
      </c>
      <c r="K709" s="16" t="s">
        <v>1076</v>
      </c>
      <c r="L709" s="16" t="s">
        <v>85</v>
      </c>
      <c r="M709" s="16" t="s">
        <v>1216</v>
      </c>
      <c r="N709" s="16" t="s">
        <v>914</v>
      </c>
      <c r="O709" s="16" t="s">
        <v>946</v>
      </c>
      <c r="P709" s="16" t="s">
        <v>914</v>
      </c>
      <c r="Q709" s="16" t="s">
        <v>946</v>
      </c>
      <c r="R709" s="16" t="s">
        <v>915</v>
      </c>
      <c r="S709" s="16" t="s">
        <v>915</v>
      </c>
      <c r="T709" s="16" t="s">
        <v>1216</v>
      </c>
      <c r="U709" s="16" t="s">
        <v>1217</v>
      </c>
      <c r="V709" s="16" t="s">
        <v>916</v>
      </c>
      <c r="W709" s="16" t="s">
        <v>1217</v>
      </c>
      <c r="X709" s="16" t="s">
        <v>934</v>
      </c>
      <c r="Y709" s="16" t="s">
        <v>934</v>
      </c>
      <c r="Z709" s="16" t="s">
        <v>935</v>
      </c>
      <c r="DA709" s="405" t="s">
        <v>5</v>
      </c>
      <c r="DB709" s="405" t="s">
        <v>363</v>
      </c>
      <c r="DC709" s="406" t="s">
        <v>85</v>
      </c>
      <c r="DD709" s="405" t="s">
        <v>917</v>
      </c>
      <c r="DE709" s="405" t="s">
        <v>5</v>
      </c>
      <c r="DF709" s="406" t="s">
        <v>85</v>
      </c>
      <c r="DG709" s="407">
        <v>45853</v>
      </c>
      <c r="DH709" s="405" t="s">
        <v>5500</v>
      </c>
      <c r="DI709" s="406">
        <v>465455</v>
      </c>
      <c r="DJ709" s="408">
        <v>5</v>
      </c>
      <c r="DK709" s="405">
        <v>1</v>
      </c>
      <c r="DL709" s="82">
        <v>319.22000000000003</v>
      </c>
      <c r="DM709" s="409">
        <v>1.5961000000000001</v>
      </c>
      <c r="DN709" s="82" t="s">
        <v>85</v>
      </c>
      <c r="DO709" s="82" t="s">
        <v>85</v>
      </c>
      <c r="DP709" s="410" t="s">
        <v>85</v>
      </c>
    </row>
    <row r="710" spans="1:120" x14ac:dyDescent="0.25">
      <c r="A710" s="16" t="s">
        <v>5504</v>
      </c>
      <c r="B710" s="16" t="s">
        <v>5505</v>
      </c>
      <c r="C710" s="16" t="s">
        <v>5506</v>
      </c>
      <c r="D710" s="16" t="s">
        <v>5435</v>
      </c>
      <c r="E710" s="16" t="s">
        <v>5507</v>
      </c>
      <c r="F710" s="16" t="s">
        <v>5508</v>
      </c>
      <c r="G710" s="16" t="s">
        <v>5509</v>
      </c>
      <c r="H710" s="16" t="s">
        <v>5508</v>
      </c>
      <c r="I710" s="16" t="s">
        <v>2661</v>
      </c>
      <c r="J710" s="16" t="s">
        <v>943</v>
      </c>
      <c r="K710" s="16" t="s">
        <v>2662</v>
      </c>
      <c r="L710" s="16" t="s">
        <v>85</v>
      </c>
      <c r="M710" s="16" t="s">
        <v>984</v>
      </c>
      <c r="N710" s="16" t="s">
        <v>914</v>
      </c>
      <c r="O710" s="16" t="s">
        <v>985</v>
      </c>
      <c r="P710" s="16" t="s">
        <v>914</v>
      </c>
      <c r="Q710" s="16" t="s">
        <v>985</v>
      </c>
      <c r="R710" s="16" t="s">
        <v>915</v>
      </c>
      <c r="S710" s="16" t="s">
        <v>915</v>
      </c>
      <c r="T710" s="16" t="s">
        <v>986</v>
      </c>
      <c r="U710" s="16" t="s">
        <v>987</v>
      </c>
      <c r="V710" s="16" t="s">
        <v>916</v>
      </c>
      <c r="W710" s="16" t="s">
        <v>987</v>
      </c>
      <c r="X710" s="16" t="s">
        <v>934</v>
      </c>
      <c r="Y710" s="16" t="s">
        <v>934</v>
      </c>
      <c r="Z710" s="16" t="s">
        <v>935</v>
      </c>
      <c r="DA710" s="405" t="s">
        <v>5</v>
      </c>
      <c r="DB710" s="405" t="s">
        <v>363</v>
      </c>
      <c r="DC710" s="406" t="s">
        <v>85</v>
      </c>
      <c r="DD710" s="405" t="s">
        <v>917</v>
      </c>
      <c r="DE710" s="405" t="s">
        <v>5</v>
      </c>
      <c r="DF710" s="406" t="s">
        <v>85</v>
      </c>
      <c r="DG710" s="407">
        <v>45853</v>
      </c>
      <c r="DH710" s="405" t="s">
        <v>5507</v>
      </c>
      <c r="DI710" s="406">
        <v>465455</v>
      </c>
      <c r="DJ710" s="408">
        <v>5</v>
      </c>
      <c r="DK710" s="405">
        <v>1</v>
      </c>
      <c r="DL710" s="82">
        <v>340.55</v>
      </c>
      <c r="DM710" s="409">
        <v>1.70275</v>
      </c>
      <c r="DN710" s="82" t="s">
        <v>85</v>
      </c>
      <c r="DO710" s="82" t="s">
        <v>85</v>
      </c>
      <c r="DP710" s="410" t="s">
        <v>85</v>
      </c>
    </row>
    <row r="711" spans="1:120" x14ac:dyDescent="0.25">
      <c r="A711" s="16" t="s">
        <v>5510</v>
      </c>
      <c r="B711" s="16" t="s">
        <v>5511</v>
      </c>
      <c r="C711" s="16" t="s">
        <v>5512</v>
      </c>
      <c r="D711" s="16" t="s">
        <v>5435</v>
      </c>
      <c r="E711" s="16" t="s">
        <v>5513</v>
      </c>
      <c r="F711" s="16" t="s">
        <v>5514</v>
      </c>
      <c r="G711" s="16" t="s">
        <v>5515</v>
      </c>
      <c r="H711" s="16" t="s">
        <v>5516</v>
      </c>
      <c r="I711" s="16" t="s">
        <v>2822</v>
      </c>
      <c r="J711" s="16" t="s">
        <v>943</v>
      </c>
      <c r="K711" s="16" t="s">
        <v>2823</v>
      </c>
      <c r="L711" s="16" t="s">
        <v>85</v>
      </c>
      <c r="M711" s="16" t="s">
        <v>984</v>
      </c>
      <c r="N711" s="16" t="s">
        <v>914</v>
      </c>
      <c r="O711" s="16" t="s">
        <v>985</v>
      </c>
      <c r="P711" s="16" t="s">
        <v>914</v>
      </c>
      <c r="Q711" s="16" t="s">
        <v>985</v>
      </c>
      <c r="R711" s="16" t="s">
        <v>915</v>
      </c>
      <c r="S711" s="16" t="s">
        <v>915</v>
      </c>
      <c r="T711" s="16" t="s">
        <v>986</v>
      </c>
      <c r="U711" s="16" t="s">
        <v>987</v>
      </c>
      <c r="V711" s="16" t="s">
        <v>916</v>
      </c>
      <c r="W711" s="16" t="s">
        <v>987</v>
      </c>
      <c r="X711" s="16" t="s">
        <v>934</v>
      </c>
      <c r="Y711" s="16" t="s">
        <v>934</v>
      </c>
      <c r="Z711" s="16" t="s">
        <v>935</v>
      </c>
      <c r="DA711" s="405" t="s">
        <v>5</v>
      </c>
      <c r="DB711" s="405" t="s">
        <v>363</v>
      </c>
      <c r="DC711" s="406" t="s">
        <v>85</v>
      </c>
      <c r="DD711" s="405" t="s">
        <v>917</v>
      </c>
      <c r="DE711" s="405" t="s">
        <v>5</v>
      </c>
      <c r="DF711" s="406" t="s">
        <v>85</v>
      </c>
      <c r="DG711" s="407">
        <v>45853</v>
      </c>
      <c r="DH711" s="405" t="s">
        <v>5513</v>
      </c>
      <c r="DI711" s="406">
        <v>465455</v>
      </c>
      <c r="DJ711" s="408">
        <v>5</v>
      </c>
      <c r="DK711" s="405">
        <v>1</v>
      </c>
      <c r="DL711" s="82">
        <v>340.55</v>
      </c>
      <c r="DM711" s="409">
        <v>1.70275</v>
      </c>
      <c r="DN711" s="82" t="s">
        <v>85</v>
      </c>
      <c r="DO711" s="82" t="s">
        <v>85</v>
      </c>
      <c r="DP711" s="410" t="s">
        <v>85</v>
      </c>
    </row>
    <row r="712" spans="1:120" x14ac:dyDescent="0.25">
      <c r="A712" s="16" t="s">
        <v>5517</v>
      </c>
      <c r="B712" s="16" t="s">
        <v>5518</v>
      </c>
      <c r="C712" s="16" t="s">
        <v>5519</v>
      </c>
      <c r="D712" s="16" t="s">
        <v>5435</v>
      </c>
      <c r="E712" s="16" t="s">
        <v>5520</v>
      </c>
      <c r="F712" s="16" t="s">
        <v>5521</v>
      </c>
      <c r="G712" s="16" t="s">
        <v>5522</v>
      </c>
      <c r="H712" s="16" t="s">
        <v>5521</v>
      </c>
      <c r="I712" s="16" t="s">
        <v>1269</v>
      </c>
      <c r="J712" s="16" t="s">
        <v>943</v>
      </c>
      <c r="K712" s="16" t="s">
        <v>1270</v>
      </c>
      <c r="L712" s="16" t="s">
        <v>85</v>
      </c>
      <c r="M712" s="16" t="s">
        <v>984</v>
      </c>
      <c r="N712" s="16" t="s">
        <v>914</v>
      </c>
      <c r="O712" s="16" t="s">
        <v>985</v>
      </c>
      <c r="P712" s="16" t="s">
        <v>914</v>
      </c>
      <c r="Q712" s="16" t="s">
        <v>985</v>
      </c>
      <c r="R712" s="16" t="s">
        <v>915</v>
      </c>
      <c r="S712" s="16" t="s">
        <v>915</v>
      </c>
      <c r="T712" s="16" t="s">
        <v>986</v>
      </c>
      <c r="U712" s="16" t="s">
        <v>987</v>
      </c>
      <c r="V712" s="16" t="s">
        <v>916</v>
      </c>
      <c r="W712" s="16" t="s">
        <v>987</v>
      </c>
      <c r="X712" s="16" t="s">
        <v>934</v>
      </c>
      <c r="Y712" s="16" t="s">
        <v>934</v>
      </c>
      <c r="Z712" s="16" t="s">
        <v>935</v>
      </c>
      <c r="DA712" s="405" t="s">
        <v>5</v>
      </c>
      <c r="DB712" s="405" t="s">
        <v>363</v>
      </c>
      <c r="DC712" s="406" t="s">
        <v>85</v>
      </c>
      <c r="DD712" s="405" t="s">
        <v>917</v>
      </c>
      <c r="DE712" s="405" t="s">
        <v>5</v>
      </c>
      <c r="DF712" s="406" t="s">
        <v>85</v>
      </c>
      <c r="DG712" s="407">
        <v>45853</v>
      </c>
      <c r="DH712" s="405" t="s">
        <v>5520</v>
      </c>
      <c r="DI712" s="406">
        <v>465455</v>
      </c>
      <c r="DJ712" s="408">
        <v>5</v>
      </c>
      <c r="DK712" s="405">
        <v>1</v>
      </c>
      <c r="DL712" s="82">
        <v>340.55</v>
      </c>
      <c r="DM712" s="409">
        <v>1.70275</v>
      </c>
      <c r="DN712" s="82" t="s">
        <v>85</v>
      </c>
      <c r="DO712" s="82" t="s">
        <v>85</v>
      </c>
      <c r="DP712" s="410" t="s">
        <v>85</v>
      </c>
    </row>
    <row r="713" spans="1:120" x14ac:dyDescent="0.25">
      <c r="A713" s="16" t="s">
        <v>5523</v>
      </c>
      <c r="B713" s="16" t="s">
        <v>5524</v>
      </c>
      <c r="C713" s="16" t="s">
        <v>5525</v>
      </c>
      <c r="D713" s="16" t="s">
        <v>5435</v>
      </c>
      <c r="E713" s="16" t="s">
        <v>5526</v>
      </c>
      <c r="F713" s="16" t="s">
        <v>5527</v>
      </c>
      <c r="G713" s="16" t="s">
        <v>5528</v>
      </c>
      <c r="H713" s="16" t="s">
        <v>5527</v>
      </c>
      <c r="I713" s="16" t="s">
        <v>1690</v>
      </c>
      <c r="J713" s="16" t="s">
        <v>928</v>
      </c>
      <c r="K713" s="16" t="s">
        <v>1691</v>
      </c>
      <c r="L713" s="16" t="s">
        <v>85</v>
      </c>
      <c r="M713" s="16" t="s">
        <v>1322</v>
      </c>
      <c r="N713" s="16" t="s">
        <v>914</v>
      </c>
      <c r="O713" s="16" t="s">
        <v>1323</v>
      </c>
      <c r="P713" s="16" t="s">
        <v>914</v>
      </c>
      <c r="Q713" s="16" t="s">
        <v>1323</v>
      </c>
      <c r="R713" s="16" t="s">
        <v>915</v>
      </c>
      <c r="S713" s="16" t="s">
        <v>915</v>
      </c>
      <c r="T713" s="16" t="s">
        <v>1322</v>
      </c>
      <c r="U713" s="16" t="s">
        <v>1324</v>
      </c>
      <c r="V713" s="16" t="s">
        <v>916</v>
      </c>
      <c r="W713" s="16" t="s">
        <v>1324</v>
      </c>
      <c r="X713" s="16" t="s">
        <v>934</v>
      </c>
      <c r="Y713" s="16" t="s">
        <v>934</v>
      </c>
      <c r="Z713" s="16" t="s">
        <v>935</v>
      </c>
      <c r="DA713" s="405" t="s">
        <v>5</v>
      </c>
      <c r="DB713" s="405" t="s">
        <v>363</v>
      </c>
      <c r="DC713" s="406" t="s">
        <v>85</v>
      </c>
      <c r="DD713" s="405" t="s">
        <v>917</v>
      </c>
      <c r="DE713" s="405" t="s">
        <v>5</v>
      </c>
      <c r="DF713" s="406" t="s">
        <v>85</v>
      </c>
      <c r="DG713" s="407">
        <v>45853</v>
      </c>
      <c r="DH713" s="405" t="s">
        <v>5526</v>
      </c>
      <c r="DI713" s="406">
        <v>465455</v>
      </c>
      <c r="DJ713" s="408">
        <v>5</v>
      </c>
      <c r="DK713" s="405">
        <v>1</v>
      </c>
      <c r="DL713" s="82">
        <v>332.47</v>
      </c>
      <c r="DM713" s="409">
        <v>1.6623500000000002</v>
      </c>
      <c r="DN713" s="82" t="s">
        <v>85</v>
      </c>
      <c r="DO713" s="82" t="s">
        <v>85</v>
      </c>
      <c r="DP713" s="410" t="s">
        <v>85</v>
      </c>
    </row>
    <row r="714" spans="1:120" x14ac:dyDescent="0.25">
      <c r="A714" s="16" t="s">
        <v>5529</v>
      </c>
      <c r="B714" s="16" t="s">
        <v>5530</v>
      </c>
      <c r="C714" s="16" t="s">
        <v>5531</v>
      </c>
      <c r="D714" s="16" t="s">
        <v>5435</v>
      </c>
      <c r="E714" s="16" t="s">
        <v>5532</v>
      </c>
      <c r="F714" s="16" t="s">
        <v>5533</v>
      </c>
      <c r="G714" s="16" t="s">
        <v>5534</v>
      </c>
      <c r="H714" s="16" t="s">
        <v>5533</v>
      </c>
      <c r="I714" s="16" t="s">
        <v>1711</v>
      </c>
      <c r="J714" s="16" t="s">
        <v>943</v>
      </c>
      <c r="K714" s="16" t="s">
        <v>1712</v>
      </c>
      <c r="L714" s="16" t="s">
        <v>85</v>
      </c>
      <c r="M714" s="16" t="s">
        <v>984</v>
      </c>
      <c r="N714" s="16" t="s">
        <v>914</v>
      </c>
      <c r="O714" s="16" t="s">
        <v>985</v>
      </c>
      <c r="P714" s="16" t="s">
        <v>914</v>
      </c>
      <c r="Q714" s="16" t="s">
        <v>985</v>
      </c>
      <c r="R714" s="16" t="s">
        <v>915</v>
      </c>
      <c r="S714" s="16" t="s">
        <v>915</v>
      </c>
      <c r="T714" s="16" t="s">
        <v>986</v>
      </c>
      <c r="U714" s="16" t="s">
        <v>987</v>
      </c>
      <c r="V714" s="16" t="s">
        <v>916</v>
      </c>
      <c r="W714" s="16" t="s">
        <v>987</v>
      </c>
      <c r="X714" s="16" t="s">
        <v>934</v>
      </c>
      <c r="Y714" s="16" t="s">
        <v>934</v>
      </c>
      <c r="Z714" s="16" t="s">
        <v>935</v>
      </c>
      <c r="DA714" s="405" t="s">
        <v>5</v>
      </c>
      <c r="DB714" s="405" t="s">
        <v>363</v>
      </c>
      <c r="DC714" s="406" t="s">
        <v>85</v>
      </c>
      <c r="DD714" s="405" t="s">
        <v>917</v>
      </c>
      <c r="DE714" s="405" t="s">
        <v>5</v>
      </c>
      <c r="DF714" s="406" t="s">
        <v>85</v>
      </c>
      <c r="DG714" s="407">
        <v>45853</v>
      </c>
      <c r="DH714" s="405" t="s">
        <v>5532</v>
      </c>
      <c r="DI714" s="406">
        <v>465455</v>
      </c>
      <c r="DJ714" s="408">
        <v>5</v>
      </c>
      <c r="DK714" s="405">
        <v>1</v>
      </c>
      <c r="DL714" s="82">
        <v>340.55</v>
      </c>
      <c r="DM714" s="409">
        <v>1.70275</v>
      </c>
      <c r="DN714" s="82" t="s">
        <v>85</v>
      </c>
      <c r="DO714" s="82" t="s">
        <v>85</v>
      </c>
      <c r="DP714" s="410" t="s">
        <v>85</v>
      </c>
    </row>
    <row r="715" spans="1:120" x14ac:dyDescent="0.25">
      <c r="A715" s="16" t="s">
        <v>5535</v>
      </c>
      <c r="B715" s="16" t="s">
        <v>5536</v>
      </c>
      <c r="C715" s="16" t="s">
        <v>5537</v>
      </c>
      <c r="D715" s="16" t="s">
        <v>5435</v>
      </c>
      <c r="E715" s="16" t="s">
        <v>5538</v>
      </c>
      <c r="F715" s="16" t="s">
        <v>5539</v>
      </c>
      <c r="G715" s="16" t="s">
        <v>5540</v>
      </c>
      <c r="H715" s="16" t="s">
        <v>5541</v>
      </c>
      <c r="I715" s="16" t="s">
        <v>2145</v>
      </c>
      <c r="J715" s="16" t="s">
        <v>928</v>
      </c>
      <c r="K715" s="16" t="s">
        <v>2146</v>
      </c>
      <c r="L715" s="16" t="s">
        <v>85</v>
      </c>
      <c r="M715" s="16" t="s">
        <v>1322</v>
      </c>
      <c r="N715" s="16" t="s">
        <v>914</v>
      </c>
      <c r="O715" s="16" t="s">
        <v>1323</v>
      </c>
      <c r="P715" s="16" t="s">
        <v>914</v>
      </c>
      <c r="Q715" s="16" t="s">
        <v>1323</v>
      </c>
      <c r="R715" s="16" t="s">
        <v>915</v>
      </c>
      <c r="S715" s="16" t="s">
        <v>915</v>
      </c>
      <c r="T715" s="16" t="s">
        <v>1322</v>
      </c>
      <c r="U715" s="16" t="s">
        <v>1324</v>
      </c>
      <c r="V715" s="16" t="s">
        <v>916</v>
      </c>
      <c r="W715" s="16" t="s">
        <v>1324</v>
      </c>
      <c r="X715" s="16" t="s">
        <v>934</v>
      </c>
      <c r="Y715" s="16" t="s">
        <v>934</v>
      </c>
      <c r="Z715" s="16" t="s">
        <v>935</v>
      </c>
      <c r="DA715" s="405" t="s">
        <v>5</v>
      </c>
      <c r="DB715" s="405" t="s">
        <v>363</v>
      </c>
      <c r="DC715" s="406" t="s">
        <v>85</v>
      </c>
      <c r="DD715" s="405" t="s">
        <v>917</v>
      </c>
      <c r="DE715" s="405" t="s">
        <v>5</v>
      </c>
      <c r="DF715" s="406" t="s">
        <v>85</v>
      </c>
      <c r="DG715" s="407">
        <v>45853</v>
      </c>
      <c r="DH715" s="405" t="s">
        <v>5538</v>
      </c>
      <c r="DI715" s="406">
        <v>465455</v>
      </c>
      <c r="DJ715" s="408">
        <v>5</v>
      </c>
      <c r="DK715" s="405">
        <v>1</v>
      </c>
      <c r="DL715" s="82">
        <v>332.47</v>
      </c>
      <c r="DM715" s="409">
        <v>1.6623500000000002</v>
      </c>
      <c r="DN715" s="82" t="s">
        <v>85</v>
      </c>
      <c r="DO715" s="82" t="s">
        <v>85</v>
      </c>
      <c r="DP715" s="410" t="s">
        <v>85</v>
      </c>
    </row>
    <row r="716" spans="1:120" x14ac:dyDescent="0.25">
      <c r="A716" s="16" t="s">
        <v>5542</v>
      </c>
      <c r="B716" s="16" t="s">
        <v>5543</v>
      </c>
      <c r="C716" s="16" t="s">
        <v>5544</v>
      </c>
      <c r="D716" s="16" t="s">
        <v>5435</v>
      </c>
      <c r="E716" s="16" t="s">
        <v>5545</v>
      </c>
      <c r="F716" s="16" t="s">
        <v>5546</v>
      </c>
      <c r="G716" s="16" t="s">
        <v>5547</v>
      </c>
      <c r="H716" s="16" t="s">
        <v>5546</v>
      </c>
      <c r="I716" s="16" t="s">
        <v>4124</v>
      </c>
      <c r="J716" s="16" t="s">
        <v>1109</v>
      </c>
      <c r="K716" s="16" t="s">
        <v>4125</v>
      </c>
      <c r="L716" s="16" t="s">
        <v>85</v>
      </c>
      <c r="M716" s="16" t="s">
        <v>1311</v>
      </c>
      <c r="N716" s="16" t="s">
        <v>914</v>
      </c>
      <c r="O716" s="16" t="s">
        <v>1312</v>
      </c>
      <c r="P716" s="16" t="s">
        <v>914</v>
      </c>
      <c r="Q716" s="16" t="s">
        <v>1312</v>
      </c>
      <c r="R716" s="16" t="s">
        <v>915</v>
      </c>
      <c r="S716" s="16" t="s">
        <v>915</v>
      </c>
      <c r="T716" s="16" t="s">
        <v>1311</v>
      </c>
      <c r="U716" s="16" t="s">
        <v>1313</v>
      </c>
      <c r="V716" s="16" t="s">
        <v>916</v>
      </c>
      <c r="W716" s="16" t="s">
        <v>1313</v>
      </c>
      <c r="X716" s="16" t="s">
        <v>934</v>
      </c>
      <c r="Y716" s="16" t="s">
        <v>934</v>
      </c>
      <c r="Z716" s="16" t="s">
        <v>935</v>
      </c>
      <c r="DA716" s="405" t="s">
        <v>5</v>
      </c>
      <c r="DB716" s="405" t="s">
        <v>363</v>
      </c>
      <c r="DC716" s="406" t="s">
        <v>85</v>
      </c>
      <c r="DD716" s="405" t="s">
        <v>917</v>
      </c>
      <c r="DE716" s="405" t="s">
        <v>5</v>
      </c>
      <c r="DF716" s="406" t="s">
        <v>85</v>
      </c>
      <c r="DG716" s="407">
        <v>45853</v>
      </c>
      <c r="DH716" s="405" t="s">
        <v>5545</v>
      </c>
      <c r="DI716" s="406">
        <v>465455</v>
      </c>
      <c r="DJ716" s="408">
        <v>5</v>
      </c>
      <c r="DK716" s="405">
        <v>1</v>
      </c>
      <c r="DL716" s="82">
        <v>531.54</v>
      </c>
      <c r="DM716" s="409">
        <v>2.6576999999999997</v>
      </c>
      <c r="DN716" s="82" t="s">
        <v>85</v>
      </c>
      <c r="DO716" s="82" t="s">
        <v>85</v>
      </c>
      <c r="DP716" s="410" t="s">
        <v>85</v>
      </c>
    </row>
    <row r="717" spans="1:120" x14ac:dyDescent="0.25">
      <c r="A717" s="16" t="s">
        <v>5548</v>
      </c>
      <c r="B717" s="16" t="s">
        <v>5549</v>
      </c>
      <c r="C717" s="16" t="s">
        <v>5550</v>
      </c>
      <c r="D717" s="16" t="s">
        <v>5435</v>
      </c>
      <c r="E717" s="16" t="s">
        <v>5551</v>
      </c>
      <c r="F717" s="16" t="s">
        <v>5552</v>
      </c>
      <c r="G717" s="16" t="s">
        <v>5553</v>
      </c>
      <c r="H717" s="16" t="s">
        <v>5552</v>
      </c>
      <c r="I717" s="16" t="s">
        <v>1090</v>
      </c>
      <c r="J717" s="16" t="s">
        <v>943</v>
      </c>
      <c r="K717" s="16" t="s">
        <v>1091</v>
      </c>
      <c r="L717" s="16" t="s">
        <v>85</v>
      </c>
      <c r="M717" s="16" t="s">
        <v>1152</v>
      </c>
      <c r="N717" s="16" t="s">
        <v>914</v>
      </c>
      <c r="O717" s="16" t="s">
        <v>1153</v>
      </c>
      <c r="P717" s="16" t="s">
        <v>914</v>
      </c>
      <c r="Q717" s="16" t="s">
        <v>1153</v>
      </c>
      <c r="R717" s="16" t="s">
        <v>915</v>
      </c>
      <c r="S717" s="16" t="s">
        <v>915</v>
      </c>
      <c r="T717" s="16" t="s">
        <v>1154</v>
      </c>
      <c r="U717" s="16" t="s">
        <v>1155</v>
      </c>
      <c r="V717" s="16" t="s">
        <v>916</v>
      </c>
      <c r="W717" s="16" t="s">
        <v>1155</v>
      </c>
      <c r="X717" s="16" t="s">
        <v>934</v>
      </c>
      <c r="Y717" s="16" t="s">
        <v>934</v>
      </c>
      <c r="Z717" s="16" t="s">
        <v>935</v>
      </c>
      <c r="DA717" s="405" t="s">
        <v>5</v>
      </c>
      <c r="DB717" s="405" t="s">
        <v>363</v>
      </c>
      <c r="DC717" s="406" t="s">
        <v>85</v>
      </c>
      <c r="DD717" s="405" t="s">
        <v>917</v>
      </c>
      <c r="DE717" s="405" t="s">
        <v>5</v>
      </c>
      <c r="DF717" s="406" t="s">
        <v>85</v>
      </c>
      <c r="DG717" s="407">
        <v>45853</v>
      </c>
      <c r="DH717" s="405" t="s">
        <v>5551</v>
      </c>
      <c r="DI717" s="406">
        <v>465455</v>
      </c>
      <c r="DJ717" s="408">
        <v>5</v>
      </c>
      <c r="DK717" s="405">
        <v>1</v>
      </c>
      <c r="DL717" s="82">
        <v>308.62</v>
      </c>
      <c r="DM717" s="409">
        <v>1.5431000000000001</v>
      </c>
      <c r="DN717" s="82" t="s">
        <v>85</v>
      </c>
      <c r="DO717" s="82" t="s">
        <v>85</v>
      </c>
      <c r="DP717" s="410" t="s">
        <v>85</v>
      </c>
    </row>
    <row r="718" spans="1:120" x14ac:dyDescent="0.25">
      <c r="A718" s="16" t="s">
        <v>5554</v>
      </c>
      <c r="B718" s="16" t="s">
        <v>5555</v>
      </c>
      <c r="C718" s="16" t="s">
        <v>5556</v>
      </c>
      <c r="D718" s="16" t="s">
        <v>5435</v>
      </c>
      <c r="E718" s="16" t="s">
        <v>5557</v>
      </c>
      <c r="F718" s="16" t="s">
        <v>5558</v>
      </c>
      <c r="G718" s="16" t="s">
        <v>5559</v>
      </c>
      <c r="H718" s="16" t="s">
        <v>5560</v>
      </c>
      <c r="I718" s="16" t="s">
        <v>2271</v>
      </c>
      <c r="J718" s="16" t="s">
        <v>995</v>
      </c>
      <c r="K718" s="16" t="s">
        <v>2272</v>
      </c>
      <c r="L718" s="16" t="s">
        <v>85</v>
      </c>
      <c r="M718" s="16" t="s">
        <v>3840</v>
      </c>
      <c r="N718" s="16" t="s">
        <v>914</v>
      </c>
      <c r="O718" s="16" t="s">
        <v>3841</v>
      </c>
      <c r="P718" s="16" t="s">
        <v>914</v>
      </c>
      <c r="Q718" s="16" t="s">
        <v>3841</v>
      </c>
      <c r="R718" s="16" t="s">
        <v>915</v>
      </c>
      <c r="S718" s="16" t="s">
        <v>915</v>
      </c>
      <c r="T718" s="16" t="s">
        <v>3840</v>
      </c>
      <c r="U718" s="16" t="s">
        <v>3842</v>
      </c>
      <c r="V718" s="16" t="s">
        <v>916</v>
      </c>
      <c r="W718" s="16" t="s">
        <v>3842</v>
      </c>
      <c r="X718" s="16" t="s">
        <v>934</v>
      </c>
      <c r="Y718" s="16" t="s">
        <v>934</v>
      </c>
      <c r="Z718" s="16" t="s">
        <v>935</v>
      </c>
      <c r="DA718" s="405" t="s">
        <v>5</v>
      </c>
      <c r="DB718" s="405" t="s">
        <v>363</v>
      </c>
      <c r="DC718" s="406" t="s">
        <v>85</v>
      </c>
      <c r="DD718" s="405" t="s">
        <v>917</v>
      </c>
      <c r="DE718" s="405" t="s">
        <v>5</v>
      </c>
      <c r="DF718" s="406" t="s">
        <v>85</v>
      </c>
      <c r="DG718" s="407">
        <v>45853</v>
      </c>
      <c r="DH718" s="405" t="s">
        <v>5557</v>
      </c>
      <c r="DI718" s="406">
        <v>465455</v>
      </c>
      <c r="DJ718" s="408">
        <v>5</v>
      </c>
      <c r="DK718" s="405">
        <v>1</v>
      </c>
      <c r="DL718" s="82">
        <v>433.17</v>
      </c>
      <c r="DM718" s="409">
        <v>2.1658500000000003</v>
      </c>
      <c r="DN718" s="82" t="s">
        <v>85</v>
      </c>
      <c r="DO718" s="82" t="s">
        <v>85</v>
      </c>
      <c r="DP718" s="410" t="s">
        <v>85</v>
      </c>
    </row>
    <row r="719" spans="1:120" x14ac:dyDescent="0.25">
      <c r="A719" s="16" t="s">
        <v>5561</v>
      </c>
      <c r="B719" s="16" t="s">
        <v>5562</v>
      </c>
      <c r="C719" s="16" t="s">
        <v>5563</v>
      </c>
      <c r="D719" s="16" t="s">
        <v>5435</v>
      </c>
      <c r="E719" s="16" t="s">
        <v>5564</v>
      </c>
      <c r="F719" s="16" t="s">
        <v>5565</v>
      </c>
      <c r="G719" s="16" t="s">
        <v>5566</v>
      </c>
      <c r="H719" s="16" t="s">
        <v>5567</v>
      </c>
      <c r="I719" s="16" t="s">
        <v>1017</v>
      </c>
      <c r="J719" s="16" t="s">
        <v>995</v>
      </c>
      <c r="K719" s="16" t="s">
        <v>1018</v>
      </c>
      <c r="L719" s="16" t="s">
        <v>85</v>
      </c>
      <c r="M719" s="16" t="s">
        <v>3840</v>
      </c>
      <c r="N719" s="16" t="s">
        <v>914</v>
      </c>
      <c r="O719" s="16" t="s">
        <v>3841</v>
      </c>
      <c r="P719" s="16" t="s">
        <v>914</v>
      </c>
      <c r="Q719" s="16" t="s">
        <v>3841</v>
      </c>
      <c r="R719" s="16" t="s">
        <v>915</v>
      </c>
      <c r="S719" s="16" t="s">
        <v>915</v>
      </c>
      <c r="T719" s="16" t="s">
        <v>3840</v>
      </c>
      <c r="U719" s="16" t="s">
        <v>3842</v>
      </c>
      <c r="V719" s="16" t="s">
        <v>916</v>
      </c>
      <c r="W719" s="16" t="s">
        <v>3842</v>
      </c>
      <c r="X719" s="16" t="s">
        <v>934</v>
      </c>
      <c r="Y719" s="16" t="s">
        <v>934</v>
      </c>
      <c r="Z719" s="16" t="s">
        <v>935</v>
      </c>
      <c r="DA719" s="405" t="s">
        <v>5</v>
      </c>
      <c r="DB719" s="405" t="s">
        <v>363</v>
      </c>
      <c r="DC719" s="406" t="s">
        <v>85</v>
      </c>
      <c r="DD719" s="405" t="s">
        <v>917</v>
      </c>
      <c r="DE719" s="405" t="s">
        <v>5</v>
      </c>
      <c r="DF719" s="406" t="s">
        <v>85</v>
      </c>
      <c r="DG719" s="407">
        <v>45853</v>
      </c>
      <c r="DH719" s="405" t="s">
        <v>5564</v>
      </c>
      <c r="DI719" s="406">
        <v>465455</v>
      </c>
      <c r="DJ719" s="408">
        <v>5</v>
      </c>
      <c r="DK719" s="405">
        <v>1</v>
      </c>
      <c r="DL719" s="82">
        <v>433.17</v>
      </c>
      <c r="DM719" s="409">
        <v>2.1658500000000003</v>
      </c>
      <c r="DN719" s="82" t="s">
        <v>85</v>
      </c>
      <c r="DO719" s="82" t="s">
        <v>85</v>
      </c>
      <c r="DP719" s="410" t="s">
        <v>85</v>
      </c>
    </row>
    <row r="720" spans="1:120" x14ac:dyDescent="0.25">
      <c r="A720" s="16" t="s">
        <v>5568</v>
      </c>
      <c r="B720" s="16" t="s">
        <v>5569</v>
      </c>
      <c r="C720" s="16" t="s">
        <v>5570</v>
      </c>
      <c r="D720" s="16" t="s">
        <v>5435</v>
      </c>
      <c r="E720" s="16" t="s">
        <v>5571</v>
      </c>
      <c r="F720" s="16" t="s">
        <v>5572</v>
      </c>
      <c r="G720" s="16" t="s">
        <v>5573</v>
      </c>
      <c r="H720" s="16" t="s">
        <v>5574</v>
      </c>
      <c r="I720" s="16" t="s">
        <v>1017</v>
      </c>
      <c r="J720" s="16" t="s">
        <v>995</v>
      </c>
      <c r="K720" s="16" t="s">
        <v>1018</v>
      </c>
      <c r="L720" s="16" t="s">
        <v>85</v>
      </c>
      <c r="M720" s="16" t="s">
        <v>3840</v>
      </c>
      <c r="N720" s="16" t="s">
        <v>914</v>
      </c>
      <c r="O720" s="16" t="s">
        <v>3841</v>
      </c>
      <c r="P720" s="16" t="s">
        <v>914</v>
      </c>
      <c r="Q720" s="16" t="s">
        <v>3841</v>
      </c>
      <c r="R720" s="16" t="s">
        <v>915</v>
      </c>
      <c r="S720" s="16" t="s">
        <v>915</v>
      </c>
      <c r="T720" s="16" t="s">
        <v>3840</v>
      </c>
      <c r="U720" s="16" t="s">
        <v>3842</v>
      </c>
      <c r="V720" s="16" t="s">
        <v>916</v>
      </c>
      <c r="W720" s="16" t="s">
        <v>3842</v>
      </c>
      <c r="X720" s="16" t="s">
        <v>934</v>
      </c>
      <c r="Y720" s="16" t="s">
        <v>934</v>
      </c>
      <c r="Z720" s="16" t="s">
        <v>935</v>
      </c>
      <c r="DA720" s="405" t="s">
        <v>5</v>
      </c>
      <c r="DB720" s="405" t="s">
        <v>363</v>
      </c>
      <c r="DC720" s="406" t="s">
        <v>85</v>
      </c>
      <c r="DD720" s="405" t="s">
        <v>917</v>
      </c>
      <c r="DE720" s="405" t="s">
        <v>5</v>
      </c>
      <c r="DF720" s="406" t="s">
        <v>85</v>
      </c>
      <c r="DG720" s="407">
        <v>45853</v>
      </c>
      <c r="DH720" s="405" t="s">
        <v>5571</v>
      </c>
      <c r="DI720" s="406">
        <v>465455</v>
      </c>
      <c r="DJ720" s="408">
        <v>5</v>
      </c>
      <c r="DK720" s="405">
        <v>1</v>
      </c>
      <c r="DL720" s="82">
        <v>433.17</v>
      </c>
      <c r="DM720" s="409">
        <v>2.1658500000000003</v>
      </c>
      <c r="DN720" s="82" t="s">
        <v>85</v>
      </c>
      <c r="DO720" s="82" t="s">
        <v>85</v>
      </c>
      <c r="DP720" s="410" t="s">
        <v>85</v>
      </c>
    </row>
    <row r="721" spans="1:120" x14ac:dyDescent="0.25">
      <c r="A721" s="16" t="s">
        <v>5575</v>
      </c>
      <c r="B721" s="16" t="s">
        <v>5576</v>
      </c>
      <c r="C721" s="16" t="s">
        <v>5577</v>
      </c>
      <c r="D721" s="16" t="s">
        <v>5435</v>
      </c>
      <c r="E721" s="16" t="s">
        <v>5578</v>
      </c>
      <c r="F721" s="16" t="s">
        <v>5579</v>
      </c>
      <c r="G721" s="16" t="s">
        <v>5580</v>
      </c>
      <c r="H721" s="16" t="s">
        <v>5581</v>
      </c>
      <c r="I721" s="16" t="s">
        <v>2271</v>
      </c>
      <c r="J721" s="16" t="s">
        <v>995</v>
      </c>
      <c r="K721" s="16" t="s">
        <v>2272</v>
      </c>
      <c r="L721" s="16" t="s">
        <v>85</v>
      </c>
      <c r="M721" s="16" t="s">
        <v>1165</v>
      </c>
      <c r="N721" s="16" t="s">
        <v>914</v>
      </c>
      <c r="O721" s="16" t="s">
        <v>1166</v>
      </c>
      <c r="P721" s="16" t="s">
        <v>914</v>
      </c>
      <c r="Q721" s="16" t="s">
        <v>1166</v>
      </c>
      <c r="R721" s="16" t="s">
        <v>915</v>
      </c>
      <c r="S721" s="16" t="s">
        <v>915</v>
      </c>
      <c r="T721" s="16" t="s">
        <v>1167</v>
      </c>
      <c r="U721" s="16" t="s">
        <v>1168</v>
      </c>
      <c r="V721" s="16" t="s">
        <v>916</v>
      </c>
      <c r="W721" s="16" t="s">
        <v>1168</v>
      </c>
      <c r="X721" s="16" t="s">
        <v>934</v>
      </c>
      <c r="Y721" s="16" t="s">
        <v>934</v>
      </c>
      <c r="Z721" s="16" t="s">
        <v>935</v>
      </c>
      <c r="DA721" s="405" t="s">
        <v>5</v>
      </c>
      <c r="DB721" s="405" t="s">
        <v>363</v>
      </c>
      <c r="DC721" s="406" t="s">
        <v>85</v>
      </c>
      <c r="DD721" s="405" t="s">
        <v>917</v>
      </c>
      <c r="DE721" s="405" t="s">
        <v>5</v>
      </c>
      <c r="DF721" s="406" t="s">
        <v>85</v>
      </c>
      <c r="DG721" s="407">
        <v>45853</v>
      </c>
      <c r="DH721" s="405" t="s">
        <v>5578</v>
      </c>
      <c r="DI721" s="406">
        <v>465455</v>
      </c>
      <c r="DJ721" s="408">
        <v>5</v>
      </c>
      <c r="DK721" s="405">
        <v>1</v>
      </c>
      <c r="DL721" s="82">
        <v>468.28</v>
      </c>
      <c r="DM721" s="409">
        <v>2.3413999999999997</v>
      </c>
      <c r="DN721" s="82" t="s">
        <v>85</v>
      </c>
      <c r="DO721" s="82" t="s">
        <v>85</v>
      </c>
      <c r="DP721" s="410" t="s">
        <v>85</v>
      </c>
    </row>
    <row r="722" spans="1:120" x14ac:dyDescent="0.25">
      <c r="A722" s="16" t="s">
        <v>5582</v>
      </c>
      <c r="B722" s="16" t="s">
        <v>5583</v>
      </c>
      <c r="C722" s="16" t="s">
        <v>5584</v>
      </c>
      <c r="D722" s="16" t="s">
        <v>5435</v>
      </c>
      <c r="E722" s="16" t="s">
        <v>5585</v>
      </c>
      <c r="F722" s="16" t="s">
        <v>5586</v>
      </c>
      <c r="G722" s="16" t="s">
        <v>5587</v>
      </c>
      <c r="H722" s="16" t="s">
        <v>5588</v>
      </c>
      <c r="I722" s="16" t="s">
        <v>1929</v>
      </c>
      <c r="J722" s="16" t="s">
        <v>995</v>
      </c>
      <c r="K722" s="16" t="s">
        <v>1930</v>
      </c>
      <c r="L722" s="16" t="s">
        <v>85</v>
      </c>
      <c r="M722" s="16" t="s">
        <v>3840</v>
      </c>
      <c r="N722" s="16" t="s">
        <v>914</v>
      </c>
      <c r="O722" s="16" t="s">
        <v>3841</v>
      </c>
      <c r="P722" s="16" t="s">
        <v>914</v>
      </c>
      <c r="Q722" s="16" t="s">
        <v>3841</v>
      </c>
      <c r="R722" s="16" t="s">
        <v>915</v>
      </c>
      <c r="S722" s="16" t="s">
        <v>915</v>
      </c>
      <c r="T722" s="16" t="s">
        <v>3840</v>
      </c>
      <c r="U722" s="16" t="s">
        <v>3842</v>
      </c>
      <c r="V722" s="16" t="s">
        <v>916</v>
      </c>
      <c r="W722" s="16" t="s">
        <v>3842</v>
      </c>
      <c r="X722" s="16" t="s">
        <v>934</v>
      </c>
      <c r="Y722" s="16" t="s">
        <v>934</v>
      </c>
      <c r="Z722" s="16" t="s">
        <v>935</v>
      </c>
      <c r="DA722" s="405" t="s">
        <v>5</v>
      </c>
      <c r="DB722" s="405" t="s">
        <v>363</v>
      </c>
      <c r="DC722" s="406" t="s">
        <v>85</v>
      </c>
      <c r="DD722" s="405" t="s">
        <v>917</v>
      </c>
      <c r="DE722" s="405" t="s">
        <v>5</v>
      </c>
      <c r="DF722" s="406" t="s">
        <v>85</v>
      </c>
      <c r="DG722" s="407">
        <v>45853</v>
      </c>
      <c r="DH722" s="405" t="s">
        <v>5585</v>
      </c>
      <c r="DI722" s="406">
        <v>465455</v>
      </c>
      <c r="DJ722" s="408">
        <v>5</v>
      </c>
      <c r="DK722" s="405">
        <v>1</v>
      </c>
      <c r="DL722" s="82">
        <v>433.17</v>
      </c>
      <c r="DM722" s="409">
        <v>2.1658500000000003</v>
      </c>
      <c r="DN722" s="82" t="s">
        <v>85</v>
      </c>
      <c r="DO722" s="82" t="s">
        <v>85</v>
      </c>
      <c r="DP722" s="410" t="s">
        <v>85</v>
      </c>
    </row>
    <row r="723" spans="1:120" x14ac:dyDescent="0.25">
      <c r="A723" s="16" t="s">
        <v>5589</v>
      </c>
      <c r="B723" s="16" t="s">
        <v>5590</v>
      </c>
      <c r="C723" s="16" t="s">
        <v>5591</v>
      </c>
      <c r="D723" s="16" t="s">
        <v>5435</v>
      </c>
      <c r="E723" s="16" t="s">
        <v>5592</v>
      </c>
      <c r="F723" s="16" t="s">
        <v>5593</v>
      </c>
      <c r="G723" s="16" t="s">
        <v>5594</v>
      </c>
      <c r="H723" s="16" t="s">
        <v>5593</v>
      </c>
      <c r="I723" s="16" t="s">
        <v>2913</v>
      </c>
      <c r="J723" s="16" t="s">
        <v>2699</v>
      </c>
      <c r="K723" s="16" t="s">
        <v>2914</v>
      </c>
      <c r="L723" s="16" t="s">
        <v>85</v>
      </c>
      <c r="M723" s="16" t="s">
        <v>5595</v>
      </c>
      <c r="N723" s="16" t="s">
        <v>914</v>
      </c>
      <c r="O723" s="16" t="s">
        <v>5596</v>
      </c>
      <c r="P723" s="16" t="s">
        <v>914</v>
      </c>
      <c r="Q723" s="16" t="s">
        <v>5596</v>
      </c>
      <c r="R723" s="16" t="s">
        <v>915</v>
      </c>
      <c r="S723" s="16" t="s">
        <v>915</v>
      </c>
      <c r="T723" s="16" t="s">
        <v>5595</v>
      </c>
      <c r="U723" s="16" t="s">
        <v>5597</v>
      </c>
      <c r="V723" s="16" t="s">
        <v>916</v>
      </c>
      <c r="W723" s="16" t="s">
        <v>5597</v>
      </c>
      <c r="X723" s="16" t="s">
        <v>934</v>
      </c>
      <c r="Y723" s="16" t="s">
        <v>934</v>
      </c>
      <c r="Z723" s="16" t="s">
        <v>935</v>
      </c>
      <c r="DA723" s="405" t="s">
        <v>5</v>
      </c>
      <c r="DB723" s="405" t="s">
        <v>363</v>
      </c>
      <c r="DC723" s="406" t="s">
        <v>85</v>
      </c>
      <c r="DD723" s="405" t="s">
        <v>917</v>
      </c>
      <c r="DE723" s="405" t="s">
        <v>5</v>
      </c>
      <c r="DF723" s="406" t="s">
        <v>85</v>
      </c>
      <c r="DG723" s="407">
        <v>45853</v>
      </c>
      <c r="DH723" s="405" t="s">
        <v>5592</v>
      </c>
      <c r="DI723" s="406">
        <v>465455</v>
      </c>
      <c r="DJ723" s="408">
        <v>5</v>
      </c>
      <c r="DK723" s="405">
        <v>1</v>
      </c>
      <c r="DL723" s="82">
        <v>436.33</v>
      </c>
      <c r="DM723" s="409">
        <v>2.1816499999999999</v>
      </c>
      <c r="DN723" s="82" t="s">
        <v>85</v>
      </c>
      <c r="DO723" s="82" t="s">
        <v>85</v>
      </c>
      <c r="DP723" s="410" t="s">
        <v>85</v>
      </c>
    </row>
    <row r="724" spans="1:120" x14ac:dyDescent="0.25">
      <c r="A724" s="16" t="s">
        <v>5598</v>
      </c>
      <c r="B724" s="16" t="s">
        <v>5599</v>
      </c>
      <c r="C724" s="16" t="s">
        <v>5600</v>
      </c>
      <c r="D724" s="16" t="s">
        <v>5435</v>
      </c>
      <c r="E724" s="16" t="s">
        <v>5601</v>
      </c>
      <c r="F724" s="16" t="s">
        <v>5602</v>
      </c>
      <c r="G724" s="16" t="s">
        <v>5603</v>
      </c>
      <c r="H724" s="16" t="s">
        <v>5602</v>
      </c>
      <c r="I724" s="16" t="s">
        <v>1584</v>
      </c>
      <c r="J724" s="16" t="s">
        <v>928</v>
      </c>
      <c r="K724" s="16" t="s">
        <v>1585</v>
      </c>
      <c r="L724" s="16" t="s">
        <v>85</v>
      </c>
      <c r="M724" s="16" t="s">
        <v>5493</v>
      </c>
      <c r="N724" s="16" t="s">
        <v>914</v>
      </c>
      <c r="O724" s="16" t="s">
        <v>5494</v>
      </c>
      <c r="P724" s="16" t="s">
        <v>914</v>
      </c>
      <c r="Q724" s="16" t="s">
        <v>5494</v>
      </c>
      <c r="R724" s="16" t="s">
        <v>915</v>
      </c>
      <c r="S724" s="16" t="s">
        <v>915</v>
      </c>
      <c r="T724" s="16" t="s">
        <v>5495</v>
      </c>
      <c r="U724" s="16" t="s">
        <v>5496</v>
      </c>
      <c r="V724" s="16" t="s">
        <v>916</v>
      </c>
      <c r="W724" s="16" t="s">
        <v>5496</v>
      </c>
      <c r="X724" s="16" t="s">
        <v>934</v>
      </c>
      <c r="Y724" s="16" t="s">
        <v>934</v>
      </c>
      <c r="Z724" s="16" t="s">
        <v>935</v>
      </c>
      <c r="DA724" s="405" t="s">
        <v>5</v>
      </c>
      <c r="DB724" s="405" t="s">
        <v>363</v>
      </c>
      <c r="DC724" s="406" t="s">
        <v>85</v>
      </c>
      <c r="DD724" s="405" t="s">
        <v>917</v>
      </c>
      <c r="DE724" s="405" t="s">
        <v>5</v>
      </c>
      <c r="DF724" s="406" t="s">
        <v>85</v>
      </c>
      <c r="DG724" s="407">
        <v>45853</v>
      </c>
      <c r="DH724" s="405" t="s">
        <v>5601</v>
      </c>
      <c r="DI724" s="406">
        <v>465455</v>
      </c>
      <c r="DJ724" s="408">
        <v>5</v>
      </c>
      <c r="DK724" s="405">
        <v>1</v>
      </c>
      <c r="DL724" s="82">
        <v>312.52999999999997</v>
      </c>
      <c r="DM724" s="409">
        <v>1.5626499999999999</v>
      </c>
      <c r="DN724" s="82" t="s">
        <v>85</v>
      </c>
      <c r="DO724" s="82" t="s">
        <v>85</v>
      </c>
      <c r="DP724" s="410" t="s">
        <v>85</v>
      </c>
    </row>
    <row r="725" spans="1:120" x14ac:dyDescent="0.25">
      <c r="A725" s="16" t="s">
        <v>5604</v>
      </c>
      <c r="B725" s="16" t="s">
        <v>5605</v>
      </c>
      <c r="C725" s="16" t="s">
        <v>5606</v>
      </c>
      <c r="D725" s="16" t="s">
        <v>5435</v>
      </c>
      <c r="E725" s="16" t="s">
        <v>5607</v>
      </c>
      <c r="F725" s="16" t="s">
        <v>5608</v>
      </c>
      <c r="G725" s="16" t="s">
        <v>5609</v>
      </c>
      <c r="H725" s="16" t="s">
        <v>5610</v>
      </c>
      <c r="I725" s="16" t="s">
        <v>1937</v>
      </c>
      <c r="J725" s="16" t="s">
        <v>1036</v>
      </c>
      <c r="K725" s="16" t="s">
        <v>1938</v>
      </c>
      <c r="L725" s="16" t="s">
        <v>85</v>
      </c>
      <c r="M725" s="16" t="s">
        <v>5447</v>
      </c>
      <c r="N725" s="16" t="s">
        <v>914</v>
      </c>
      <c r="O725" s="16" t="s">
        <v>5448</v>
      </c>
      <c r="P725" s="16" t="s">
        <v>914</v>
      </c>
      <c r="Q725" s="16" t="s">
        <v>5448</v>
      </c>
      <c r="R725" s="16" t="s">
        <v>915</v>
      </c>
      <c r="S725" s="16" t="s">
        <v>915</v>
      </c>
      <c r="T725" s="16" t="s">
        <v>5447</v>
      </c>
      <c r="U725" s="16" t="s">
        <v>5449</v>
      </c>
      <c r="V725" s="16" t="s">
        <v>916</v>
      </c>
      <c r="W725" s="16" t="s">
        <v>5449</v>
      </c>
      <c r="X725" s="16" t="s">
        <v>934</v>
      </c>
      <c r="Y725" s="16" t="s">
        <v>934</v>
      </c>
      <c r="Z725" s="16" t="s">
        <v>935</v>
      </c>
      <c r="DA725" s="405" t="s">
        <v>5</v>
      </c>
      <c r="DB725" s="405" t="s">
        <v>363</v>
      </c>
      <c r="DC725" s="406" t="s">
        <v>85</v>
      </c>
      <c r="DD725" s="405" t="s">
        <v>917</v>
      </c>
      <c r="DE725" s="405" t="s">
        <v>5</v>
      </c>
      <c r="DF725" s="406" t="s">
        <v>85</v>
      </c>
      <c r="DG725" s="407">
        <v>45853</v>
      </c>
      <c r="DH725" s="405" t="s">
        <v>5607</v>
      </c>
      <c r="DI725" s="406">
        <v>465455</v>
      </c>
      <c r="DJ725" s="408">
        <v>5</v>
      </c>
      <c r="DK725" s="405">
        <v>1</v>
      </c>
      <c r="DL725" s="82">
        <v>295.27999999999997</v>
      </c>
      <c r="DM725" s="409">
        <v>1.4763999999999999</v>
      </c>
      <c r="DN725" s="82" t="s">
        <v>85</v>
      </c>
      <c r="DO725" s="82" t="s">
        <v>85</v>
      </c>
      <c r="DP725" s="410" t="s">
        <v>85</v>
      </c>
    </row>
    <row r="726" spans="1:120" x14ac:dyDescent="0.25">
      <c r="A726" s="16" t="s">
        <v>5611</v>
      </c>
      <c r="B726" s="16" t="s">
        <v>5612</v>
      </c>
      <c r="C726" s="16" t="s">
        <v>5613</v>
      </c>
      <c r="D726" s="16" t="s">
        <v>5435</v>
      </c>
      <c r="E726" s="16" t="s">
        <v>5614</v>
      </c>
      <c r="F726" s="16" t="s">
        <v>5615</v>
      </c>
      <c r="G726" s="16" t="s">
        <v>5616</v>
      </c>
      <c r="H726" s="16" t="s">
        <v>5617</v>
      </c>
      <c r="I726" s="16" t="s">
        <v>1090</v>
      </c>
      <c r="J726" s="16" t="s">
        <v>943</v>
      </c>
      <c r="K726" s="16" t="s">
        <v>1091</v>
      </c>
      <c r="L726" s="16" t="s">
        <v>85</v>
      </c>
      <c r="M726" s="16" t="s">
        <v>1152</v>
      </c>
      <c r="N726" s="16" t="s">
        <v>914</v>
      </c>
      <c r="O726" s="16" t="s">
        <v>1153</v>
      </c>
      <c r="P726" s="16" t="s">
        <v>914</v>
      </c>
      <c r="Q726" s="16" t="s">
        <v>1153</v>
      </c>
      <c r="R726" s="16" t="s">
        <v>915</v>
      </c>
      <c r="S726" s="16" t="s">
        <v>915</v>
      </c>
      <c r="T726" s="16" t="s">
        <v>1154</v>
      </c>
      <c r="U726" s="16" t="s">
        <v>1155</v>
      </c>
      <c r="V726" s="16" t="s">
        <v>916</v>
      </c>
      <c r="W726" s="16" t="s">
        <v>1155</v>
      </c>
      <c r="X726" s="16" t="s">
        <v>934</v>
      </c>
      <c r="Y726" s="16" t="s">
        <v>934</v>
      </c>
      <c r="Z726" s="16" t="s">
        <v>935</v>
      </c>
      <c r="DA726" s="405" t="s">
        <v>5</v>
      </c>
      <c r="DB726" s="405" t="s">
        <v>363</v>
      </c>
      <c r="DC726" s="406" t="s">
        <v>85</v>
      </c>
      <c r="DD726" s="405" t="s">
        <v>917</v>
      </c>
      <c r="DE726" s="405" t="s">
        <v>5</v>
      </c>
      <c r="DF726" s="406" t="s">
        <v>85</v>
      </c>
      <c r="DG726" s="407">
        <v>45853</v>
      </c>
      <c r="DH726" s="405" t="s">
        <v>5614</v>
      </c>
      <c r="DI726" s="406">
        <v>465455</v>
      </c>
      <c r="DJ726" s="408">
        <v>5</v>
      </c>
      <c r="DK726" s="405">
        <v>1</v>
      </c>
      <c r="DL726" s="82">
        <v>308.62</v>
      </c>
      <c r="DM726" s="409">
        <v>1.5431000000000001</v>
      </c>
      <c r="DN726" s="82" t="s">
        <v>85</v>
      </c>
      <c r="DO726" s="82" t="s">
        <v>85</v>
      </c>
      <c r="DP726" s="410" t="s">
        <v>85</v>
      </c>
    </row>
    <row r="727" spans="1:120" x14ac:dyDescent="0.25">
      <c r="A727" s="16" t="s">
        <v>5618</v>
      </c>
      <c r="B727" s="16" t="s">
        <v>5619</v>
      </c>
      <c r="C727" s="16" t="s">
        <v>5620</v>
      </c>
      <c r="D727" s="16" t="s">
        <v>5435</v>
      </c>
      <c r="E727" s="16" t="s">
        <v>5621</v>
      </c>
      <c r="F727" s="16" t="s">
        <v>5622</v>
      </c>
      <c r="G727" s="16" t="s">
        <v>5623</v>
      </c>
      <c r="H727" s="16" t="s">
        <v>5617</v>
      </c>
      <c r="I727" s="16" t="s">
        <v>1090</v>
      </c>
      <c r="J727" s="16" t="s">
        <v>943</v>
      </c>
      <c r="K727" s="16" t="s">
        <v>1091</v>
      </c>
      <c r="L727" s="16" t="s">
        <v>85</v>
      </c>
      <c r="M727" s="16" t="s">
        <v>1152</v>
      </c>
      <c r="N727" s="16" t="s">
        <v>914</v>
      </c>
      <c r="O727" s="16" t="s">
        <v>1153</v>
      </c>
      <c r="P727" s="16" t="s">
        <v>914</v>
      </c>
      <c r="Q727" s="16" t="s">
        <v>1153</v>
      </c>
      <c r="R727" s="16" t="s">
        <v>915</v>
      </c>
      <c r="S727" s="16" t="s">
        <v>915</v>
      </c>
      <c r="T727" s="16" t="s">
        <v>1154</v>
      </c>
      <c r="U727" s="16" t="s">
        <v>1155</v>
      </c>
      <c r="V727" s="16" t="s">
        <v>916</v>
      </c>
      <c r="W727" s="16" t="s">
        <v>1155</v>
      </c>
      <c r="X727" s="16" t="s">
        <v>934</v>
      </c>
      <c r="Y727" s="16" t="s">
        <v>934</v>
      </c>
      <c r="Z727" s="16" t="s">
        <v>935</v>
      </c>
      <c r="DA727" s="405" t="s">
        <v>5</v>
      </c>
      <c r="DB727" s="405" t="s">
        <v>363</v>
      </c>
      <c r="DC727" s="406" t="s">
        <v>85</v>
      </c>
      <c r="DD727" s="405" t="s">
        <v>917</v>
      </c>
      <c r="DE727" s="405" t="s">
        <v>5</v>
      </c>
      <c r="DF727" s="406" t="s">
        <v>85</v>
      </c>
      <c r="DG727" s="407">
        <v>45853</v>
      </c>
      <c r="DH727" s="405" t="s">
        <v>5621</v>
      </c>
      <c r="DI727" s="406">
        <v>465455</v>
      </c>
      <c r="DJ727" s="408">
        <v>5</v>
      </c>
      <c r="DK727" s="405">
        <v>1</v>
      </c>
      <c r="DL727" s="82">
        <v>308.62</v>
      </c>
      <c r="DM727" s="409">
        <v>1.5431000000000001</v>
      </c>
      <c r="DN727" s="82" t="s">
        <v>85</v>
      </c>
      <c r="DO727" s="82" t="s">
        <v>85</v>
      </c>
      <c r="DP727" s="410" t="s">
        <v>85</v>
      </c>
    </row>
    <row r="728" spans="1:120" x14ac:dyDescent="0.25">
      <c r="A728" s="16" t="s">
        <v>5624</v>
      </c>
      <c r="B728" s="16" t="s">
        <v>5625</v>
      </c>
      <c r="C728" s="16" t="s">
        <v>5626</v>
      </c>
      <c r="D728" s="16" t="s">
        <v>5435</v>
      </c>
      <c r="E728" s="16" t="s">
        <v>5627</v>
      </c>
      <c r="F728" s="16" t="s">
        <v>5628</v>
      </c>
      <c r="G728" s="16" t="s">
        <v>5629</v>
      </c>
      <c r="H728" s="16" t="s">
        <v>5628</v>
      </c>
      <c r="I728" s="16" t="s">
        <v>1719</v>
      </c>
      <c r="J728" s="16" t="s">
        <v>943</v>
      </c>
      <c r="K728" s="16" t="s">
        <v>1720</v>
      </c>
      <c r="L728" s="16" t="s">
        <v>85</v>
      </c>
      <c r="M728" s="16" t="s">
        <v>1152</v>
      </c>
      <c r="N728" s="16" t="s">
        <v>914</v>
      </c>
      <c r="O728" s="16" t="s">
        <v>1153</v>
      </c>
      <c r="P728" s="16" t="s">
        <v>914</v>
      </c>
      <c r="Q728" s="16" t="s">
        <v>1153</v>
      </c>
      <c r="R728" s="16" t="s">
        <v>915</v>
      </c>
      <c r="S728" s="16" t="s">
        <v>915</v>
      </c>
      <c r="T728" s="16" t="s">
        <v>1154</v>
      </c>
      <c r="U728" s="16" t="s">
        <v>1155</v>
      </c>
      <c r="V728" s="16" t="s">
        <v>916</v>
      </c>
      <c r="W728" s="16" t="s">
        <v>1155</v>
      </c>
      <c r="X728" s="16" t="s">
        <v>934</v>
      </c>
      <c r="Y728" s="16" t="s">
        <v>934</v>
      </c>
      <c r="Z728" s="16" t="s">
        <v>935</v>
      </c>
      <c r="DA728" s="405" t="s">
        <v>5</v>
      </c>
      <c r="DB728" s="405" t="s">
        <v>363</v>
      </c>
      <c r="DC728" s="406" t="s">
        <v>85</v>
      </c>
      <c r="DD728" s="405" t="s">
        <v>917</v>
      </c>
      <c r="DE728" s="405" t="s">
        <v>5</v>
      </c>
      <c r="DF728" s="406" t="s">
        <v>85</v>
      </c>
      <c r="DG728" s="407">
        <v>45853</v>
      </c>
      <c r="DH728" s="405" t="s">
        <v>5627</v>
      </c>
      <c r="DI728" s="406">
        <v>465455</v>
      </c>
      <c r="DJ728" s="408">
        <v>5</v>
      </c>
      <c r="DK728" s="405">
        <v>1</v>
      </c>
      <c r="DL728" s="82">
        <v>308.62</v>
      </c>
      <c r="DM728" s="409">
        <v>1.5431000000000001</v>
      </c>
      <c r="DN728" s="82" t="s">
        <v>85</v>
      </c>
      <c r="DO728" s="82" t="s">
        <v>85</v>
      </c>
      <c r="DP728" s="410" t="s">
        <v>85</v>
      </c>
    </row>
    <row r="729" spans="1:120" x14ac:dyDescent="0.25">
      <c r="A729" s="16" t="s">
        <v>5630</v>
      </c>
      <c r="B729" s="16" t="s">
        <v>5631</v>
      </c>
      <c r="C729" s="16" t="s">
        <v>5632</v>
      </c>
      <c r="D729" s="16" t="s">
        <v>5435</v>
      </c>
      <c r="E729" s="16" t="s">
        <v>5633</v>
      </c>
      <c r="F729" s="16" t="s">
        <v>5634</v>
      </c>
      <c r="G729" s="16" t="s">
        <v>5635</v>
      </c>
      <c r="H729" s="16" t="s">
        <v>5636</v>
      </c>
      <c r="I729" s="16" t="s">
        <v>1728</v>
      </c>
      <c r="J729" s="16" t="s">
        <v>943</v>
      </c>
      <c r="K729" s="16" t="s">
        <v>1729</v>
      </c>
      <c r="L729" s="16" t="s">
        <v>85</v>
      </c>
      <c r="M729" s="16" t="s">
        <v>1152</v>
      </c>
      <c r="N729" s="16" t="s">
        <v>914</v>
      </c>
      <c r="O729" s="16" t="s">
        <v>1153</v>
      </c>
      <c r="P729" s="16" t="s">
        <v>914</v>
      </c>
      <c r="Q729" s="16" t="s">
        <v>1153</v>
      </c>
      <c r="R729" s="16" t="s">
        <v>915</v>
      </c>
      <c r="S729" s="16" t="s">
        <v>915</v>
      </c>
      <c r="T729" s="16" t="s">
        <v>1154</v>
      </c>
      <c r="U729" s="16" t="s">
        <v>1155</v>
      </c>
      <c r="V729" s="16" t="s">
        <v>916</v>
      </c>
      <c r="W729" s="16" t="s">
        <v>1155</v>
      </c>
      <c r="X729" s="16" t="s">
        <v>934</v>
      </c>
      <c r="Y729" s="16" t="s">
        <v>934</v>
      </c>
      <c r="Z729" s="16" t="s">
        <v>935</v>
      </c>
      <c r="DA729" s="405" t="s">
        <v>5</v>
      </c>
      <c r="DB729" s="405" t="s">
        <v>363</v>
      </c>
      <c r="DC729" s="406" t="s">
        <v>85</v>
      </c>
      <c r="DD729" s="405" t="s">
        <v>917</v>
      </c>
      <c r="DE729" s="405" t="s">
        <v>5</v>
      </c>
      <c r="DF729" s="406" t="s">
        <v>85</v>
      </c>
      <c r="DG729" s="407">
        <v>45853</v>
      </c>
      <c r="DH729" s="405" t="s">
        <v>5633</v>
      </c>
      <c r="DI729" s="406">
        <v>465455</v>
      </c>
      <c r="DJ729" s="408">
        <v>5</v>
      </c>
      <c r="DK729" s="405">
        <v>1</v>
      </c>
      <c r="DL729" s="82">
        <v>308.62</v>
      </c>
      <c r="DM729" s="409">
        <v>1.5431000000000001</v>
      </c>
      <c r="DN729" s="82" t="s">
        <v>85</v>
      </c>
      <c r="DO729" s="82" t="s">
        <v>85</v>
      </c>
      <c r="DP729" s="410" t="s">
        <v>85</v>
      </c>
    </row>
    <row r="730" spans="1:120" x14ac:dyDescent="0.25">
      <c r="A730" s="16" t="s">
        <v>5630</v>
      </c>
      <c r="B730" s="16" t="s">
        <v>5631</v>
      </c>
      <c r="C730" s="16" t="s">
        <v>5632</v>
      </c>
      <c r="D730" s="16" t="s">
        <v>5435</v>
      </c>
      <c r="E730" s="16" t="s">
        <v>5633</v>
      </c>
      <c r="F730" s="16" t="s">
        <v>5634</v>
      </c>
      <c r="G730" s="16" t="s">
        <v>5635</v>
      </c>
      <c r="H730" s="16" t="s">
        <v>5636</v>
      </c>
      <c r="I730" s="16" t="s">
        <v>2958</v>
      </c>
      <c r="J730" s="16" t="s">
        <v>943</v>
      </c>
      <c r="K730" s="16" t="s">
        <v>2959</v>
      </c>
      <c r="L730" s="16" t="s">
        <v>85</v>
      </c>
      <c r="M730" s="16" t="s">
        <v>1152</v>
      </c>
      <c r="N730" s="16" t="s">
        <v>914</v>
      </c>
      <c r="O730" s="16" t="s">
        <v>1153</v>
      </c>
      <c r="P730" s="16" t="s">
        <v>914</v>
      </c>
      <c r="Q730" s="16" t="s">
        <v>1153</v>
      </c>
      <c r="R730" s="16" t="s">
        <v>915</v>
      </c>
      <c r="S730" s="16" t="s">
        <v>915</v>
      </c>
      <c r="T730" s="16" t="s">
        <v>1154</v>
      </c>
      <c r="U730" s="16" t="s">
        <v>1155</v>
      </c>
      <c r="V730" s="16" t="s">
        <v>916</v>
      </c>
      <c r="W730" s="16" t="s">
        <v>1155</v>
      </c>
      <c r="X730" s="16" t="s">
        <v>934</v>
      </c>
      <c r="Y730" s="16" t="s">
        <v>934</v>
      </c>
      <c r="Z730" s="16" t="s">
        <v>935</v>
      </c>
      <c r="DA730" s="405" t="s">
        <v>5</v>
      </c>
      <c r="DB730" s="405" t="s">
        <v>363</v>
      </c>
      <c r="DC730" s="406" t="s">
        <v>85</v>
      </c>
      <c r="DD730" s="405" t="s">
        <v>917</v>
      </c>
      <c r="DE730" s="405" t="s">
        <v>5</v>
      </c>
      <c r="DF730" s="406" t="s">
        <v>85</v>
      </c>
      <c r="DG730" s="407">
        <v>45853</v>
      </c>
      <c r="DH730" s="405" t="s">
        <v>5633</v>
      </c>
      <c r="DI730" s="406">
        <v>465455</v>
      </c>
      <c r="DJ730" s="408">
        <v>5</v>
      </c>
      <c r="DK730" s="405">
        <v>1</v>
      </c>
      <c r="DL730" s="82">
        <v>308.62</v>
      </c>
      <c r="DM730" s="409">
        <v>1.5431000000000001</v>
      </c>
      <c r="DN730" s="82" t="s">
        <v>85</v>
      </c>
      <c r="DO730" s="82" t="s">
        <v>85</v>
      </c>
      <c r="DP730" s="410" t="s">
        <v>85</v>
      </c>
    </row>
    <row r="731" spans="1:120" x14ac:dyDescent="0.25">
      <c r="A731" s="16" t="s">
        <v>5637</v>
      </c>
      <c r="B731" s="16" t="s">
        <v>5638</v>
      </c>
      <c r="C731" s="16" t="s">
        <v>5639</v>
      </c>
      <c r="D731" s="16" t="s">
        <v>5435</v>
      </c>
      <c r="E731" s="16" t="s">
        <v>5640</v>
      </c>
      <c r="F731" s="16" t="s">
        <v>5641</v>
      </c>
      <c r="G731" s="16" t="s">
        <v>5642</v>
      </c>
      <c r="H731" s="16" t="s">
        <v>5643</v>
      </c>
      <c r="I731" s="16" t="s">
        <v>927</v>
      </c>
      <c r="J731" s="16" t="s">
        <v>928</v>
      </c>
      <c r="K731" s="16" t="s">
        <v>929</v>
      </c>
      <c r="L731" s="16" t="s">
        <v>85</v>
      </c>
      <c r="M731" s="16" t="s">
        <v>5644</v>
      </c>
      <c r="N731" s="16" t="s">
        <v>914</v>
      </c>
      <c r="O731" s="16" t="s">
        <v>5645</v>
      </c>
      <c r="P731" s="16" t="s">
        <v>914</v>
      </c>
      <c r="Q731" s="16" t="s">
        <v>5645</v>
      </c>
      <c r="R731" s="16" t="s">
        <v>915</v>
      </c>
      <c r="S731" s="16" t="s">
        <v>915</v>
      </c>
      <c r="T731" s="16" t="s">
        <v>5646</v>
      </c>
      <c r="U731" s="16" t="s">
        <v>5647</v>
      </c>
      <c r="V731" s="16" t="s">
        <v>1763</v>
      </c>
      <c r="W731" s="16" t="s">
        <v>5648</v>
      </c>
      <c r="X731" s="16" t="s">
        <v>934</v>
      </c>
      <c r="Y731" s="16" t="s">
        <v>934</v>
      </c>
      <c r="Z731" s="16" t="s">
        <v>935</v>
      </c>
      <c r="DA731" s="405" t="s">
        <v>5</v>
      </c>
      <c r="DB731" s="405" t="s">
        <v>363</v>
      </c>
      <c r="DC731" s="406" t="s">
        <v>85</v>
      </c>
      <c r="DD731" s="405" t="s">
        <v>917</v>
      </c>
      <c r="DE731" s="405" t="s">
        <v>5</v>
      </c>
      <c r="DF731" s="406" t="s">
        <v>85</v>
      </c>
      <c r="DG731" s="407">
        <v>45853</v>
      </c>
      <c r="DH731" s="405" t="s">
        <v>5640</v>
      </c>
      <c r="DI731" s="406">
        <v>465455</v>
      </c>
      <c r="DJ731" s="408">
        <v>5</v>
      </c>
      <c r="DK731" s="405">
        <v>2</v>
      </c>
      <c r="DL731" s="82">
        <v>312.52</v>
      </c>
      <c r="DM731" s="409">
        <v>1.5626</v>
      </c>
      <c r="DN731" s="82" t="s">
        <v>85</v>
      </c>
      <c r="DO731" s="82" t="s">
        <v>85</v>
      </c>
      <c r="DP731" s="410" t="s">
        <v>85</v>
      </c>
    </row>
    <row r="732" spans="1:120" x14ac:dyDescent="0.25">
      <c r="A732" s="16" t="s">
        <v>5637</v>
      </c>
      <c r="B732" s="16" t="s">
        <v>5638</v>
      </c>
      <c r="C732" s="16" t="s">
        <v>5639</v>
      </c>
      <c r="D732" s="16" t="s">
        <v>5435</v>
      </c>
      <c r="E732" s="16" t="s">
        <v>5640</v>
      </c>
      <c r="F732" s="16" t="s">
        <v>5641</v>
      </c>
      <c r="G732" s="16" t="s">
        <v>5642</v>
      </c>
      <c r="H732" s="16" t="s">
        <v>5643</v>
      </c>
      <c r="I732" s="16" t="s">
        <v>5009</v>
      </c>
      <c r="J732" s="16" t="s">
        <v>928</v>
      </c>
      <c r="K732" s="16" t="s">
        <v>5010</v>
      </c>
      <c r="L732" s="16" t="s">
        <v>85</v>
      </c>
      <c r="M732" s="16" t="s">
        <v>5493</v>
      </c>
      <c r="N732" s="16" t="s">
        <v>914</v>
      </c>
      <c r="O732" s="16" t="s">
        <v>5494</v>
      </c>
      <c r="P732" s="16" t="s">
        <v>914</v>
      </c>
      <c r="Q732" s="16" t="s">
        <v>5494</v>
      </c>
      <c r="R732" s="16" t="s">
        <v>915</v>
      </c>
      <c r="S732" s="16" t="s">
        <v>915</v>
      </c>
      <c r="T732" s="16" t="s">
        <v>5495</v>
      </c>
      <c r="U732" s="16" t="s">
        <v>5496</v>
      </c>
      <c r="V732" s="16" t="s">
        <v>916</v>
      </c>
      <c r="W732" s="16" t="s">
        <v>5496</v>
      </c>
      <c r="X732" s="16" t="s">
        <v>934</v>
      </c>
      <c r="Y732" s="16" t="s">
        <v>934</v>
      </c>
      <c r="Z732" s="16" t="s">
        <v>935</v>
      </c>
      <c r="DA732" s="405" t="s">
        <v>5</v>
      </c>
      <c r="DB732" s="405" t="s">
        <v>363</v>
      </c>
      <c r="DC732" s="406" t="s">
        <v>85</v>
      </c>
      <c r="DD732" s="405" t="s">
        <v>917</v>
      </c>
      <c r="DE732" s="405" t="s">
        <v>5</v>
      </c>
      <c r="DF732" s="406" t="s">
        <v>85</v>
      </c>
      <c r="DG732" s="407">
        <v>45853</v>
      </c>
      <c r="DH732" s="405" t="s">
        <v>5640</v>
      </c>
      <c r="DI732" s="406">
        <v>465455</v>
      </c>
      <c r="DJ732" s="408">
        <v>5</v>
      </c>
      <c r="DK732" s="405">
        <v>1</v>
      </c>
      <c r="DL732" s="82">
        <v>312.52999999999997</v>
      </c>
      <c r="DM732" s="409">
        <v>1.5626499999999999</v>
      </c>
      <c r="DN732" s="82" t="s">
        <v>85</v>
      </c>
      <c r="DO732" s="82" t="s">
        <v>85</v>
      </c>
      <c r="DP732" s="410" t="s">
        <v>85</v>
      </c>
    </row>
    <row r="733" spans="1:120" x14ac:dyDescent="0.25">
      <c r="A733" s="16" t="s">
        <v>5649</v>
      </c>
      <c r="B733" s="16" t="s">
        <v>5650</v>
      </c>
      <c r="C733" s="16" t="s">
        <v>5651</v>
      </c>
      <c r="D733" s="16" t="s">
        <v>5435</v>
      </c>
      <c r="E733" s="16" t="s">
        <v>5652</v>
      </c>
      <c r="F733" s="16" t="s">
        <v>5653</v>
      </c>
      <c r="G733" s="16" t="s">
        <v>5654</v>
      </c>
      <c r="H733" s="16" t="s">
        <v>5653</v>
      </c>
      <c r="I733" s="16" t="s">
        <v>1163</v>
      </c>
      <c r="J733" s="16" t="s">
        <v>995</v>
      </c>
      <c r="K733" s="16" t="s">
        <v>1164</v>
      </c>
      <c r="L733" s="16" t="s">
        <v>85</v>
      </c>
      <c r="M733" s="16" t="s">
        <v>3840</v>
      </c>
      <c r="N733" s="16" t="s">
        <v>914</v>
      </c>
      <c r="O733" s="16" t="s">
        <v>3841</v>
      </c>
      <c r="P733" s="16" t="s">
        <v>914</v>
      </c>
      <c r="Q733" s="16" t="s">
        <v>3841</v>
      </c>
      <c r="R733" s="16" t="s">
        <v>915</v>
      </c>
      <c r="S733" s="16" t="s">
        <v>915</v>
      </c>
      <c r="T733" s="16" t="s">
        <v>3840</v>
      </c>
      <c r="U733" s="16" t="s">
        <v>3842</v>
      </c>
      <c r="V733" s="16" t="s">
        <v>916</v>
      </c>
      <c r="W733" s="16" t="s">
        <v>3842</v>
      </c>
      <c r="X733" s="16" t="s">
        <v>934</v>
      </c>
      <c r="Y733" s="16" t="s">
        <v>934</v>
      </c>
      <c r="Z733" s="16" t="s">
        <v>935</v>
      </c>
      <c r="DA733" s="405" t="s">
        <v>5</v>
      </c>
      <c r="DB733" s="405" t="s">
        <v>363</v>
      </c>
      <c r="DC733" s="406" t="s">
        <v>85</v>
      </c>
      <c r="DD733" s="405" t="s">
        <v>917</v>
      </c>
      <c r="DE733" s="405" t="s">
        <v>5</v>
      </c>
      <c r="DF733" s="406" t="s">
        <v>85</v>
      </c>
      <c r="DG733" s="407">
        <v>45853</v>
      </c>
      <c r="DH733" s="405" t="s">
        <v>5652</v>
      </c>
      <c r="DI733" s="406">
        <v>465455</v>
      </c>
      <c r="DJ733" s="408">
        <v>5</v>
      </c>
      <c r="DK733" s="405">
        <v>1</v>
      </c>
      <c r="DL733" s="82">
        <v>433.17</v>
      </c>
      <c r="DM733" s="409">
        <v>2.1658500000000003</v>
      </c>
      <c r="DN733" s="82" t="s">
        <v>85</v>
      </c>
      <c r="DO733" s="82" t="s">
        <v>85</v>
      </c>
      <c r="DP733" s="410" t="s">
        <v>85</v>
      </c>
    </row>
    <row r="734" spans="1:120" x14ac:dyDescent="0.25">
      <c r="A734" s="16" t="s">
        <v>5655</v>
      </c>
      <c r="B734" s="16" t="s">
        <v>5656</v>
      </c>
      <c r="C734" s="16" t="s">
        <v>5657</v>
      </c>
      <c r="D734" s="16" t="s">
        <v>5435</v>
      </c>
      <c r="E734" s="16" t="s">
        <v>5658</v>
      </c>
      <c r="F734" s="16" t="s">
        <v>5659</v>
      </c>
      <c r="G734" s="16" t="s">
        <v>5660</v>
      </c>
      <c r="H734" s="16" t="s">
        <v>5661</v>
      </c>
      <c r="I734" s="16" t="s">
        <v>1099</v>
      </c>
      <c r="J734" s="16" t="s">
        <v>943</v>
      </c>
      <c r="K734" s="16" t="s">
        <v>1100</v>
      </c>
      <c r="L734" s="16" t="s">
        <v>85</v>
      </c>
      <c r="M734" s="16" t="s">
        <v>1152</v>
      </c>
      <c r="N734" s="16" t="s">
        <v>914</v>
      </c>
      <c r="O734" s="16" t="s">
        <v>1153</v>
      </c>
      <c r="P734" s="16" t="s">
        <v>914</v>
      </c>
      <c r="Q734" s="16" t="s">
        <v>1153</v>
      </c>
      <c r="R734" s="16" t="s">
        <v>915</v>
      </c>
      <c r="S734" s="16" t="s">
        <v>915</v>
      </c>
      <c r="T734" s="16" t="s">
        <v>1154</v>
      </c>
      <c r="U734" s="16" t="s">
        <v>1155</v>
      </c>
      <c r="V734" s="16" t="s">
        <v>916</v>
      </c>
      <c r="W734" s="16" t="s">
        <v>1155</v>
      </c>
      <c r="X734" s="16" t="s">
        <v>934</v>
      </c>
      <c r="Y734" s="16" t="s">
        <v>934</v>
      </c>
      <c r="Z734" s="16" t="s">
        <v>935</v>
      </c>
      <c r="DA734" s="405" t="s">
        <v>5</v>
      </c>
      <c r="DB734" s="405" t="s">
        <v>363</v>
      </c>
      <c r="DC734" s="406" t="s">
        <v>85</v>
      </c>
      <c r="DD734" s="405" t="s">
        <v>917</v>
      </c>
      <c r="DE734" s="405" t="s">
        <v>5</v>
      </c>
      <c r="DF734" s="406" t="s">
        <v>85</v>
      </c>
      <c r="DG734" s="407">
        <v>45853</v>
      </c>
      <c r="DH734" s="405" t="s">
        <v>5658</v>
      </c>
      <c r="DI734" s="406">
        <v>465455</v>
      </c>
      <c r="DJ734" s="408">
        <v>5</v>
      </c>
      <c r="DK734" s="405">
        <v>1</v>
      </c>
      <c r="DL734" s="82">
        <v>308.62</v>
      </c>
      <c r="DM734" s="409">
        <v>1.5431000000000001</v>
      </c>
      <c r="DN734" s="82" t="s">
        <v>85</v>
      </c>
      <c r="DO734" s="82" t="s">
        <v>85</v>
      </c>
      <c r="DP734" s="410" t="s">
        <v>85</v>
      </c>
    </row>
    <row r="735" spans="1:120" x14ac:dyDescent="0.25">
      <c r="A735" s="16" t="s">
        <v>5655</v>
      </c>
      <c r="B735" s="16" t="s">
        <v>5656</v>
      </c>
      <c r="C735" s="16" t="s">
        <v>5657</v>
      </c>
      <c r="D735" s="16" t="s">
        <v>5435</v>
      </c>
      <c r="E735" s="16" t="s">
        <v>5658</v>
      </c>
      <c r="F735" s="16" t="s">
        <v>5659</v>
      </c>
      <c r="G735" s="16" t="s">
        <v>5660</v>
      </c>
      <c r="H735" s="16" t="s">
        <v>5661</v>
      </c>
      <c r="I735" s="16" t="s">
        <v>1765</v>
      </c>
      <c r="J735" s="16" t="s">
        <v>943</v>
      </c>
      <c r="K735" s="16" t="s">
        <v>1766</v>
      </c>
      <c r="L735" s="16" t="s">
        <v>85</v>
      </c>
      <c r="M735" s="16" t="s">
        <v>1152</v>
      </c>
      <c r="N735" s="16" t="s">
        <v>914</v>
      </c>
      <c r="O735" s="16" t="s">
        <v>1153</v>
      </c>
      <c r="P735" s="16" t="s">
        <v>914</v>
      </c>
      <c r="Q735" s="16" t="s">
        <v>1153</v>
      </c>
      <c r="R735" s="16" t="s">
        <v>915</v>
      </c>
      <c r="S735" s="16" t="s">
        <v>915</v>
      </c>
      <c r="T735" s="16" t="s">
        <v>1154</v>
      </c>
      <c r="U735" s="16" t="s">
        <v>1155</v>
      </c>
      <c r="V735" s="16" t="s">
        <v>916</v>
      </c>
      <c r="W735" s="16" t="s">
        <v>1155</v>
      </c>
      <c r="X735" s="16" t="s">
        <v>934</v>
      </c>
      <c r="Y735" s="16" t="s">
        <v>934</v>
      </c>
      <c r="Z735" s="16" t="s">
        <v>935</v>
      </c>
      <c r="DA735" s="405" t="s">
        <v>5</v>
      </c>
      <c r="DB735" s="405" t="s">
        <v>363</v>
      </c>
      <c r="DC735" s="406" t="s">
        <v>85</v>
      </c>
      <c r="DD735" s="405" t="s">
        <v>917</v>
      </c>
      <c r="DE735" s="405" t="s">
        <v>5</v>
      </c>
      <c r="DF735" s="406" t="s">
        <v>85</v>
      </c>
      <c r="DG735" s="407">
        <v>45853</v>
      </c>
      <c r="DH735" s="405" t="s">
        <v>5658</v>
      </c>
      <c r="DI735" s="406">
        <v>465455</v>
      </c>
      <c r="DJ735" s="408">
        <v>5</v>
      </c>
      <c r="DK735" s="405">
        <v>1</v>
      </c>
      <c r="DL735" s="82">
        <v>308.62</v>
      </c>
      <c r="DM735" s="409">
        <v>1.5431000000000001</v>
      </c>
      <c r="DN735" s="82" t="s">
        <v>85</v>
      </c>
      <c r="DO735" s="82" t="s">
        <v>85</v>
      </c>
      <c r="DP735" s="410" t="s">
        <v>85</v>
      </c>
    </row>
    <row r="736" spans="1:120" x14ac:dyDescent="0.25">
      <c r="A736" s="16" t="s">
        <v>5662</v>
      </c>
      <c r="B736" s="16" t="s">
        <v>5663</v>
      </c>
      <c r="C736" s="16" t="s">
        <v>5664</v>
      </c>
      <c r="D736" s="16" t="s">
        <v>5435</v>
      </c>
      <c r="E736" s="16" t="s">
        <v>5665</v>
      </c>
      <c r="F736" s="16" t="s">
        <v>5666</v>
      </c>
      <c r="G736" s="16" t="s">
        <v>5667</v>
      </c>
      <c r="H736" s="16" t="s">
        <v>5668</v>
      </c>
      <c r="I736" s="16" t="s">
        <v>3823</v>
      </c>
      <c r="J736" s="16" t="s">
        <v>928</v>
      </c>
      <c r="K736" s="16" t="s">
        <v>3824</v>
      </c>
      <c r="L736" s="16" t="s">
        <v>85</v>
      </c>
      <c r="M736" s="16" t="s">
        <v>5493</v>
      </c>
      <c r="N736" s="16" t="s">
        <v>914</v>
      </c>
      <c r="O736" s="16" t="s">
        <v>5494</v>
      </c>
      <c r="P736" s="16" t="s">
        <v>914</v>
      </c>
      <c r="Q736" s="16" t="s">
        <v>5494</v>
      </c>
      <c r="R736" s="16" t="s">
        <v>915</v>
      </c>
      <c r="S736" s="16" t="s">
        <v>915</v>
      </c>
      <c r="T736" s="16" t="s">
        <v>5495</v>
      </c>
      <c r="U736" s="16" t="s">
        <v>5496</v>
      </c>
      <c r="V736" s="16" t="s">
        <v>916</v>
      </c>
      <c r="W736" s="16" t="s">
        <v>5496</v>
      </c>
      <c r="X736" s="16" t="s">
        <v>934</v>
      </c>
      <c r="Y736" s="16" t="s">
        <v>934</v>
      </c>
      <c r="Z736" s="16" t="s">
        <v>935</v>
      </c>
      <c r="DA736" s="405" t="s">
        <v>5</v>
      </c>
      <c r="DB736" s="405" t="s">
        <v>363</v>
      </c>
      <c r="DC736" s="406" t="s">
        <v>85</v>
      </c>
      <c r="DD736" s="405" t="s">
        <v>917</v>
      </c>
      <c r="DE736" s="405" t="s">
        <v>5</v>
      </c>
      <c r="DF736" s="406" t="s">
        <v>85</v>
      </c>
      <c r="DG736" s="407">
        <v>45853</v>
      </c>
      <c r="DH736" s="405" t="s">
        <v>5665</v>
      </c>
      <c r="DI736" s="406">
        <v>465455</v>
      </c>
      <c r="DJ736" s="408">
        <v>5</v>
      </c>
      <c r="DK736" s="405">
        <v>1</v>
      </c>
      <c r="DL736" s="82">
        <v>312.52999999999997</v>
      </c>
      <c r="DM736" s="409">
        <v>1.5626499999999999</v>
      </c>
      <c r="DN736" s="82" t="s">
        <v>85</v>
      </c>
      <c r="DO736" s="82" t="s">
        <v>85</v>
      </c>
      <c r="DP736" s="410" t="s">
        <v>85</v>
      </c>
    </row>
    <row r="737" spans="1:120" x14ac:dyDescent="0.25">
      <c r="A737" s="16" t="s">
        <v>5669</v>
      </c>
      <c r="B737" s="16" t="s">
        <v>5670</v>
      </c>
      <c r="C737" s="16" t="s">
        <v>5671</v>
      </c>
      <c r="D737" s="16" t="s">
        <v>5435</v>
      </c>
      <c r="E737" s="16" t="s">
        <v>5672</v>
      </c>
      <c r="F737" s="16" t="s">
        <v>5673</v>
      </c>
      <c r="G737" s="16" t="s">
        <v>5674</v>
      </c>
      <c r="H737" s="16" t="s">
        <v>5675</v>
      </c>
      <c r="I737" s="16" t="s">
        <v>1620</v>
      </c>
      <c r="J737" s="16" t="s">
        <v>943</v>
      </c>
      <c r="K737" s="16" t="s">
        <v>1621</v>
      </c>
      <c r="L737" s="16" t="s">
        <v>85</v>
      </c>
      <c r="M737" s="16" t="s">
        <v>1152</v>
      </c>
      <c r="N737" s="16" t="s">
        <v>914</v>
      </c>
      <c r="O737" s="16" t="s">
        <v>1153</v>
      </c>
      <c r="P737" s="16" t="s">
        <v>914</v>
      </c>
      <c r="Q737" s="16" t="s">
        <v>1153</v>
      </c>
      <c r="R737" s="16" t="s">
        <v>915</v>
      </c>
      <c r="S737" s="16" t="s">
        <v>915</v>
      </c>
      <c r="T737" s="16" t="s">
        <v>1154</v>
      </c>
      <c r="U737" s="16" t="s">
        <v>1155</v>
      </c>
      <c r="V737" s="16" t="s">
        <v>916</v>
      </c>
      <c r="W737" s="16" t="s">
        <v>1155</v>
      </c>
      <c r="X737" s="16" t="s">
        <v>934</v>
      </c>
      <c r="Y737" s="16" t="s">
        <v>934</v>
      </c>
      <c r="Z737" s="16" t="s">
        <v>935</v>
      </c>
      <c r="DA737" s="405" t="s">
        <v>5</v>
      </c>
      <c r="DB737" s="405" t="s">
        <v>363</v>
      </c>
      <c r="DC737" s="406" t="s">
        <v>85</v>
      </c>
      <c r="DD737" s="405" t="s">
        <v>917</v>
      </c>
      <c r="DE737" s="405" t="s">
        <v>5</v>
      </c>
      <c r="DF737" s="406" t="s">
        <v>85</v>
      </c>
      <c r="DG737" s="407">
        <v>45853</v>
      </c>
      <c r="DH737" s="405" t="s">
        <v>5672</v>
      </c>
      <c r="DI737" s="406">
        <v>465455</v>
      </c>
      <c r="DJ737" s="408">
        <v>5</v>
      </c>
      <c r="DK737" s="405">
        <v>1</v>
      </c>
      <c r="DL737" s="82">
        <v>308.62</v>
      </c>
      <c r="DM737" s="409">
        <v>1.5431000000000001</v>
      </c>
      <c r="DN737" s="82" t="s">
        <v>85</v>
      </c>
      <c r="DO737" s="82" t="s">
        <v>85</v>
      </c>
      <c r="DP737" s="410" t="s">
        <v>85</v>
      </c>
    </row>
    <row r="738" spans="1:120" x14ac:dyDescent="0.25">
      <c r="A738" s="16" t="s">
        <v>5676</v>
      </c>
      <c r="B738" s="16" t="s">
        <v>5677</v>
      </c>
      <c r="C738" s="16" t="s">
        <v>5678</v>
      </c>
      <c r="D738" s="16" t="s">
        <v>5435</v>
      </c>
      <c r="E738" s="16" t="s">
        <v>5679</v>
      </c>
      <c r="F738" s="16" t="s">
        <v>5680</v>
      </c>
      <c r="G738" s="16" t="s">
        <v>5681</v>
      </c>
      <c r="H738" s="16" t="s">
        <v>5682</v>
      </c>
      <c r="I738" s="16" t="s">
        <v>1099</v>
      </c>
      <c r="J738" s="16" t="s">
        <v>943</v>
      </c>
      <c r="K738" s="16" t="s">
        <v>1100</v>
      </c>
      <c r="L738" s="16" t="s">
        <v>85</v>
      </c>
      <c r="M738" s="16" t="s">
        <v>1152</v>
      </c>
      <c r="N738" s="16" t="s">
        <v>914</v>
      </c>
      <c r="O738" s="16" t="s">
        <v>1153</v>
      </c>
      <c r="P738" s="16" t="s">
        <v>914</v>
      </c>
      <c r="Q738" s="16" t="s">
        <v>1153</v>
      </c>
      <c r="R738" s="16" t="s">
        <v>915</v>
      </c>
      <c r="S738" s="16" t="s">
        <v>915</v>
      </c>
      <c r="T738" s="16" t="s">
        <v>1154</v>
      </c>
      <c r="U738" s="16" t="s">
        <v>1155</v>
      </c>
      <c r="V738" s="16" t="s">
        <v>916</v>
      </c>
      <c r="W738" s="16" t="s">
        <v>1155</v>
      </c>
      <c r="X738" s="16" t="s">
        <v>934</v>
      </c>
      <c r="Y738" s="16" t="s">
        <v>934</v>
      </c>
      <c r="Z738" s="16" t="s">
        <v>935</v>
      </c>
      <c r="DA738" s="405" t="s">
        <v>5</v>
      </c>
      <c r="DB738" s="405" t="s">
        <v>363</v>
      </c>
      <c r="DC738" s="406" t="s">
        <v>85</v>
      </c>
      <c r="DD738" s="405" t="s">
        <v>917</v>
      </c>
      <c r="DE738" s="405" t="s">
        <v>5</v>
      </c>
      <c r="DF738" s="406" t="s">
        <v>85</v>
      </c>
      <c r="DG738" s="407">
        <v>45853</v>
      </c>
      <c r="DH738" s="405" t="s">
        <v>5679</v>
      </c>
      <c r="DI738" s="406">
        <v>465455</v>
      </c>
      <c r="DJ738" s="408">
        <v>5</v>
      </c>
      <c r="DK738" s="405">
        <v>1</v>
      </c>
      <c r="DL738" s="82">
        <v>308.62</v>
      </c>
      <c r="DM738" s="409">
        <v>1.5431000000000001</v>
      </c>
      <c r="DN738" s="82" t="s">
        <v>85</v>
      </c>
      <c r="DO738" s="82" t="s">
        <v>85</v>
      </c>
      <c r="DP738" s="410" t="s">
        <v>85</v>
      </c>
    </row>
    <row r="739" spans="1:120" x14ac:dyDescent="0.25">
      <c r="A739" s="16" t="s">
        <v>5193</v>
      </c>
      <c r="B739" s="16" t="s">
        <v>5194</v>
      </c>
      <c r="C739" s="16" t="s">
        <v>5195</v>
      </c>
      <c r="D739" s="16" t="s">
        <v>5196</v>
      </c>
      <c r="E739" s="16" t="s">
        <v>5197</v>
      </c>
      <c r="F739" s="16" t="s">
        <v>5198</v>
      </c>
      <c r="G739" s="16" t="s">
        <v>5199</v>
      </c>
      <c r="H739" s="16" t="s">
        <v>5200</v>
      </c>
      <c r="I739" s="16" t="s">
        <v>1970</v>
      </c>
      <c r="J739" s="16" t="s">
        <v>995</v>
      </c>
      <c r="K739" s="16" t="s">
        <v>1971</v>
      </c>
      <c r="L739" s="16" t="s">
        <v>85</v>
      </c>
      <c r="M739" s="16" t="s">
        <v>1165</v>
      </c>
      <c r="N739" s="16" t="s">
        <v>914</v>
      </c>
      <c r="O739" s="16" t="s">
        <v>1166</v>
      </c>
      <c r="P739" s="16" t="s">
        <v>914</v>
      </c>
      <c r="Q739" s="16" t="s">
        <v>1166</v>
      </c>
      <c r="R739" s="16" t="s">
        <v>915</v>
      </c>
      <c r="S739" s="16" t="s">
        <v>915</v>
      </c>
      <c r="T739" s="16" t="s">
        <v>1167</v>
      </c>
      <c r="U739" s="16" t="s">
        <v>1168</v>
      </c>
      <c r="V739" s="16" t="s">
        <v>916</v>
      </c>
      <c r="W739" s="16" t="s">
        <v>1168</v>
      </c>
      <c r="X739" s="16" t="s">
        <v>934</v>
      </c>
      <c r="Y739" s="16" t="s">
        <v>934</v>
      </c>
      <c r="Z739" s="16" t="s">
        <v>935</v>
      </c>
      <c r="DA739" s="405" t="s">
        <v>5</v>
      </c>
      <c r="DB739" s="405" t="s">
        <v>363</v>
      </c>
      <c r="DC739" s="406" t="s">
        <v>85</v>
      </c>
      <c r="DD739" s="405" t="s">
        <v>917</v>
      </c>
      <c r="DE739" s="405" t="s">
        <v>5</v>
      </c>
      <c r="DF739" s="406" t="s">
        <v>85</v>
      </c>
      <c r="DG739" s="407">
        <v>45854</v>
      </c>
      <c r="DH739" s="405" t="s">
        <v>5197</v>
      </c>
      <c r="DI739" s="406">
        <v>465455</v>
      </c>
      <c r="DJ739" s="408">
        <v>5</v>
      </c>
      <c r="DK739" s="405">
        <v>1</v>
      </c>
      <c r="DL739" s="82">
        <v>468.28</v>
      </c>
      <c r="DM739" s="409">
        <v>2.3413999999999997</v>
      </c>
      <c r="DN739" s="82" t="s">
        <v>85</v>
      </c>
      <c r="DO739" s="82" t="s">
        <v>85</v>
      </c>
      <c r="DP739" s="410" t="s">
        <v>85</v>
      </c>
    </row>
    <row r="740" spans="1:120" x14ac:dyDescent="0.25">
      <c r="A740" s="16" t="s">
        <v>5201</v>
      </c>
      <c r="B740" s="16" t="s">
        <v>5202</v>
      </c>
      <c r="C740" s="16" t="s">
        <v>5203</v>
      </c>
      <c r="D740" s="16" t="s">
        <v>5196</v>
      </c>
      <c r="E740" s="16" t="s">
        <v>5204</v>
      </c>
      <c r="F740" s="16" t="s">
        <v>5205</v>
      </c>
      <c r="G740" s="16" t="s">
        <v>5206</v>
      </c>
      <c r="H740" s="16" t="s">
        <v>5205</v>
      </c>
      <c r="I740" s="16" t="s">
        <v>5207</v>
      </c>
      <c r="J740" s="16" t="s">
        <v>2369</v>
      </c>
      <c r="K740" s="16" t="s">
        <v>5208</v>
      </c>
      <c r="L740" s="16" t="s">
        <v>85</v>
      </c>
      <c r="M740" s="16" t="s">
        <v>1955</v>
      </c>
      <c r="N740" s="16" t="s">
        <v>914</v>
      </c>
      <c r="O740" s="16" t="s">
        <v>1039</v>
      </c>
      <c r="P740" s="16" t="s">
        <v>914</v>
      </c>
      <c r="Q740" s="16" t="s">
        <v>1039</v>
      </c>
      <c r="R740" s="16" t="s">
        <v>915</v>
      </c>
      <c r="S740" s="16" t="s">
        <v>915</v>
      </c>
      <c r="T740" s="16" t="s">
        <v>1955</v>
      </c>
      <c r="U740" s="16" t="s">
        <v>1956</v>
      </c>
      <c r="V740" s="16" t="s">
        <v>916</v>
      </c>
      <c r="W740" s="16" t="s">
        <v>1956</v>
      </c>
      <c r="X740" s="16" t="s">
        <v>934</v>
      </c>
      <c r="Y740" s="16" t="s">
        <v>934</v>
      </c>
      <c r="Z740" s="16" t="s">
        <v>935</v>
      </c>
      <c r="DA740" s="405" t="s">
        <v>5</v>
      </c>
      <c r="DB740" s="405" t="s">
        <v>363</v>
      </c>
      <c r="DC740" s="406" t="s">
        <v>85</v>
      </c>
      <c r="DD740" s="405" t="s">
        <v>917</v>
      </c>
      <c r="DE740" s="405" t="s">
        <v>5</v>
      </c>
      <c r="DF740" s="406" t="s">
        <v>85</v>
      </c>
      <c r="DG740" s="407">
        <v>45854</v>
      </c>
      <c r="DH740" s="405" t="s">
        <v>5204</v>
      </c>
      <c r="DI740" s="406">
        <v>465455</v>
      </c>
      <c r="DJ740" s="408">
        <v>5</v>
      </c>
      <c r="DK740" s="405">
        <v>1</v>
      </c>
      <c r="DL740" s="82">
        <v>311.2</v>
      </c>
      <c r="DM740" s="409">
        <v>1.556</v>
      </c>
      <c r="DN740" s="82" t="s">
        <v>85</v>
      </c>
      <c r="DO740" s="82" t="s">
        <v>85</v>
      </c>
      <c r="DP740" s="410" t="s">
        <v>85</v>
      </c>
    </row>
    <row r="741" spans="1:120" x14ac:dyDescent="0.25">
      <c r="A741" s="16" t="s">
        <v>5209</v>
      </c>
      <c r="B741" s="16" t="s">
        <v>5210</v>
      </c>
      <c r="C741" s="16" t="s">
        <v>5211</v>
      </c>
      <c r="D741" s="16" t="s">
        <v>5196</v>
      </c>
      <c r="E741" s="16" t="s">
        <v>5212</v>
      </c>
      <c r="F741" s="16" t="s">
        <v>5213</v>
      </c>
      <c r="G741" s="16" t="s">
        <v>5214</v>
      </c>
      <c r="H741" s="16" t="s">
        <v>5213</v>
      </c>
      <c r="I741" s="16" t="s">
        <v>2012</v>
      </c>
      <c r="J741" s="16" t="s">
        <v>1036</v>
      </c>
      <c r="K741" s="16" t="s">
        <v>2013</v>
      </c>
      <c r="L741" s="16" t="s">
        <v>85</v>
      </c>
      <c r="M741" s="16" t="s">
        <v>1216</v>
      </c>
      <c r="N741" s="16" t="s">
        <v>914</v>
      </c>
      <c r="O741" s="16" t="s">
        <v>946</v>
      </c>
      <c r="P741" s="16" t="s">
        <v>914</v>
      </c>
      <c r="Q741" s="16" t="s">
        <v>946</v>
      </c>
      <c r="R741" s="16" t="s">
        <v>915</v>
      </c>
      <c r="S741" s="16" t="s">
        <v>915</v>
      </c>
      <c r="T741" s="16" t="s">
        <v>1216</v>
      </c>
      <c r="U741" s="16" t="s">
        <v>1217</v>
      </c>
      <c r="V741" s="16" t="s">
        <v>916</v>
      </c>
      <c r="W741" s="16" t="s">
        <v>1217</v>
      </c>
      <c r="X741" s="16" t="s">
        <v>934</v>
      </c>
      <c r="Y741" s="16" t="s">
        <v>934</v>
      </c>
      <c r="Z741" s="16" t="s">
        <v>935</v>
      </c>
      <c r="DA741" s="405" t="s">
        <v>5</v>
      </c>
      <c r="DB741" s="405" t="s">
        <v>363</v>
      </c>
      <c r="DC741" s="406" t="s">
        <v>85</v>
      </c>
      <c r="DD741" s="405" t="s">
        <v>917</v>
      </c>
      <c r="DE741" s="405" t="s">
        <v>5</v>
      </c>
      <c r="DF741" s="406" t="s">
        <v>85</v>
      </c>
      <c r="DG741" s="407">
        <v>45854</v>
      </c>
      <c r="DH741" s="405" t="s">
        <v>5212</v>
      </c>
      <c r="DI741" s="406">
        <v>465455</v>
      </c>
      <c r="DJ741" s="408">
        <v>5</v>
      </c>
      <c r="DK741" s="405">
        <v>1</v>
      </c>
      <c r="DL741" s="82">
        <v>319.22000000000003</v>
      </c>
      <c r="DM741" s="409">
        <v>1.5961000000000001</v>
      </c>
      <c r="DN741" s="82" t="s">
        <v>85</v>
      </c>
      <c r="DO741" s="82" t="s">
        <v>85</v>
      </c>
      <c r="DP741" s="410" t="s">
        <v>85</v>
      </c>
    </row>
    <row r="742" spans="1:120" x14ac:dyDescent="0.25">
      <c r="A742" s="16" t="s">
        <v>5215</v>
      </c>
      <c r="B742" s="16" t="s">
        <v>5216</v>
      </c>
      <c r="C742" s="16" t="s">
        <v>5217</v>
      </c>
      <c r="D742" s="16" t="s">
        <v>5196</v>
      </c>
      <c r="E742" s="16" t="s">
        <v>5218</v>
      </c>
      <c r="F742" s="16" t="s">
        <v>5219</v>
      </c>
      <c r="G742" s="16" t="s">
        <v>5220</v>
      </c>
      <c r="H742" s="16" t="s">
        <v>5219</v>
      </c>
      <c r="I742" s="16" t="s">
        <v>5221</v>
      </c>
      <c r="J742" s="16" t="s">
        <v>2699</v>
      </c>
      <c r="K742" s="16" t="s">
        <v>5222</v>
      </c>
      <c r="L742" s="16" t="s">
        <v>85</v>
      </c>
      <c r="M742" s="16" t="s">
        <v>2701</v>
      </c>
      <c r="N742" s="16" t="s">
        <v>914</v>
      </c>
      <c r="O742" s="16" t="s">
        <v>2702</v>
      </c>
      <c r="P742" s="16" t="s">
        <v>914</v>
      </c>
      <c r="Q742" s="16" t="s">
        <v>2702</v>
      </c>
      <c r="R742" s="16" t="s">
        <v>915</v>
      </c>
      <c r="S742" s="16" t="s">
        <v>915</v>
      </c>
      <c r="T742" s="16" t="s">
        <v>2703</v>
      </c>
      <c r="U742" s="16" t="s">
        <v>2704</v>
      </c>
      <c r="V742" s="16" t="s">
        <v>916</v>
      </c>
      <c r="W742" s="16" t="s">
        <v>2704</v>
      </c>
      <c r="X742" s="16" t="s">
        <v>934</v>
      </c>
      <c r="Y742" s="16" t="s">
        <v>934</v>
      </c>
      <c r="Z742" s="16" t="s">
        <v>935</v>
      </c>
      <c r="DA742" s="405" t="s">
        <v>5</v>
      </c>
      <c r="DB742" s="405" t="s">
        <v>363</v>
      </c>
      <c r="DC742" s="406" t="s">
        <v>85</v>
      </c>
      <c r="DD742" s="405" t="s">
        <v>917</v>
      </c>
      <c r="DE742" s="405" t="s">
        <v>5</v>
      </c>
      <c r="DF742" s="406" t="s">
        <v>85</v>
      </c>
      <c r="DG742" s="407">
        <v>45854</v>
      </c>
      <c r="DH742" s="405" t="s">
        <v>5218</v>
      </c>
      <c r="DI742" s="406">
        <v>465455</v>
      </c>
      <c r="DJ742" s="408">
        <v>5</v>
      </c>
      <c r="DK742" s="405">
        <v>1</v>
      </c>
      <c r="DL742" s="82">
        <v>478.9</v>
      </c>
      <c r="DM742" s="409">
        <v>2.3944999999999999</v>
      </c>
      <c r="DN742" s="82" t="s">
        <v>85</v>
      </c>
      <c r="DO742" s="82" t="s">
        <v>85</v>
      </c>
      <c r="DP742" s="410" t="s">
        <v>85</v>
      </c>
    </row>
    <row r="743" spans="1:120" x14ac:dyDescent="0.25">
      <c r="A743" s="16" t="s">
        <v>5223</v>
      </c>
      <c r="B743" s="16" t="s">
        <v>5224</v>
      </c>
      <c r="C743" s="16" t="s">
        <v>5225</v>
      </c>
      <c r="D743" s="16" t="s">
        <v>5196</v>
      </c>
      <c r="E743" s="16" t="s">
        <v>5226</v>
      </c>
      <c r="F743" s="16" t="s">
        <v>5227</v>
      </c>
      <c r="G743" s="16" t="s">
        <v>5228</v>
      </c>
      <c r="H743" s="16" t="s">
        <v>5227</v>
      </c>
      <c r="I743" s="16" t="s">
        <v>2922</v>
      </c>
      <c r="J743" s="16" t="s">
        <v>928</v>
      </c>
      <c r="K743" s="16" t="s">
        <v>2923</v>
      </c>
      <c r="L743" s="16" t="s">
        <v>85</v>
      </c>
      <c r="M743" s="16" t="s">
        <v>1322</v>
      </c>
      <c r="N743" s="16" t="s">
        <v>914</v>
      </c>
      <c r="O743" s="16" t="s">
        <v>1323</v>
      </c>
      <c r="P743" s="16" t="s">
        <v>914</v>
      </c>
      <c r="Q743" s="16" t="s">
        <v>1323</v>
      </c>
      <c r="R743" s="16" t="s">
        <v>915</v>
      </c>
      <c r="S743" s="16" t="s">
        <v>915</v>
      </c>
      <c r="T743" s="16" t="s">
        <v>1322</v>
      </c>
      <c r="U743" s="16" t="s">
        <v>1324</v>
      </c>
      <c r="V743" s="16" t="s">
        <v>916</v>
      </c>
      <c r="W743" s="16" t="s">
        <v>1324</v>
      </c>
      <c r="X743" s="16" t="s">
        <v>934</v>
      </c>
      <c r="Y743" s="16" t="s">
        <v>934</v>
      </c>
      <c r="Z743" s="16" t="s">
        <v>935</v>
      </c>
      <c r="DA743" s="405" t="s">
        <v>5</v>
      </c>
      <c r="DB743" s="405" t="s">
        <v>363</v>
      </c>
      <c r="DC743" s="406" t="s">
        <v>85</v>
      </c>
      <c r="DD743" s="405" t="s">
        <v>917</v>
      </c>
      <c r="DE743" s="405" t="s">
        <v>5</v>
      </c>
      <c r="DF743" s="406" t="s">
        <v>85</v>
      </c>
      <c r="DG743" s="407">
        <v>45854</v>
      </c>
      <c r="DH743" s="405" t="s">
        <v>5226</v>
      </c>
      <c r="DI743" s="406">
        <v>465455</v>
      </c>
      <c r="DJ743" s="408">
        <v>5</v>
      </c>
      <c r="DK743" s="405">
        <v>1</v>
      </c>
      <c r="DL743" s="82">
        <v>332.47</v>
      </c>
      <c r="DM743" s="409">
        <v>1.6623500000000002</v>
      </c>
      <c r="DN743" s="82" t="s">
        <v>85</v>
      </c>
      <c r="DO743" s="82" t="s">
        <v>85</v>
      </c>
      <c r="DP743" s="410" t="s">
        <v>85</v>
      </c>
    </row>
    <row r="744" spans="1:120" x14ac:dyDescent="0.25">
      <c r="A744" s="16" t="s">
        <v>5229</v>
      </c>
      <c r="B744" s="16" t="s">
        <v>5230</v>
      </c>
      <c r="C744" s="16" t="s">
        <v>5231</v>
      </c>
      <c r="D744" s="16" t="s">
        <v>5196</v>
      </c>
      <c r="E744" s="16" t="s">
        <v>5232</v>
      </c>
      <c r="F744" s="16" t="s">
        <v>5233</v>
      </c>
      <c r="G744" s="16" t="s">
        <v>5234</v>
      </c>
      <c r="H744" s="16" t="s">
        <v>5235</v>
      </c>
      <c r="I744" s="16" t="s">
        <v>3041</v>
      </c>
      <c r="J744" s="16" t="s">
        <v>928</v>
      </c>
      <c r="K744" s="16" t="s">
        <v>3042</v>
      </c>
      <c r="L744" s="16" t="s">
        <v>85</v>
      </c>
      <c r="M744" s="16" t="s">
        <v>1322</v>
      </c>
      <c r="N744" s="16" t="s">
        <v>914</v>
      </c>
      <c r="O744" s="16" t="s">
        <v>1323</v>
      </c>
      <c r="P744" s="16" t="s">
        <v>914</v>
      </c>
      <c r="Q744" s="16" t="s">
        <v>1323</v>
      </c>
      <c r="R744" s="16" t="s">
        <v>915</v>
      </c>
      <c r="S744" s="16" t="s">
        <v>915</v>
      </c>
      <c r="T744" s="16" t="s">
        <v>1322</v>
      </c>
      <c r="U744" s="16" t="s">
        <v>1324</v>
      </c>
      <c r="V744" s="16" t="s">
        <v>916</v>
      </c>
      <c r="W744" s="16" t="s">
        <v>1324</v>
      </c>
      <c r="X744" s="16" t="s">
        <v>934</v>
      </c>
      <c r="Y744" s="16" t="s">
        <v>934</v>
      </c>
      <c r="Z744" s="16" t="s">
        <v>935</v>
      </c>
      <c r="DA744" s="405" t="s">
        <v>5</v>
      </c>
      <c r="DB744" s="405" t="s">
        <v>363</v>
      </c>
      <c r="DC744" s="406" t="s">
        <v>85</v>
      </c>
      <c r="DD744" s="405" t="s">
        <v>917</v>
      </c>
      <c r="DE744" s="405" t="s">
        <v>5</v>
      </c>
      <c r="DF744" s="406" t="s">
        <v>85</v>
      </c>
      <c r="DG744" s="407">
        <v>45854</v>
      </c>
      <c r="DH744" s="405" t="s">
        <v>5232</v>
      </c>
      <c r="DI744" s="406">
        <v>465455</v>
      </c>
      <c r="DJ744" s="408">
        <v>5</v>
      </c>
      <c r="DK744" s="405">
        <v>1</v>
      </c>
      <c r="DL744" s="82">
        <v>332.47</v>
      </c>
      <c r="DM744" s="409">
        <v>1.6623500000000002</v>
      </c>
      <c r="DN744" s="82" t="s">
        <v>85</v>
      </c>
      <c r="DO744" s="82" t="s">
        <v>85</v>
      </c>
      <c r="DP744" s="410" t="s">
        <v>85</v>
      </c>
    </row>
    <row r="745" spans="1:120" x14ac:dyDescent="0.25">
      <c r="A745" s="16" t="s">
        <v>5229</v>
      </c>
      <c r="B745" s="16" t="s">
        <v>5230</v>
      </c>
      <c r="C745" s="16" t="s">
        <v>5231</v>
      </c>
      <c r="D745" s="16" t="s">
        <v>5196</v>
      </c>
      <c r="E745" s="16" t="s">
        <v>5232</v>
      </c>
      <c r="F745" s="16" t="s">
        <v>5233</v>
      </c>
      <c r="G745" s="16" t="s">
        <v>5234</v>
      </c>
      <c r="H745" s="16" t="s">
        <v>5235</v>
      </c>
      <c r="I745" s="16" t="s">
        <v>1880</v>
      </c>
      <c r="J745" s="16" t="s">
        <v>928</v>
      </c>
      <c r="K745" s="16" t="s">
        <v>1881</v>
      </c>
      <c r="L745" s="16" t="s">
        <v>85</v>
      </c>
      <c r="M745" s="16" t="s">
        <v>1322</v>
      </c>
      <c r="N745" s="16" t="s">
        <v>914</v>
      </c>
      <c r="O745" s="16" t="s">
        <v>1323</v>
      </c>
      <c r="P745" s="16" t="s">
        <v>914</v>
      </c>
      <c r="Q745" s="16" t="s">
        <v>1323</v>
      </c>
      <c r="R745" s="16" t="s">
        <v>915</v>
      </c>
      <c r="S745" s="16" t="s">
        <v>915</v>
      </c>
      <c r="T745" s="16" t="s">
        <v>1322</v>
      </c>
      <c r="U745" s="16" t="s">
        <v>1324</v>
      </c>
      <c r="V745" s="16" t="s">
        <v>916</v>
      </c>
      <c r="W745" s="16" t="s">
        <v>1324</v>
      </c>
      <c r="X745" s="16" t="s">
        <v>934</v>
      </c>
      <c r="Y745" s="16" t="s">
        <v>934</v>
      </c>
      <c r="Z745" s="16" t="s">
        <v>935</v>
      </c>
      <c r="DA745" s="405" t="s">
        <v>5</v>
      </c>
      <c r="DB745" s="405" t="s">
        <v>363</v>
      </c>
      <c r="DC745" s="406" t="s">
        <v>85</v>
      </c>
      <c r="DD745" s="405" t="s">
        <v>917</v>
      </c>
      <c r="DE745" s="405" t="s">
        <v>5</v>
      </c>
      <c r="DF745" s="406" t="s">
        <v>85</v>
      </c>
      <c r="DG745" s="407">
        <v>45854</v>
      </c>
      <c r="DH745" s="405" t="s">
        <v>5232</v>
      </c>
      <c r="DI745" s="406">
        <v>465455</v>
      </c>
      <c r="DJ745" s="408">
        <v>5</v>
      </c>
      <c r="DK745" s="405">
        <v>1</v>
      </c>
      <c r="DL745" s="82">
        <v>332.47</v>
      </c>
      <c r="DM745" s="409">
        <v>1.6623500000000002</v>
      </c>
      <c r="DN745" s="82" t="s">
        <v>85</v>
      </c>
      <c r="DO745" s="82" t="s">
        <v>85</v>
      </c>
      <c r="DP745" s="410" t="s">
        <v>85</v>
      </c>
    </row>
    <row r="746" spans="1:120" x14ac:dyDescent="0.25">
      <c r="A746" s="16" t="s">
        <v>5236</v>
      </c>
      <c r="B746" s="16" t="s">
        <v>5237</v>
      </c>
      <c r="C746" s="16" t="s">
        <v>5238</v>
      </c>
      <c r="D746" s="16" t="s">
        <v>5196</v>
      </c>
      <c r="E746" s="16" t="s">
        <v>5239</v>
      </c>
      <c r="F746" s="16" t="s">
        <v>5240</v>
      </c>
      <c r="G746" s="16" t="s">
        <v>5241</v>
      </c>
      <c r="H746" s="16" t="s">
        <v>5240</v>
      </c>
      <c r="I746" s="16" t="s">
        <v>1026</v>
      </c>
      <c r="J746" s="16" t="s">
        <v>943</v>
      </c>
      <c r="K746" s="16" t="s">
        <v>1027</v>
      </c>
      <c r="L746" s="16" t="s">
        <v>85</v>
      </c>
      <c r="M746" s="16" t="s">
        <v>984</v>
      </c>
      <c r="N746" s="16" t="s">
        <v>914</v>
      </c>
      <c r="O746" s="16" t="s">
        <v>985</v>
      </c>
      <c r="P746" s="16" t="s">
        <v>914</v>
      </c>
      <c r="Q746" s="16" t="s">
        <v>985</v>
      </c>
      <c r="R746" s="16" t="s">
        <v>915</v>
      </c>
      <c r="S746" s="16" t="s">
        <v>915</v>
      </c>
      <c r="T746" s="16" t="s">
        <v>986</v>
      </c>
      <c r="U746" s="16" t="s">
        <v>987</v>
      </c>
      <c r="V746" s="16" t="s">
        <v>916</v>
      </c>
      <c r="W746" s="16" t="s">
        <v>987</v>
      </c>
      <c r="X746" s="16" t="s">
        <v>934</v>
      </c>
      <c r="Y746" s="16" t="s">
        <v>934</v>
      </c>
      <c r="Z746" s="16" t="s">
        <v>935</v>
      </c>
      <c r="DA746" s="405" t="s">
        <v>5</v>
      </c>
      <c r="DB746" s="405" t="s">
        <v>363</v>
      </c>
      <c r="DC746" s="406" t="s">
        <v>85</v>
      </c>
      <c r="DD746" s="405" t="s">
        <v>917</v>
      </c>
      <c r="DE746" s="405" t="s">
        <v>5</v>
      </c>
      <c r="DF746" s="406" t="s">
        <v>85</v>
      </c>
      <c r="DG746" s="407">
        <v>45854</v>
      </c>
      <c r="DH746" s="405" t="s">
        <v>5239</v>
      </c>
      <c r="DI746" s="406">
        <v>465455</v>
      </c>
      <c r="DJ746" s="408">
        <v>5</v>
      </c>
      <c r="DK746" s="405">
        <v>1</v>
      </c>
      <c r="DL746" s="82">
        <v>340.55</v>
      </c>
      <c r="DM746" s="409">
        <v>1.70275</v>
      </c>
      <c r="DN746" s="82" t="s">
        <v>85</v>
      </c>
      <c r="DO746" s="82" t="s">
        <v>85</v>
      </c>
      <c r="DP746" s="410" t="s">
        <v>85</v>
      </c>
    </row>
    <row r="747" spans="1:120" x14ac:dyDescent="0.25">
      <c r="A747" s="16" t="s">
        <v>5242</v>
      </c>
      <c r="B747" s="16" t="s">
        <v>5243</v>
      </c>
      <c r="C747" s="16" t="s">
        <v>5244</v>
      </c>
      <c r="D747" s="16" t="s">
        <v>5196</v>
      </c>
      <c r="E747" s="16" t="s">
        <v>5245</v>
      </c>
      <c r="F747" s="16" t="s">
        <v>5246</v>
      </c>
      <c r="G747" s="16" t="s">
        <v>5247</v>
      </c>
      <c r="H747" s="16" t="s">
        <v>5246</v>
      </c>
      <c r="I747" s="16" t="s">
        <v>1584</v>
      </c>
      <c r="J747" s="16" t="s">
        <v>928</v>
      </c>
      <c r="K747" s="16" t="s">
        <v>1585</v>
      </c>
      <c r="L747" s="16" t="s">
        <v>85</v>
      </c>
      <c r="M747" s="16" t="s">
        <v>1322</v>
      </c>
      <c r="N747" s="16" t="s">
        <v>914</v>
      </c>
      <c r="O747" s="16" t="s">
        <v>1323</v>
      </c>
      <c r="P747" s="16" t="s">
        <v>914</v>
      </c>
      <c r="Q747" s="16" t="s">
        <v>1323</v>
      </c>
      <c r="R747" s="16" t="s">
        <v>915</v>
      </c>
      <c r="S747" s="16" t="s">
        <v>915</v>
      </c>
      <c r="T747" s="16" t="s">
        <v>1322</v>
      </c>
      <c r="U747" s="16" t="s">
        <v>1324</v>
      </c>
      <c r="V747" s="16" t="s">
        <v>916</v>
      </c>
      <c r="W747" s="16" t="s">
        <v>1324</v>
      </c>
      <c r="X747" s="16" t="s">
        <v>934</v>
      </c>
      <c r="Y747" s="16" t="s">
        <v>934</v>
      </c>
      <c r="Z747" s="16" t="s">
        <v>935</v>
      </c>
      <c r="DA747" s="405" t="s">
        <v>5</v>
      </c>
      <c r="DB747" s="405" t="s">
        <v>363</v>
      </c>
      <c r="DC747" s="406" t="s">
        <v>85</v>
      </c>
      <c r="DD747" s="405" t="s">
        <v>917</v>
      </c>
      <c r="DE747" s="405" t="s">
        <v>5</v>
      </c>
      <c r="DF747" s="406" t="s">
        <v>85</v>
      </c>
      <c r="DG747" s="407">
        <v>45854</v>
      </c>
      <c r="DH747" s="405" t="s">
        <v>5245</v>
      </c>
      <c r="DI747" s="406">
        <v>465455</v>
      </c>
      <c r="DJ747" s="408">
        <v>5</v>
      </c>
      <c r="DK747" s="405">
        <v>1</v>
      </c>
      <c r="DL747" s="82">
        <v>332.47</v>
      </c>
      <c r="DM747" s="409">
        <v>1.6623500000000002</v>
      </c>
      <c r="DN747" s="82" t="s">
        <v>85</v>
      </c>
      <c r="DO747" s="82" t="s">
        <v>85</v>
      </c>
      <c r="DP747" s="410" t="s">
        <v>85</v>
      </c>
    </row>
    <row r="748" spans="1:120" x14ac:dyDescent="0.25">
      <c r="A748" s="16" t="s">
        <v>5248</v>
      </c>
      <c r="B748" s="16" t="s">
        <v>5249</v>
      </c>
      <c r="C748" s="16" t="s">
        <v>5250</v>
      </c>
      <c r="D748" s="16" t="s">
        <v>5196</v>
      </c>
      <c r="E748" s="16" t="s">
        <v>5251</v>
      </c>
      <c r="F748" s="16" t="s">
        <v>5252</v>
      </c>
      <c r="G748" s="16" t="s">
        <v>5253</v>
      </c>
      <c r="H748" s="16" t="s">
        <v>5252</v>
      </c>
      <c r="I748" s="16" t="s">
        <v>1772</v>
      </c>
      <c r="J748" s="16" t="s">
        <v>1036</v>
      </c>
      <c r="K748" s="16" t="s">
        <v>1773</v>
      </c>
      <c r="L748" s="16" t="s">
        <v>85</v>
      </c>
      <c r="M748" s="16" t="s">
        <v>1216</v>
      </c>
      <c r="N748" s="16" t="s">
        <v>914</v>
      </c>
      <c r="O748" s="16" t="s">
        <v>946</v>
      </c>
      <c r="P748" s="16" t="s">
        <v>914</v>
      </c>
      <c r="Q748" s="16" t="s">
        <v>946</v>
      </c>
      <c r="R748" s="16" t="s">
        <v>915</v>
      </c>
      <c r="S748" s="16" t="s">
        <v>915</v>
      </c>
      <c r="T748" s="16" t="s">
        <v>1216</v>
      </c>
      <c r="U748" s="16" t="s">
        <v>1217</v>
      </c>
      <c r="V748" s="16" t="s">
        <v>916</v>
      </c>
      <c r="W748" s="16" t="s">
        <v>1217</v>
      </c>
      <c r="X748" s="16" t="s">
        <v>934</v>
      </c>
      <c r="Y748" s="16" t="s">
        <v>934</v>
      </c>
      <c r="Z748" s="16" t="s">
        <v>935</v>
      </c>
      <c r="DA748" s="405" t="s">
        <v>5</v>
      </c>
      <c r="DB748" s="405" t="s">
        <v>363</v>
      </c>
      <c r="DC748" s="406" t="s">
        <v>85</v>
      </c>
      <c r="DD748" s="405" t="s">
        <v>917</v>
      </c>
      <c r="DE748" s="405" t="s">
        <v>5</v>
      </c>
      <c r="DF748" s="406" t="s">
        <v>85</v>
      </c>
      <c r="DG748" s="407">
        <v>45854</v>
      </c>
      <c r="DH748" s="405" t="s">
        <v>5251</v>
      </c>
      <c r="DI748" s="406">
        <v>465455</v>
      </c>
      <c r="DJ748" s="408">
        <v>5</v>
      </c>
      <c r="DK748" s="405">
        <v>1</v>
      </c>
      <c r="DL748" s="82">
        <v>319.22000000000003</v>
      </c>
      <c r="DM748" s="409">
        <v>1.5961000000000001</v>
      </c>
      <c r="DN748" s="82" t="s">
        <v>85</v>
      </c>
      <c r="DO748" s="82" t="s">
        <v>85</v>
      </c>
      <c r="DP748" s="410" t="s">
        <v>85</v>
      </c>
    </row>
    <row r="749" spans="1:120" x14ac:dyDescent="0.25">
      <c r="A749" s="16" t="s">
        <v>5254</v>
      </c>
      <c r="B749" s="16" t="s">
        <v>5255</v>
      </c>
      <c r="C749" s="16" t="s">
        <v>5256</v>
      </c>
      <c r="D749" s="16" t="s">
        <v>5196</v>
      </c>
      <c r="E749" s="16" t="s">
        <v>5257</v>
      </c>
      <c r="F749" s="16" t="s">
        <v>5258</v>
      </c>
      <c r="G749" s="16" t="s">
        <v>5259</v>
      </c>
      <c r="H749" s="16" t="s">
        <v>5260</v>
      </c>
      <c r="I749" s="16" t="s">
        <v>1465</v>
      </c>
      <c r="J749" s="16" t="s">
        <v>943</v>
      </c>
      <c r="K749" s="16" t="s">
        <v>1466</v>
      </c>
      <c r="L749" s="16" t="s">
        <v>85</v>
      </c>
      <c r="M749" s="16" t="s">
        <v>984</v>
      </c>
      <c r="N749" s="16" t="s">
        <v>914</v>
      </c>
      <c r="O749" s="16" t="s">
        <v>985</v>
      </c>
      <c r="P749" s="16" t="s">
        <v>914</v>
      </c>
      <c r="Q749" s="16" t="s">
        <v>985</v>
      </c>
      <c r="R749" s="16" t="s">
        <v>915</v>
      </c>
      <c r="S749" s="16" t="s">
        <v>915</v>
      </c>
      <c r="T749" s="16" t="s">
        <v>986</v>
      </c>
      <c r="U749" s="16" t="s">
        <v>987</v>
      </c>
      <c r="V749" s="16" t="s">
        <v>916</v>
      </c>
      <c r="W749" s="16" t="s">
        <v>987</v>
      </c>
      <c r="X749" s="16" t="s">
        <v>934</v>
      </c>
      <c r="Y749" s="16" t="s">
        <v>934</v>
      </c>
      <c r="Z749" s="16" t="s">
        <v>935</v>
      </c>
      <c r="DA749" s="405" t="s">
        <v>5</v>
      </c>
      <c r="DB749" s="405" t="s">
        <v>363</v>
      </c>
      <c r="DC749" s="406" t="s">
        <v>85</v>
      </c>
      <c r="DD749" s="405" t="s">
        <v>917</v>
      </c>
      <c r="DE749" s="405" t="s">
        <v>5</v>
      </c>
      <c r="DF749" s="406" t="s">
        <v>85</v>
      </c>
      <c r="DG749" s="407">
        <v>45854</v>
      </c>
      <c r="DH749" s="405" t="s">
        <v>5257</v>
      </c>
      <c r="DI749" s="406">
        <v>465455</v>
      </c>
      <c r="DJ749" s="408">
        <v>5</v>
      </c>
      <c r="DK749" s="405">
        <v>1</v>
      </c>
      <c r="DL749" s="82">
        <v>340.55</v>
      </c>
      <c r="DM749" s="409">
        <v>1.70275</v>
      </c>
      <c r="DN749" s="82" t="s">
        <v>85</v>
      </c>
      <c r="DO749" s="82" t="s">
        <v>85</v>
      </c>
      <c r="DP749" s="410" t="s">
        <v>85</v>
      </c>
    </row>
    <row r="750" spans="1:120" x14ac:dyDescent="0.25">
      <c r="A750" s="16" t="s">
        <v>5261</v>
      </c>
      <c r="B750" s="16" t="s">
        <v>5262</v>
      </c>
      <c r="C750" s="16" t="s">
        <v>5263</v>
      </c>
      <c r="D750" s="16" t="s">
        <v>5196</v>
      </c>
      <c r="E750" s="16" t="s">
        <v>5264</v>
      </c>
      <c r="F750" s="16" t="s">
        <v>5265</v>
      </c>
      <c r="G750" s="16" t="s">
        <v>5266</v>
      </c>
      <c r="H750" s="16" t="s">
        <v>5265</v>
      </c>
      <c r="I750" s="16" t="s">
        <v>1377</v>
      </c>
      <c r="J750" s="16" t="s">
        <v>943</v>
      </c>
      <c r="K750" s="16" t="s">
        <v>1378</v>
      </c>
      <c r="L750" s="16" t="s">
        <v>85</v>
      </c>
      <c r="M750" s="16" t="s">
        <v>984</v>
      </c>
      <c r="N750" s="16" t="s">
        <v>914</v>
      </c>
      <c r="O750" s="16" t="s">
        <v>985</v>
      </c>
      <c r="P750" s="16" t="s">
        <v>914</v>
      </c>
      <c r="Q750" s="16" t="s">
        <v>985</v>
      </c>
      <c r="R750" s="16" t="s">
        <v>915</v>
      </c>
      <c r="S750" s="16" t="s">
        <v>915</v>
      </c>
      <c r="T750" s="16" t="s">
        <v>986</v>
      </c>
      <c r="U750" s="16" t="s">
        <v>987</v>
      </c>
      <c r="V750" s="16" t="s">
        <v>916</v>
      </c>
      <c r="W750" s="16" t="s">
        <v>987</v>
      </c>
      <c r="X750" s="16" t="s">
        <v>934</v>
      </c>
      <c r="Y750" s="16" t="s">
        <v>934</v>
      </c>
      <c r="Z750" s="16" t="s">
        <v>935</v>
      </c>
      <c r="DA750" s="405" t="s">
        <v>5</v>
      </c>
      <c r="DB750" s="405" t="s">
        <v>363</v>
      </c>
      <c r="DC750" s="406" t="s">
        <v>85</v>
      </c>
      <c r="DD750" s="405" t="s">
        <v>917</v>
      </c>
      <c r="DE750" s="405" t="s">
        <v>5</v>
      </c>
      <c r="DF750" s="406" t="s">
        <v>85</v>
      </c>
      <c r="DG750" s="407">
        <v>45854</v>
      </c>
      <c r="DH750" s="405" t="s">
        <v>5264</v>
      </c>
      <c r="DI750" s="406">
        <v>465455</v>
      </c>
      <c r="DJ750" s="408">
        <v>5</v>
      </c>
      <c r="DK750" s="405">
        <v>1</v>
      </c>
      <c r="DL750" s="82">
        <v>340.55</v>
      </c>
      <c r="DM750" s="409">
        <v>1.70275</v>
      </c>
      <c r="DN750" s="82" t="s">
        <v>85</v>
      </c>
      <c r="DO750" s="82" t="s">
        <v>85</v>
      </c>
      <c r="DP750" s="410" t="s">
        <v>85</v>
      </c>
    </row>
    <row r="751" spans="1:120" x14ac:dyDescent="0.25">
      <c r="A751" s="16" t="s">
        <v>5267</v>
      </c>
      <c r="B751" s="16" t="s">
        <v>5268</v>
      </c>
      <c r="C751" s="16" t="s">
        <v>5269</v>
      </c>
      <c r="D751" s="16" t="s">
        <v>5196</v>
      </c>
      <c r="E751" s="16" t="s">
        <v>5270</v>
      </c>
      <c r="F751" s="16" t="s">
        <v>5271</v>
      </c>
      <c r="G751" s="16" t="s">
        <v>5272</v>
      </c>
      <c r="H751" s="16" t="s">
        <v>5271</v>
      </c>
      <c r="I751" s="16" t="s">
        <v>927</v>
      </c>
      <c r="J751" s="16" t="s">
        <v>928</v>
      </c>
      <c r="K751" s="16" t="s">
        <v>929</v>
      </c>
      <c r="L751" s="16" t="s">
        <v>85</v>
      </c>
      <c r="M751" s="16" t="s">
        <v>1322</v>
      </c>
      <c r="N751" s="16" t="s">
        <v>914</v>
      </c>
      <c r="O751" s="16" t="s">
        <v>1323</v>
      </c>
      <c r="P751" s="16" t="s">
        <v>914</v>
      </c>
      <c r="Q751" s="16" t="s">
        <v>1323</v>
      </c>
      <c r="R751" s="16" t="s">
        <v>915</v>
      </c>
      <c r="S751" s="16" t="s">
        <v>915</v>
      </c>
      <c r="T751" s="16" t="s">
        <v>1322</v>
      </c>
      <c r="U751" s="16" t="s">
        <v>1324</v>
      </c>
      <c r="V751" s="16" t="s">
        <v>916</v>
      </c>
      <c r="W751" s="16" t="s">
        <v>1324</v>
      </c>
      <c r="X751" s="16" t="s">
        <v>934</v>
      </c>
      <c r="Y751" s="16" t="s">
        <v>934</v>
      </c>
      <c r="Z751" s="16" t="s">
        <v>935</v>
      </c>
      <c r="DA751" s="405" t="s">
        <v>5</v>
      </c>
      <c r="DB751" s="405" t="s">
        <v>363</v>
      </c>
      <c r="DC751" s="406" t="s">
        <v>85</v>
      </c>
      <c r="DD751" s="405" t="s">
        <v>917</v>
      </c>
      <c r="DE751" s="405" t="s">
        <v>5</v>
      </c>
      <c r="DF751" s="406" t="s">
        <v>85</v>
      </c>
      <c r="DG751" s="407">
        <v>45854</v>
      </c>
      <c r="DH751" s="405" t="s">
        <v>5270</v>
      </c>
      <c r="DI751" s="406">
        <v>465455</v>
      </c>
      <c r="DJ751" s="408">
        <v>5</v>
      </c>
      <c r="DK751" s="405">
        <v>1</v>
      </c>
      <c r="DL751" s="82">
        <v>332.47</v>
      </c>
      <c r="DM751" s="409">
        <v>1.6623500000000002</v>
      </c>
      <c r="DN751" s="82" t="s">
        <v>85</v>
      </c>
      <c r="DO751" s="82" t="s">
        <v>85</v>
      </c>
      <c r="DP751" s="410" t="s">
        <v>85</v>
      </c>
    </row>
    <row r="752" spans="1:120" x14ac:dyDescent="0.25">
      <c r="A752" s="16" t="s">
        <v>5273</v>
      </c>
      <c r="B752" s="16" t="s">
        <v>5274</v>
      </c>
      <c r="C752" s="16" t="s">
        <v>5275</v>
      </c>
      <c r="D752" s="16" t="s">
        <v>5196</v>
      </c>
      <c r="E752" s="16" t="s">
        <v>5276</v>
      </c>
      <c r="F752" s="16" t="s">
        <v>5277</v>
      </c>
      <c r="G752" s="16" t="s">
        <v>5278</v>
      </c>
      <c r="H752" s="16" t="s">
        <v>5279</v>
      </c>
      <c r="I752" s="16" t="s">
        <v>2118</v>
      </c>
      <c r="J752" s="16" t="s">
        <v>928</v>
      </c>
      <c r="K752" s="16" t="s">
        <v>2119</v>
      </c>
      <c r="L752" s="16" t="s">
        <v>85</v>
      </c>
      <c r="M752" s="16" t="s">
        <v>1322</v>
      </c>
      <c r="N752" s="16" t="s">
        <v>914</v>
      </c>
      <c r="O752" s="16" t="s">
        <v>1323</v>
      </c>
      <c r="P752" s="16" t="s">
        <v>914</v>
      </c>
      <c r="Q752" s="16" t="s">
        <v>1323</v>
      </c>
      <c r="R752" s="16" t="s">
        <v>915</v>
      </c>
      <c r="S752" s="16" t="s">
        <v>915</v>
      </c>
      <c r="T752" s="16" t="s">
        <v>1322</v>
      </c>
      <c r="U752" s="16" t="s">
        <v>1324</v>
      </c>
      <c r="V752" s="16" t="s">
        <v>916</v>
      </c>
      <c r="W752" s="16" t="s">
        <v>1324</v>
      </c>
      <c r="X752" s="16" t="s">
        <v>934</v>
      </c>
      <c r="Y752" s="16" t="s">
        <v>934</v>
      </c>
      <c r="Z752" s="16" t="s">
        <v>935</v>
      </c>
      <c r="DA752" s="405" t="s">
        <v>5</v>
      </c>
      <c r="DB752" s="405" t="s">
        <v>363</v>
      </c>
      <c r="DC752" s="406" t="s">
        <v>85</v>
      </c>
      <c r="DD752" s="405" t="s">
        <v>917</v>
      </c>
      <c r="DE752" s="405" t="s">
        <v>5</v>
      </c>
      <c r="DF752" s="406" t="s">
        <v>85</v>
      </c>
      <c r="DG752" s="407">
        <v>45854</v>
      </c>
      <c r="DH752" s="405" t="s">
        <v>5276</v>
      </c>
      <c r="DI752" s="406">
        <v>465455</v>
      </c>
      <c r="DJ752" s="408">
        <v>5</v>
      </c>
      <c r="DK752" s="405">
        <v>1</v>
      </c>
      <c r="DL752" s="82">
        <v>332.47</v>
      </c>
      <c r="DM752" s="409">
        <v>1.6623500000000002</v>
      </c>
      <c r="DN752" s="82" t="s">
        <v>85</v>
      </c>
      <c r="DO752" s="82" t="s">
        <v>85</v>
      </c>
      <c r="DP752" s="410" t="s">
        <v>85</v>
      </c>
    </row>
    <row r="753" spans="1:120" x14ac:dyDescent="0.25">
      <c r="A753" s="16" t="s">
        <v>5280</v>
      </c>
      <c r="B753" s="16" t="s">
        <v>5281</v>
      </c>
      <c r="C753" s="16" t="s">
        <v>5282</v>
      </c>
      <c r="D753" s="16" t="s">
        <v>5196</v>
      </c>
      <c r="E753" s="16" t="s">
        <v>5283</v>
      </c>
      <c r="F753" s="16" t="s">
        <v>5284</v>
      </c>
      <c r="G753" s="16" t="s">
        <v>5285</v>
      </c>
      <c r="H753" s="16" t="s">
        <v>5286</v>
      </c>
      <c r="I753" s="16" t="s">
        <v>1423</v>
      </c>
      <c r="J753" s="16" t="s">
        <v>928</v>
      </c>
      <c r="K753" s="16" t="s">
        <v>1424</v>
      </c>
      <c r="L753" s="16" t="s">
        <v>85</v>
      </c>
      <c r="M753" s="16" t="s">
        <v>1322</v>
      </c>
      <c r="N753" s="16" t="s">
        <v>914</v>
      </c>
      <c r="O753" s="16" t="s">
        <v>1323</v>
      </c>
      <c r="P753" s="16" t="s">
        <v>914</v>
      </c>
      <c r="Q753" s="16" t="s">
        <v>1323</v>
      </c>
      <c r="R753" s="16" t="s">
        <v>915</v>
      </c>
      <c r="S753" s="16" t="s">
        <v>915</v>
      </c>
      <c r="T753" s="16" t="s">
        <v>1322</v>
      </c>
      <c r="U753" s="16" t="s">
        <v>1324</v>
      </c>
      <c r="V753" s="16" t="s">
        <v>916</v>
      </c>
      <c r="W753" s="16" t="s">
        <v>1324</v>
      </c>
      <c r="X753" s="16" t="s">
        <v>934</v>
      </c>
      <c r="Y753" s="16" t="s">
        <v>934</v>
      </c>
      <c r="Z753" s="16" t="s">
        <v>935</v>
      </c>
      <c r="DA753" s="405" t="s">
        <v>5</v>
      </c>
      <c r="DB753" s="405" t="s">
        <v>363</v>
      </c>
      <c r="DC753" s="406" t="s">
        <v>85</v>
      </c>
      <c r="DD753" s="405" t="s">
        <v>917</v>
      </c>
      <c r="DE753" s="405" t="s">
        <v>5</v>
      </c>
      <c r="DF753" s="406" t="s">
        <v>85</v>
      </c>
      <c r="DG753" s="407">
        <v>45854</v>
      </c>
      <c r="DH753" s="405" t="s">
        <v>5283</v>
      </c>
      <c r="DI753" s="406">
        <v>465455</v>
      </c>
      <c r="DJ753" s="408">
        <v>5</v>
      </c>
      <c r="DK753" s="405">
        <v>1</v>
      </c>
      <c r="DL753" s="82">
        <v>332.47</v>
      </c>
      <c r="DM753" s="409">
        <v>1.6623500000000002</v>
      </c>
      <c r="DN753" s="82" t="s">
        <v>85</v>
      </c>
      <c r="DO753" s="82" t="s">
        <v>85</v>
      </c>
      <c r="DP753" s="410" t="s">
        <v>85</v>
      </c>
    </row>
    <row r="754" spans="1:120" x14ac:dyDescent="0.25">
      <c r="A754" s="16" t="s">
        <v>5287</v>
      </c>
      <c r="B754" s="16" t="s">
        <v>5288</v>
      </c>
      <c r="C754" s="16" t="s">
        <v>5289</v>
      </c>
      <c r="D754" s="16" t="s">
        <v>5196</v>
      </c>
      <c r="E754" s="16" t="s">
        <v>5290</v>
      </c>
      <c r="F754" s="16" t="s">
        <v>5291</v>
      </c>
      <c r="G754" s="16" t="s">
        <v>5292</v>
      </c>
      <c r="H754" s="16" t="s">
        <v>5291</v>
      </c>
      <c r="I754" s="16" t="s">
        <v>1248</v>
      </c>
      <c r="J754" s="16" t="s">
        <v>995</v>
      </c>
      <c r="K754" s="16" t="s">
        <v>1249</v>
      </c>
      <c r="L754" s="16" t="s">
        <v>85</v>
      </c>
      <c r="M754" s="16" t="s">
        <v>1165</v>
      </c>
      <c r="N754" s="16" t="s">
        <v>914</v>
      </c>
      <c r="O754" s="16" t="s">
        <v>1166</v>
      </c>
      <c r="P754" s="16" t="s">
        <v>914</v>
      </c>
      <c r="Q754" s="16" t="s">
        <v>1166</v>
      </c>
      <c r="R754" s="16" t="s">
        <v>915</v>
      </c>
      <c r="S754" s="16" t="s">
        <v>915</v>
      </c>
      <c r="T754" s="16" t="s">
        <v>1167</v>
      </c>
      <c r="U754" s="16" t="s">
        <v>1168</v>
      </c>
      <c r="V754" s="16" t="s">
        <v>916</v>
      </c>
      <c r="W754" s="16" t="s">
        <v>1168</v>
      </c>
      <c r="X754" s="16" t="s">
        <v>934</v>
      </c>
      <c r="Y754" s="16" t="s">
        <v>934</v>
      </c>
      <c r="Z754" s="16" t="s">
        <v>935</v>
      </c>
      <c r="DA754" s="405" t="s">
        <v>5</v>
      </c>
      <c r="DB754" s="405" t="s">
        <v>363</v>
      </c>
      <c r="DC754" s="406" t="s">
        <v>85</v>
      </c>
      <c r="DD754" s="405" t="s">
        <v>917</v>
      </c>
      <c r="DE754" s="405" t="s">
        <v>5</v>
      </c>
      <c r="DF754" s="406" t="s">
        <v>85</v>
      </c>
      <c r="DG754" s="407">
        <v>45854</v>
      </c>
      <c r="DH754" s="405" t="s">
        <v>5290</v>
      </c>
      <c r="DI754" s="406">
        <v>465455</v>
      </c>
      <c r="DJ754" s="408">
        <v>5</v>
      </c>
      <c r="DK754" s="405">
        <v>1</v>
      </c>
      <c r="DL754" s="82">
        <v>468.28</v>
      </c>
      <c r="DM754" s="409">
        <v>2.3413999999999997</v>
      </c>
      <c r="DN754" s="82" t="s">
        <v>85</v>
      </c>
      <c r="DO754" s="82" t="s">
        <v>85</v>
      </c>
      <c r="DP754" s="410" t="s">
        <v>85</v>
      </c>
    </row>
    <row r="755" spans="1:120" x14ac:dyDescent="0.25">
      <c r="A755" s="16" t="s">
        <v>5293</v>
      </c>
      <c r="B755" s="16" t="s">
        <v>5294</v>
      </c>
      <c r="C755" s="16" t="s">
        <v>5295</v>
      </c>
      <c r="D755" s="16" t="s">
        <v>5196</v>
      </c>
      <c r="E755" s="16" t="s">
        <v>5296</v>
      </c>
      <c r="F755" s="16" t="s">
        <v>5297</v>
      </c>
      <c r="G755" s="16" t="s">
        <v>5298</v>
      </c>
      <c r="H755" s="16" t="s">
        <v>5297</v>
      </c>
      <c r="I755" s="16" t="s">
        <v>4018</v>
      </c>
      <c r="J755" s="16" t="s">
        <v>1109</v>
      </c>
      <c r="K755" s="16" t="s">
        <v>4019</v>
      </c>
      <c r="L755" s="16" t="s">
        <v>85</v>
      </c>
      <c r="M755" s="16" t="s">
        <v>1311</v>
      </c>
      <c r="N755" s="16" t="s">
        <v>914</v>
      </c>
      <c r="O755" s="16" t="s">
        <v>1312</v>
      </c>
      <c r="P755" s="16" t="s">
        <v>914</v>
      </c>
      <c r="Q755" s="16" t="s">
        <v>1312</v>
      </c>
      <c r="R755" s="16" t="s">
        <v>915</v>
      </c>
      <c r="S755" s="16" t="s">
        <v>915</v>
      </c>
      <c r="T755" s="16" t="s">
        <v>1311</v>
      </c>
      <c r="U755" s="16" t="s">
        <v>1313</v>
      </c>
      <c r="V755" s="16" t="s">
        <v>916</v>
      </c>
      <c r="W755" s="16" t="s">
        <v>1313</v>
      </c>
      <c r="X755" s="16" t="s">
        <v>934</v>
      </c>
      <c r="Y755" s="16" t="s">
        <v>934</v>
      </c>
      <c r="Z755" s="16" t="s">
        <v>935</v>
      </c>
      <c r="DA755" s="405" t="s">
        <v>5</v>
      </c>
      <c r="DB755" s="405" t="s">
        <v>363</v>
      </c>
      <c r="DC755" s="406" t="s">
        <v>85</v>
      </c>
      <c r="DD755" s="405" t="s">
        <v>917</v>
      </c>
      <c r="DE755" s="405" t="s">
        <v>5</v>
      </c>
      <c r="DF755" s="406" t="s">
        <v>85</v>
      </c>
      <c r="DG755" s="407">
        <v>45854</v>
      </c>
      <c r="DH755" s="405" t="s">
        <v>5296</v>
      </c>
      <c r="DI755" s="406">
        <v>465455</v>
      </c>
      <c r="DJ755" s="408">
        <v>5</v>
      </c>
      <c r="DK755" s="405">
        <v>1</v>
      </c>
      <c r="DL755" s="82">
        <v>531.54</v>
      </c>
      <c r="DM755" s="409">
        <v>2.6576999999999997</v>
      </c>
      <c r="DN755" s="82" t="s">
        <v>85</v>
      </c>
      <c r="DO755" s="82" t="s">
        <v>85</v>
      </c>
      <c r="DP755" s="410" t="s">
        <v>85</v>
      </c>
    </row>
    <row r="756" spans="1:120" x14ac:dyDescent="0.25">
      <c r="A756" s="16" t="s">
        <v>5299</v>
      </c>
      <c r="B756" s="16" t="s">
        <v>5300</v>
      </c>
      <c r="C756" s="16" t="s">
        <v>5301</v>
      </c>
      <c r="D756" s="16" t="s">
        <v>5196</v>
      </c>
      <c r="E756" s="16" t="s">
        <v>5302</v>
      </c>
      <c r="F756" s="16" t="s">
        <v>5303</v>
      </c>
      <c r="G756" s="16" t="s">
        <v>5304</v>
      </c>
      <c r="H756" s="16" t="s">
        <v>5303</v>
      </c>
      <c r="I756" s="16" t="s">
        <v>1048</v>
      </c>
      <c r="J756" s="16" t="s">
        <v>1036</v>
      </c>
      <c r="K756" s="16" t="s">
        <v>1049</v>
      </c>
      <c r="L756" s="16" t="s">
        <v>85</v>
      </c>
      <c r="M756" s="16" t="s">
        <v>1216</v>
      </c>
      <c r="N756" s="16" t="s">
        <v>914</v>
      </c>
      <c r="O756" s="16" t="s">
        <v>946</v>
      </c>
      <c r="P756" s="16" t="s">
        <v>914</v>
      </c>
      <c r="Q756" s="16" t="s">
        <v>946</v>
      </c>
      <c r="R756" s="16" t="s">
        <v>915</v>
      </c>
      <c r="S756" s="16" t="s">
        <v>915</v>
      </c>
      <c r="T756" s="16" t="s">
        <v>1216</v>
      </c>
      <c r="U756" s="16" t="s">
        <v>1217</v>
      </c>
      <c r="V756" s="16" t="s">
        <v>916</v>
      </c>
      <c r="W756" s="16" t="s">
        <v>1217</v>
      </c>
      <c r="X756" s="16" t="s">
        <v>934</v>
      </c>
      <c r="Y756" s="16" t="s">
        <v>934</v>
      </c>
      <c r="Z756" s="16" t="s">
        <v>935</v>
      </c>
      <c r="DA756" s="405" t="s">
        <v>5</v>
      </c>
      <c r="DB756" s="405" t="s">
        <v>363</v>
      </c>
      <c r="DC756" s="406" t="s">
        <v>85</v>
      </c>
      <c r="DD756" s="405" t="s">
        <v>917</v>
      </c>
      <c r="DE756" s="405" t="s">
        <v>5</v>
      </c>
      <c r="DF756" s="406" t="s">
        <v>85</v>
      </c>
      <c r="DG756" s="407">
        <v>45854</v>
      </c>
      <c r="DH756" s="405" t="s">
        <v>5302</v>
      </c>
      <c r="DI756" s="406">
        <v>465455</v>
      </c>
      <c r="DJ756" s="408">
        <v>5</v>
      </c>
      <c r="DK756" s="405">
        <v>1</v>
      </c>
      <c r="DL756" s="82">
        <v>319.22000000000003</v>
      </c>
      <c r="DM756" s="409">
        <v>1.5961000000000001</v>
      </c>
      <c r="DN756" s="82" t="s">
        <v>85</v>
      </c>
      <c r="DO756" s="82" t="s">
        <v>85</v>
      </c>
      <c r="DP756" s="410" t="s">
        <v>85</v>
      </c>
    </row>
    <row r="757" spans="1:120" x14ac:dyDescent="0.25">
      <c r="A757" s="16" t="s">
        <v>5305</v>
      </c>
      <c r="B757" s="16" t="s">
        <v>5306</v>
      </c>
      <c r="C757" s="16" t="s">
        <v>5307</v>
      </c>
      <c r="D757" s="16" t="s">
        <v>5196</v>
      </c>
      <c r="E757" s="16" t="s">
        <v>5308</v>
      </c>
      <c r="F757" s="16" t="s">
        <v>5309</v>
      </c>
      <c r="G757" s="16" t="s">
        <v>5310</v>
      </c>
      <c r="H757" s="16" t="s">
        <v>5309</v>
      </c>
      <c r="I757" s="16" t="s">
        <v>1163</v>
      </c>
      <c r="J757" s="16" t="s">
        <v>995</v>
      </c>
      <c r="K757" s="16" t="s">
        <v>1164</v>
      </c>
      <c r="L757" s="16" t="s">
        <v>85</v>
      </c>
      <c r="M757" s="16" t="s">
        <v>1165</v>
      </c>
      <c r="N757" s="16" t="s">
        <v>914</v>
      </c>
      <c r="O757" s="16" t="s">
        <v>1166</v>
      </c>
      <c r="P757" s="16" t="s">
        <v>914</v>
      </c>
      <c r="Q757" s="16" t="s">
        <v>1166</v>
      </c>
      <c r="R757" s="16" t="s">
        <v>915</v>
      </c>
      <c r="S757" s="16" t="s">
        <v>915</v>
      </c>
      <c r="T757" s="16" t="s">
        <v>1167</v>
      </c>
      <c r="U757" s="16" t="s">
        <v>1168</v>
      </c>
      <c r="V757" s="16" t="s">
        <v>916</v>
      </c>
      <c r="W757" s="16" t="s">
        <v>1168</v>
      </c>
      <c r="X757" s="16" t="s">
        <v>934</v>
      </c>
      <c r="Y757" s="16" t="s">
        <v>934</v>
      </c>
      <c r="Z757" s="16" t="s">
        <v>935</v>
      </c>
      <c r="DA757" s="405" t="s">
        <v>5</v>
      </c>
      <c r="DB757" s="405" t="s">
        <v>363</v>
      </c>
      <c r="DC757" s="406" t="s">
        <v>85</v>
      </c>
      <c r="DD757" s="405" t="s">
        <v>917</v>
      </c>
      <c r="DE757" s="405" t="s">
        <v>5</v>
      </c>
      <c r="DF757" s="406" t="s">
        <v>85</v>
      </c>
      <c r="DG757" s="407">
        <v>45854</v>
      </c>
      <c r="DH757" s="405" t="s">
        <v>5308</v>
      </c>
      <c r="DI757" s="406">
        <v>465455</v>
      </c>
      <c r="DJ757" s="408">
        <v>5</v>
      </c>
      <c r="DK757" s="405">
        <v>1</v>
      </c>
      <c r="DL757" s="82">
        <v>468.28</v>
      </c>
      <c r="DM757" s="409">
        <v>2.3413999999999997</v>
      </c>
      <c r="DN757" s="82" t="s">
        <v>85</v>
      </c>
      <c r="DO757" s="82" t="s">
        <v>85</v>
      </c>
      <c r="DP757" s="410" t="s">
        <v>85</v>
      </c>
    </row>
    <row r="758" spans="1:120" x14ac:dyDescent="0.25">
      <c r="A758" s="16" t="s">
        <v>5311</v>
      </c>
      <c r="B758" s="16" t="s">
        <v>5312</v>
      </c>
      <c r="C758" s="16" t="s">
        <v>5313</v>
      </c>
      <c r="D758" s="16" t="s">
        <v>5196</v>
      </c>
      <c r="E758" s="16" t="s">
        <v>5314</v>
      </c>
      <c r="F758" s="16" t="s">
        <v>5315</v>
      </c>
      <c r="G758" s="16" t="s">
        <v>5316</v>
      </c>
      <c r="H758" s="16" t="s">
        <v>5317</v>
      </c>
      <c r="I758" s="16" t="s">
        <v>5318</v>
      </c>
      <c r="J758" s="16" t="s">
        <v>4221</v>
      </c>
      <c r="K758" s="16" t="s">
        <v>5319</v>
      </c>
      <c r="L758" s="16" t="s">
        <v>85</v>
      </c>
      <c r="M758" s="16" t="s">
        <v>4223</v>
      </c>
      <c r="N758" s="16" t="s">
        <v>914</v>
      </c>
      <c r="O758" s="16" t="s">
        <v>4224</v>
      </c>
      <c r="P758" s="16" t="s">
        <v>914</v>
      </c>
      <c r="Q758" s="16" t="s">
        <v>4224</v>
      </c>
      <c r="R758" s="16" t="s">
        <v>915</v>
      </c>
      <c r="S758" s="16" t="s">
        <v>915</v>
      </c>
      <c r="T758" s="16" t="s">
        <v>4223</v>
      </c>
      <c r="U758" s="16" t="s">
        <v>4225</v>
      </c>
      <c r="V758" s="16" t="s">
        <v>916</v>
      </c>
      <c r="W758" s="16" t="s">
        <v>4225</v>
      </c>
      <c r="X758" s="16" t="s">
        <v>934</v>
      </c>
      <c r="Y758" s="16" t="s">
        <v>934</v>
      </c>
      <c r="Z758" s="16" t="s">
        <v>935</v>
      </c>
      <c r="DA758" s="405" t="s">
        <v>5</v>
      </c>
      <c r="DB758" s="405" t="s">
        <v>363</v>
      </c>
      <c r="DC758" s="406" t="s">
        <v>85</v>
      </c>
      <c r="DD758" s="405" t="s">
        <v>917</v>
      </c>
      <c r="DE758" s="405" t="s">
        <v>5</v>
      </c>
      <c r="DF758" s="406" t="s">
        <v>85</v>
      </c>
      <c r="DG758" s="407">
        <v>45854</v>
      </c>
      <c r="DH758" s="405" t="s">
        <v>5314</v>
      </c>
      <c r="DI758" s="406">
        <v>465455</v>
      </c>
      <c r="DJ758" s="408">
        <v>5</v>
      </c>
      <c r="DK758" s="405">
        <v>1</v>
      </c>
      <c r="DL758" s="82">
        <v>372.48</v>
      </c>
      <c r="DM758" s="409">
        <v>1.8624000000000001</v>
      </c>
      <c r="DN758" s="82" t="s">
        <v>85</v>
      </c>
      <c r="DO758" s="82" t="s">
        <v>85</v>
      </c>
      <c r="DP758" s="410" t="s">
        <v>85</v>
      </c>
    </row>
    <row r="759" spans="1:120" x14ac:dyDescent="0.25">
      <c r="A759" s="16" t="s">
        <v>5311</v>
      </c>
      <c r="B759" s="16" t="s">
        <v>5312</v>
      </c>
      <c r="C759" s="16" t="s">
        <v>5313</v>
      </c>
      <c r="D759" s="16" t="s">
        <v>5196</v>
      </c>
      <c r="E759" s="16" t="s">
        <v>5314</v>
      </c>
      <c r="F759" s="16" t="s">
        <v>5315</v>
      </c>
      <c r="G759" s="16" t="s">
        <v>5316</v>
      </c>
      <c r="H759" s="16" t="s">
        <v>5317</v>
      </c>
      <c r="I759" s="16" t="s">
        <v>5320</v>
      </c>
      <c r="J759" s="16" t="s">
        <v>4221</v>
      </c>
      <c r="K759" s="16" t="s">
        <v>5321</v>
      </c>
      <c r="L759" s="16" t="s">
        <v>85</v>
      </c>
      <c r="M759" s="16" t="s">
        <v>4223</v>
      </c>
      <c r="N759" s="16" t="s">
        <v>914</v>
      </c>
      <c r="O759" s="16" t="s">
        <v>4224</v>
      </c>
      <c r="P759" s="16" t="s">
        <v>914</v>
      </c>
      <c r="Q759" s="16" t="s">
        <v>4224</v>
      </c>
      <c r="R759" s="16" t="s">
        <v>915</v>
      </c>
      <c r="S759" s="16" t="s">
        <v>915</v>
      </c>
      <c r="T759" s="16" t="s">
        <v>4223</v>
      </c>
      <c r="U759" s="16" t="s">
        <v>4225</v>
      </c>
      <c r="V759" s="16" t="s">
        <v>916</v>
      </c>
      <c r="W759" s="16" t="s">
        <v>4225</v>
      </c>
      <c r="X759" s="16" t="s">
        <v>934</v>
      </c>
      <c r="Y759" s="16" t="s">
        <v>934</v>
      </c>
      <c r="Z759" s="16" t="s">
        <v>935</v>
      </c>
      <c r="DA759" s="405" t="s">
        <v>5</v>
      </c>
      <c r="DB759" s="405" t="s">
        <v>363</v>
      </c>
      <c r="DC759" s="406" t="s">
        <v>85</v>
      </c>
      <c r="DD759" s="405" t="s">
        <v>917</v>
      </c>
      <c r="DE759" s="405" t="s">
        <v>5</v>
      </c>
      <c r="DF759" s="406" t="s">
        <v>85</v>
      </c>
      <c r="DG759" s="407">
        <v>45854</v>
      </c>
      <c r="DH759" s="405" t="s">
        <v>5314</v>
      </c>
      <c r="DI759" s="406">
        <v>465455</v>
      </c>
      <c r="DJ759" s="408">
        <v>5</v>
      </c>
      <c r="DK759" s="405">
        <v>1</v>
      </c>
      <c r="DL759" s="82">
        <v>372.48</v>
      </c>
      <c r="DM759" s="409">
        <v>1.8624000000000001</v>
      </c>
      <c r="DN759" s="82" t="s">
        <v>85</v>
      </c>
      <c r="DO759" s="82" t="s">
        <v>85</v>
      </c>
      <c r="DP759" s="410" t="s">
        <v>85</v>
      </c>
    </row>
    <row r="760" spans="1:120" x14ac:dyDescent="0.25">
      <c r="A760" s="16" t="s">
        <v>5322</v>
      </c>
      <c r="B760" s="16" t="s">
        <v>5323</v>
      </c>
      <c r="C760" s="16" t="s">
        <v>5324</v>
      </c>
      <c r="D760" s="16" t="s">
        <v>5196</v>
      </c>
      <c r="E760" s="16" t="s">
        <v>5325</v>
      </c>
      <c r="F760" s="16" t="s">
        <v>5326</v>
      </c>
      <c r="G760" s="16" t="s">
        <v>5327</v>
      </c>
      <c r="H760" s="16" t="s">
        <v>5326</v>
      </c>
      <c r="I760" s="16" t="s">
        <v>2127</v>
      </c>
      <c r="J760" s="16" t="s">
        <v>956</v>
      </c>
      <c r="K760" s="16" t="s">
        <v>2128</v>
      </c>
      <c r="L760" s="16" t="s">
        <v>85</v>
      </c>
      <c r="M760" s="16" t="s">
        <v>1396</v>
      </c>
      <c r="N760" s="16" t="s">
        <v>914</v>
      </c>
      <c r="O760" s="16" t="s">
        <v>1397</v>
      </c>
      <c r="P760" s="16" t="s">
        <v>914</v>
      </c>
      <c r="Q760" s="16" t="s">
        <v>1397</v>
      </c>
      <c r="R760" s="16" t="s">
        <v>915</v>
      </c>
      <c r="S760" s="16" t="s">
        <v>915</v>
      </c>
      <c r="T760" s="16" t="s">
        <v>1396</v>
      </c>
      <c r="U760" s="16" t="s">
        <v>1398</v>
      </c>
      <c r="V760" s="16" t="s">
        <v>916</v>
      </c>
      <c r="W760" s="16" t="s">
        <v>1398</v>
      </c>
      <c r="X760" s="16" t="s">
        <v>934</v>
      </c>
      <c r="Y760" s="16" t="s">
        <v>934</v>
      </c>
      <c r="Z760" s="16" t="s">
        <v>935</v>
      </c>
      <c r="DA760" s="405" t="s">
        <v>5</v>
      </c>
      <c r="DB760" s="405" t="s">
        <v>363</v>
      </c>
      <c r="DC760" s="406" t="s">
        <v>85</v>
      </c>
      <c r="DD760" s="405" t="s">
        <v>917</v>
      </c>
      <c r="DE760" s="405" t="s">
        <v>5</v>
      </c>
      <c r="DF760" s="406" t="s">
        <v>85</v>
      </c>
      <c r="DG760" s="407">
        <v>45854</v>
      </c>
      <c r="DH760" s="405" t="s">
        <v>5325</v>
      </c>
      <c r="DI760" s="406">
        <v>465455</v>
      </c>
      <c r="DJ760" s="408">
        <v>5</v>
      </c>
      <c r="DK760" s="405">
        <v>1</v>
      </c>
      <c r="DL760" s="82">
        <v>265.92</v>
      </c>
      <c r="DM760" s="409">
        <v>1.3296000000000001</v>
      </c>
      <c r="DN760" s="82" t="s">
        <v>85</v>
      </c>
      <c r="DO760" s="82" t="s">
        <v>85</v>
      </c>
      <c r="DP760" s="410" t="s">
        <v>85</v>
      </c>
    </row>
    <row r="761" spans="1:120" x14ac:dyDescent="0.25">
      <c r="A761" s="16" t="s">
        <v>5322</v>
      </c>
      <c r="B761" s="16" t="s">
        <v>5323</v>
      </c>
      <c r="C761" s="16" t="s">
        <v>5324</v>
      </c>
      <c r="D761" s="16" t="s">
        <v>5196</v>
      </c>
      <c r="E761" s="16" t="s">
        <v>5325</v>
      </c>
      <c r="F761" s="16" t="s">
        <v>5326</v>
      </c>
      <c r="G761" s="16" t="s">
        <v>5327</v>
      </c>
      <c r="H761" s="16" t="s">
        <v>5326</v>
      </c>
      <c r="I761" s="16" t="s">
        <v>5328</v>
      </c>
      <c r="J761" s="16" t="s">
        <v>956</v>
      </c>
      <c r="K761" s="16" t="s">
        <v>5329</v>
      </c>
      <c r="L761" s="16" t="s">
        <v>85</v>
      </c>
      <c r="M761" s="16" t="s">
        <v>1396</v>
      </c>
      <c r="N761" s="16" t="s">
        <v>914</v>
      </c>
      <c r="O761" s="16" t="s">
        <v>1397</v>
      </c>
      <c r="P761" s="16" t="s">
        <v>914</v>
      </c>
      <c r="Q761" s="16" t="s">
        <v>1397</v>
      </c>
      <c r="R761" s="16" t="s">
        <v>915</v>
      </c>
      <c r="S761" s="16" t="s">
        <v>915</v>
      </c>
      <c r="T761" s="16" t="s">
        <v>1396</v>
      </c>
      <c r="U761" s="16" t="s">
        <v>1398</v>
      </c>
      <c r="V761" s="16" t="s">
        <v>916</v>
      </c>
      <c r="W761" s="16" t="s">
        <v>1398</v>
      </c>
      <c r="X761" s="16" t="s">
        <v>934</v>
      </c>
      <c r="Y761" s="16" t="s">
        <v>934</v>
      </c>
      <c r="Z761" s="16" t="s">
        <v>935</v>
      </c>
      <c r="DA761" s="405" t="s">
        <v>5</v>
      </c>
      <c r="DB761" s="405" t="s">
        <v>363</v>
      </c>
      <c r="DC761" s="406" t="s">
        <v>85</v>
      </c>
      <c r="DD761" s="405" t="s">
        <v>917</v>
      </c>
      <c r="DE761" s="405" t="s">
        <v>5</v>
      </c>
      <c r="DF761" s="406" t="s">
        <v>85</v>
      </c>
      <c r="DG761" s="407">
        <v>45854</v>
      </c>
      <c r="DH761" s="405" t="s">
        <v>5325</v>
      </c>
      <c r="DI761" s="406">
        <v>465455</v>
      </c>
      <c r="DJ761" s="408">
        <v>5</v>
      </c>
      <c r="DK761" s="405">
        <v>1</v>
      </c>
      <c r="DL761" s="82">
        <v>265.92</v>
      </c>
      <c r="DM761" s="409">
        <v>1.3296000000000001</v>
      </c>
      <c r="DN761" s="82" t="s">
        <v>85</v>
      </c>
      <c r="DO761" s="82" t="s">
        <v>85</v>
      </c>
      <c r="DP761" s="410" t="s">
        <v>85</v>
      </c>
    </row>
    <row r="762" spans="1:120" x14ac:dyDescent="0.25">
      <c r="A762" s="16" t="s">
        <v>5330</v>
      </c>
      <c r="B762" s="16" t="s">
        <v>5331</v>
      </c>
      <c r="C762" s="16" t="s">
        <v>5332</v>
      </c>
      <c r="D762" s="16" t="s">
        <v>5196</v>
      </c>
      <c r="E762" s="16" t="s">
        <v>5333</v>
      </c>
      <c r="F762" s="16" t="s">
        <v>5334</v>
      </c>
      <c r="G762" s="16" t="s">
        <v>5335</v>
      </c>
      <c r="H762" s="16" t="s">
        <v>5336</v>
      </c>
      <c r="I762" s="16" t="s">
        <v>2271</v>
      </c>
      <c r="J762" s="16" t="s">
        <v>995</v>
      </c>
      <c r="K762" s="16" t="s">
        <v>2272</v>
      </c>
      <c r="L762" s="16" t="s">
        <v>85</v>
      </c>
      <c r="M762" s="16" t="s">
        <v>1165</v>
      </c>
      <c r="N762" s="16" t="s">
        <v>914</v>
      </c>
      <c r="O762" s="16" t="s">
        <v>1166</v>
      </c>
      <c r="P762" s="16" t="s">
        <v>914</v>
      </c>
      <c r="Q762" s="16" t="s">
        <v>1166</v>
      </c>
      <c r="R762" s="16" t="s">
        <v>915</v>
      </c>
      <c r="S762" s="16" t="s">
        <v>915</v>
      </c>
      <c r="T762" s="16" t="s">
        <v>1167</v>
      </c>
      <c r="U762" s="16" t="s">
        <v>1168</v>
      </c>
      <c r="V762" s="16" t="s">
        <v>916</v>
      </c>
      <c r="W762" s="16" t="s">
        <v>1168</v>
      </c>
      <c r="X762" s="16" t="s">
        <v>934</v>
      </c>
      <c r="Y762" s="16" t="s">
        <v>934</v>
      </c>
      <c r="Z762" s="16" t="s">
        <v>935</v>
      </c>
      <c r="DA762" s="405" t="s">
        <v>5</v>
      </c>
      <c r="DB762" s="405" t="s">
        <v>363</v>
      </c>
      <c r="DC762" s="406" t="s">
        <v>85</v>
      </c>
      <c r="DD762" s="405" t="s">
        <v>917</v>
      </c>
      <c r="DE762" s="405" t="s">
        <v>5</v>
      </c>
      <c r="DF762" s="406" t="s">
        <v>85</v>
      </c>
      <c r="DG762" s="407">
        <v>45854</v>
      </c>
      <c r="DH762" s="405" t="s">
        <v>5333</v>
      </c>
      <c r="DI762" s="406">
        <v>465455</v>
      </c>
      <c r="DJ762" s="408">
        <v>5</v>
      </c>
      <c r="DK762" s="405">
        <v>1</v>
      </c>
      <c r="DL762" s="82">
        <v>468.28</v>
      </c>
      <c r="DM762" s="409">
        <v>2.3413999999999997</v>
      </c>
      <c r="DN762" s="82" t="s">
        <v>85</v>
      </c>
      <c r="DO762" s="82" t="s">
        <v>85</v>
      </c>
      <c r="DP762" s="410" t="s">
        <v>85</v>
      </c>
    </row>
    <row r="763" spans="1:120" x14ac:dyDescent="0.25">
      <c r="A763" s="16" t="s">
        <v>5337</v>
      </c>
      <c r="B763" s="16" t="s">
        <v>5338</v>
      </c>
      <c r="C763" s="16" t="s">
        <v>5339</v>
      </c>
      <c r="D763" s="16" t="s">
        <v>5196</v>
      </c>
      <c r="E763" s="16" t="s">
        <v>5340</v>
      </c>
      <c r="F763" s="16" t="s">
        <v>5341</v>
      </c>
      <c r="G763" s="16" t="s">
        <v>5342</v>
      </c>
      <c r="H763" s="16" t="s">
        <v>5343</v>
      </c>
      <c r="I763" s="16" t="s">
        <v>1728</v>
      </c>
      <c r="J763" s="16" t="s">
        <v>943</v>
      </c>
      <c r="K763" s="16" t="s">
        <v>1729</v>
      </c>
      <c r="L763" s="16" t="s">
        <v>85</v>
      </c>
      <c r="M763" s="16" t="s">
        <v>984</v>
      </c>
      <c r="N763" s="16" t="s">
        <v>914</v>
      </c>
      <c r="O763" s="16" t="s">
        <v>985</v>
      </c>
      <c r="P763" s="16" t="s">
        <v>914</v>
      </c>
      <c r="Q763" s="16" t="s">
        <v>985</v>
      </c>
      <c r="R763" s="16" t="s">
        <v>915</v>
      </c>
      <c r="S763" s="16" t="s">
        <v>915</v>
      </c>
      <c r="T763" s="16" t="s">
        <v>986</v>
      </c>
      <c r="U763" s="16" t="s">
        <v>987</v>
      </c>
      <c r="V763" s="16" t="s">
        <v>916</v>
      </c>
      <c r="W763" s="16" t="s">
        <v>987</v>
      </c>
      <c r="X763" s="16" t="s">
        <v>934</v>
      </c>
      <c r="Y763" s="16" t="s">
        <v>934</v>
      </c>
      <c r="Z763" s="16" t="s">
        <v>935</v>
      </c>
      <c r="DA763" s="405" t="s">
        <v>5</v>
      </c>
      <c r="DB763" s="405" t="s">
        <v>363</v>
      </c>
      <c r="DC763" s="406" t="s">
        <v>85</v>
      </c>
      <c r="DD763" s="405" t="s">
        <v>917</v>
      </c>
      <c r="DE763" s="405" t="s">
        <v>5</v>
      </c>
      <c r="DF763" s="406" t="s">
        <v>85</v>
      </c>
      <c r="DG763" s="407">
        <v>45854</v>
      </c>
      <c r="DH763" s="405" t="s">
        <v>5340</v>
      </c>
      <c r="DI763" s="406">
        <v>465455</v>
      </c>
      <c r="DJ763" s="408">
        <v>5</v>
      </c>
      <c r="DK763" s="405">
        <v>1</v>
      </c>
      <c r="DL763" s="82">
        <v>340.55</v>
      </c>
      <c r="DM763" s="409">
        <v>1.70275</v>
      </c>
      <c r="DN763" s="82" t="s">
        <v>85</v>
      </c>
      <c r="DO763" s="82" t="s">
        <v>85</v>
      </c>
      <c r="DP763" s="410" t="s">
        <v>85</v>
      </c>
    </row>
    <row r="764" spans="1:120" x14ac:dyDescent="0.25">
      <c r="A764" s="16" t="s">
        <v>5344</v>
      </c>
      <c r="B764" s="16" t="s">
        <v>5345</v>
      </c>
      <c r="C764" s="16" t="s">
        <v>5346</v>
      </c>
      <c r="D764" s="16" t="s">
        <v>5196</v>
      </c>
      <c r="E764" s="16" t="s">
        <v>5347</v>
      </c>
      <c r="F764" s="16" t="s">
        <v>5348</v>
      </c>
      <c r="G764" s="16" t="s">
        <v>5349</v>
      </c>
      <c r="H764" s="16" t="s">
        <v>5350</v>
      </c>
      <c r="I764" s="16" t="s">
        <v>3013</v>
      </c>
      <c r="J764" s="16" t="s">
        <v>943</v>
      </c>
      <c r="K764" s="16" t="s">
        <v>3014</v>
      </c>
      <c r="L764" s="16" t="s">
        <v>85</v>
      </c>
      <c r="M764" s="16" t="s">
        <v>984</v>
      </c>
      <c r="N764" s="16" t="s">
        <v>914</v>
      </c>
      <c r="O764" s="16" t="s">
        <v>985</v>
      </c>
      <c r="P764" s="16" t="s">
        <v>914</v>
      </c>
      <c r="Q764" s="16" t="s">
        <v>985</v>
      </c>
      <c r="R764" s="16" t="s">
        <v>915</v>
      </c>
      <c r="S764" s="16" t="s">
        <v>915</v>
      </c>
      <c r="T764" s="16" t="s">
        <v>986</v>
      </c>
      <c r="U764" s="16" t="s">
        <v>987</v>
      </c>
      <c r="V764" s="16" t="s">
        <v>916</v>
      </c>
      <c r="W764" s="16" t="s">
        <v>987</v>
      </c>
      <c r="X764" s="16" t="s">
        <v>934</v>
      </c>
      <c r="Y764" s="16" t="s">
        <v>934</v>
      </c>
      <c r="Z764" s="16" t="s">
        <v>935</v>
      </c>
      <c r="DA764" s="405" t="s">
        <v>5</v>
      </c>
      <c r="DB764" s="405" t="s">
        <v>363</v>
      </c>
      <c r="DC764" s="406" t="s">
        <v>85</v>
      </c>
      <c r="DD764" s="405" t="s">
        <v>917</v>
      </c>
      <c r="DE764" s="405" t="s">
        <v>5</v>
      </c>
      <c r="DF764" s="406" t="s">
        <v>85</v>
      </c>
      <c r="DG764" s="407">
        <v>45854</v>
      </c>
      <c r="DH764" s="405" t="s">
        <v>5347</v>
      </c>
      <c r="DI764" s="406">
        <v>465455</v>
      </c>
      <c r="DJ764" s="408">
        <v>5</v>
      </c>
      <c r="DK764" s="405">
        <v>1</v>
      </c>
      <c r="DL764" s="82">
        <v>340.55</v>
      </c>
      <c r="DM764" s="409">
        <v>1.70275</v>
      </c>
      <c r="DN764" s="82" t="s">
        <v>85</v>
      </c>
      <c r="DO764" s="82" t="s">
        <v>85</v>
      </c>
      <c r="DP764" s="410" t="s">
        <v>85</v>
      </c>
    </row>
    <row r="765" spans="1:120" x14ac:dyDescent="0.25">
      <c r="A765" s="16" t="s">
        <v>5351</v>
      </c>
      <c r="B765" s="16" t="s">
        <v>5352</v>
      </c>
      <c r="C765" s="16" t="s">
        <v>5353</v>
      </c>
      <c r="D765" s="16" t="s">
        <v>5196</v>
      </c>
      <c r="E765" s="16" t="s">
        <v>5354</v>
      </c>
      <c r="F765" s="16" t="s">
        <v>5355</v>
      </c>
      <c r="G765" s="16" t="s">
        <v>5356</v>
      </c>
      <c r="H765" s="16" t="s">
        <v>5357</v>
      </c>
      <c r="I765" s="16" t="s">
        <v>1150</v>
      </c>
      <c r="J765" s="16" t="s">
        <v>943</v>
      </c>
      <c r="K765" s="16" t="s">
        <v>1151</v>
      </c>
      <c r="L765" s="16" t="s">
        <v>85</v>
      </c>
      <c r="M765" s="16" t="s">
        <v>984</v>
      </c>
      <c r="N765" s="16" t="s">
        <v>914</v>
      </c>
      <c r="O765" s="16" t="s">
        <v>985</v>
      </c>
      <c r="P765" s="16" t="s">
        <v>914</v>
      </c>
      <c r="Q765" s="16" t="s">
        <v>985</v>
      </c>
      <c r="R765" s="16" t="s">
        <v>915</v>
      </c>
      <c r="S765" s="16" t="s">
        <v>915</v>
      </c>
      <c r="T765" s="16" t="s">
        <v>986</v>
      </c>
      <c r="U765" s="16" t="s">
        <v>987</v>
      </c>
      <c r="V765" s="16" t="s">
        <v>916</v>
      </c>
      <c r="W765" s="16" t="s">
        <v>987</v>
      </c>
      <c r="X765" s="16" t="s">
        <v>934</v>
      </c>
      <c r="Y765" s="16" t="s">
        <v>934</v>
      </c>
      <c r="Z765" s="16" t="s">
        <v>935</v>
      </c>
      <c r="DA765" s="405" t="s">
        <v>5</v>
      </c>
      <c r="DB765" s="405" t="s">
        <v>363</v>
      </c>
      <c r="DC765" s="406" t="s">
        <v>85</v>
      </c>
      <c r="DD765" s="405" t="s">
        <v>917</v>
      </c>
      <c r="DE765" s="405" t="s">
        <v>5</v>
      </c>
      <c r="DF765" s="406" t="s">
        <v>85</v>
      </c>
      <c r="DG765" s="407">
        <v>45854</v>
      </c>
      <c r="DH765" s="405" t="s">
        <v>5354</v>
      </c>
      <c r="DI765" s="406">
        <v>465455</v>
      </c>
      <c r="DJ765" s="408">
        <v>5</v>
      </c>
      <c r="DK765" s="405">
        <v>1</v>
      </c>
      <c r="DL765" s="82">
        <v>340.55</v>
      </c>
      <c r="DM765" s="409">
        <v>1.70275</v>
      </c>
      <c r="DN765" s="82" t="s">
        <v>85</v>
      </c>
      <c r="DO765" s="82" t="s">
        <v>85</v>
      </c>
      <c r="DP765" s="410" t="s">
        <v>85</v>
      </c>
    </row>
    <row r="766" spans="1:120" x14ac:dyDescent="0.25">
      <c r="A766" s="16" t="s">
        <v>5358</v>
      </c>
      <c r="B766" s="16" t="s">
        <v>5359</v>
      </c>
      <c r="C766" s="16" t="s">
        <v>5360</v>
      </c>
      <c r="D766" s="16" t="s">
        <v>5196</v>
      </c>
      <c r="E766" s="16" t="s">
        <v>5361</v>
      </c>
      <c r="F766" s="16" t="s">
        <v>5362</v>
      </c>
      <c r="G766" s="16" t="s">
        <v>5363</v>
      </c>
      <c r="H766" s="16" t="s">
        <v>5364</v>
      </c>
      <c r="I766" s="16" t="s">
        <v>2271</v>
      </c>
      <c r="J766" s="16" t="s">
        <v>995</v>
      </c>
      <c r="K766" s="16" t="s">
        <v>2272</v>
      </c>
      <c r="L766" s="16" t="s">
        <v>85</v>
      </c>
      <c r="M766" s="16" t="s">
        <v>1165</v>
      </c>
      <c r="N766" s="16" t="s">
        <v>914</v>
      </c>
      <c r="O766" s="16" t="s">
        <v>1166</v>
      </c>
      <c r="P766" s="16" t="s">
        <v>914</v>
      </c>
      <c r="Q766" s="16" t="s">
        <v>1166</v>
      </c>
      <c r="R766" s="16" t="s">
        <v>915</v>
      </c>
      <c r="S766" s="16" t="s">
        <v>915</v>
      </c>
      <c r="T766" s="16" t="s">
        <v>1167</v>
      </c>
      <c r="U766" s="16" t="s">
        <v>1168</v>
      </c>
      <c r="V766" s="16" t="s">
        <v>916</v>
      </c>
      <c r="W766" s="16" t="s">
        <v>1168</v>
      </c>
      <c r="X766" s="16" t="s">
        <v>934</v>
      </c>
      <c r="Y766" s="16" t="s">
        <v>934</v>
      </c>
      <c r="Z766" s="16" t="s">
        <v>935</v>
      </c>
      <c r="DA766" s="405" t="s">
        <v>5</v>
      </c>
      <c r="DB766" s="405" t="s">
        <v>363</v>
      </c>
      <c r="DC766" s="406" t="s">
        <v>85</v>
      </c>
      <c r="DD766" s="405" t="s">
        <v>917</v>
      </c>
      <c r="DE766" s="405" t="s">
        <v>5</v>
      </c>
      <c r="DF766" s="406" t="s">
        <v>85</v>
      </c>
      <c r="DG766" s="407">
        <v>45854</v>
      </c>
      <c r="DH766" s="405" t="s">
        <v>5361</v>
      </c>
      <c r="DI766" s="406">
        <v>465455</v>
      </c>
      <c r="DJ766" s="408">
        <v>5</v>
      </c>
      <c r="DK766" s="405">
        <v>1</v>
      </c>
      <c r="DL766" s="82">
        <v>468.28</v>
      </c>
      <c r="DM766" s="409">
        <v>2.3413999999999997</v>
      </c>
      <c r="DN766" s="82" t="s">
        <v>85</v>
      </c>
      <c r="DO766" s="82" t="s">
        <v>85</v>
      </c>
      <c r="DP766" s="410" t="s">
        <v>85</v>
      </c>
    </row>
    <row r="767" spans="1:120" x14ac:dyDescent="0.25">
      <c r="A767" s="16" t="s">
        <v>5365</v>
      </c>
      <c r="B767" s="16" t="s">
        <v>5366</v>
      </c>
      <c r="C767" s="16" t="s">
        <v>5367</v>
      </c>
      <c r="D767" s="16" t="s">
        <v>5196</v>
      </c>
      <c r="E767" s="16" t="s">
        <v>5368</v>
      </c>
      <c r="F767" s="16" t="s">
        <v>5369</v>
      </c>
      <c r="G767" s="16" t="s">
        <v>5370</v>
      </c>
      <c r="H767" s="16" t="s">
        <v>5371</v>
      </c>
      <c r="I767" s="16" t="s">
        <v>2160</v>
      </c>
      <c r="J767" s="16" t="s">
        <v>1354</v>
      </c>
      <c r="K767" s="16" t="s">
        <v>2161</v>
      </c>
      <c r="L767" s="16" t="s">
        <v>85</v>
      </c>
      <c r="M767" s="16" t="s">
        <v>945</v>
      </c>
      <c r="N767" s="16" t="s">
        <v>914</v>
      </c>
      <c r="O767" s="16" t="s">
        <v>946</v>
      </c>
      <c r="P767" s="16" t="s">
        <v>914</v>
      </c>
      <c r="Q767" s="16" t="s">
        <v>946</v>
      </c>
      <c r="R767" s="16" t="s">
        <v>915</v>
      </c>
      <c r="S767" s="16" t="s">
        <v>915</v>
      </c>
      <c r="T767" s="16" t="s">
        <v>945</v>
      </c>
      <c r="U767" s="16" t="s">
        <v>947</v>
      </c>
      <c r="V767" s="16" t="s">
        <v>916</v>
      </c>
      <c r="W767" s="16" t="s">
        <v>947</v>
      </c>
      <c r="X767" s="16" t="s">
        <v>934</v>
      </c>
      <c r="Y767" s="16" t="s">
        <v>934</v>
      </c>
      <c r="Z767" s="16" t="s">
        <v>935</v>
      </c>
      <c r="DA767" s="405" t="s">
        <v>5</v>
      </c>
      <c r="DB767" s="405" t="s">
        <v>363</v>
      </c>
      <c r="DC767" s="406" t="s">
        <v>85</v>
      </c>
      <c r="DD767" s="405" t="s">
        <v>917</v>
      </c>
      <c r="DE767" s="405" t="s">
        <v>5</v>
      </c>
      <c r="DF767" s="406" t="s">
        <v>85</v>
      </c>
      <c r="DG767" s="407">
        <v>45854</v>
      </c>
      <c r="DH767" s="405" t="s">
        <v>5368</v>
      </c>
      <c r="DI767" s="406">
        <v>465455</v>
      </c>
      <c r="DJ767" s="408">
        <v>5</v>
      </c>
      <c r="DK767" s="405">
        <v>1</v>
      </c>
      <c r="DL767" s="82">
        <v>319.27</v>
      </c>
      <c r="DM767" s="409">
        <v>1.5963499999999999</v>
      </c>
      <c r="DN767" s="82" t="s">
        <v>85</v>
      </c>
      <c r="DO767" s="82" t="s">
        <v>85</v>
      </c>
      <c r="DP767" s="410" t="s">
        <v>85</v>
      </c>
    </row>
    <row r="768" spans="1:120" x14ac:dyDescent="0.25">
      <c r="A768" s="16" t="s">
        <v>5372</v>
      </c>
      <c r="B768" s="16" t="s">
        <v>5373</v>
      </c>
      <c r="C768" s="16" t="s">
        <v>5374</v>
      </c>
      <c r="D768" s="16" t="s">
        <v>5196</v>
      </c>
      <c r="E768" s="16" t="s">
        <v>5375</v>
      </c>
      <c r="F768" s="16" t="s">
        <v>5376</v>
      </c>
      <c r="G768" s="16" t="s">
        <v>5377</v>
      </c>
      <c r="H768" s="16" t="s">
        <v>5378</v>
      </c>
      <c r="I768" s="16" t="s">
        <v>1547</v>
      </c>
      <c r="J768" s="16" t="s">
        <v>943</v>
      </c>
      <c r="K768" s="16" t="s">
        <v>1548</v>
      </c>
      <c r="L768" s="16" t="s">
        <v>85</v>
      </c>
      <c r="M768" s="16" t="s">
        <v>984</v>
      </c>
      <c r="N768" s="16" t="s">
        <v>914</v>
      </c>
      <c r="O768" s="16" t="s">
        <v>985</v>
      </c>
      <c r="P768" s="16" t="s">
        <v>914</v>
      </c>
      <c r="Q768" s="16" t="s">
        <v>985</v>
      </c>
      <c r="R768" s="16" t="s">
        <v>915</v>
      </c>
      <c r="S768" s="16" t="s">
        <v>915</v>
      </c>
      <c r="T768" s="16" t="s">
        <v>986</v>
      </c>
      <c r="U768" s="16" t="s">
        <v>987</v>
      </c>
      <c r="V768" s="16" t="s">
        <v>916</v>
      </c>
      <c r="W768" s="16" t="s">
        <v>987</v>
      </c>
      <c r="X768" s="16" t="s">
        <v>934</v>
      </c>
      <c r="Y768" s="16" t="s">
        <v>934</v>
      </c>
      <c r="Z768" s="16" t="s">
        <v>935</v>
      </c>
      <c r="DA768" s="405" t="s">
        <v>5</v>
      </c>
      <c r="DB768" s="405" t="s">
        <v>363</v>
      </c>
      <c r="DC768" s="406" t="s">
        <v>85</v>
      </c>
      <c r="DD768" s="405" t="s">
        <v>917</v>
      </c>
      <c r="DE768" s="405" t="s">
        <v>5</v>
      </c>
      <c r="DF768" s="406" t="s">
        <v>85</v>
      </c>
      <c r="DG768" s="407">
        <v>45854</v>
      </c>
      <c r="DH768" s="405" t="s">
        <v>5375</v>
      </c>
      <c r="DI768" s="406">
        <v>465455</v>
      </c>
      <c r="DJ768" s="408">
        <v>5</v>
      </c>
      <c r="DK768" s="405">
        <v>1</v>
      </c>
      <c r="DL768" s="82">
        <v>340.55</v>
      </c>
      <c r="DM768" s="409">
        <v>1.70275</v>
      </c>
      <c r="DN768" s="82" t="s">
        <v>85</v>
      </c>
      <c r="DO768" s="82" t="s">
        <v>85</v>
      </c>
      <c r="DP768" s="410" t="s">
        <v>85</v>
      </c>
    </row>
    <row r="769" spans="1:120" x14ac:dyDescent="0.25">
      <c r="A769" s="16" t="s">
        <v>5379</v>
      </c>
      <c r="B769" s="16" t="s">
        <v>5380</v>
      </c>
      <c r="C769" s="16" t="s">
        <v>5381</v>
      </c>
      <c r="D769" s="16" t="s">
        <v>5196</v>
      </c>
      <c r="E769" s="16" t="s">
        <v>5382</v>
      </c>
      <c r="F769" s="16" t="s">
        <v>5383</v>
      </c>
      <c r="G769" s="16" t="s">
        <v>5384</v>
      </c>
      <c r="H769" s="16" t="s">
        <v>5385</v>
      </c>
      <c r="I769" s="16" t="s">
        <v>1269</v>
      </c>
      <c r="J769" s="16" t="s">
        <v>943</v>
      </c>
      <c r="K769" s="16" t="s">
        <v>1270</v>
      </c>
      <c r="L769" s="16" t="s">
        <v>85</v>
      </c>
      <c r="M769" s="16" t="s">
        <v>984</v>
      </c>
      <c r="N769" s="16" t="s">
        <v>914</v>
      </c>
      <c r="O769" s="16" t="s">
        <v>985</v>
      </c>
      <c r="P769" s="16" t="s">
        <v>914</v>
      </c>
      <c r="Q769" s="16" t="s">
        <v>985</v>
      </c>
      <c r="R769" s="16" t="s">
        <v>915</v>
      </c>
      <c r="S769" s="16" t="s">
        <v>915</v>
      </c>
      <c r="T769" s="16" t="s">
        <v>986</v>
      </c>
      <c r="U769" s="16" t="s">
        <v>987</v>
      </c>
      <c r="V769" s="16" t="s">
        <v>916</v>
      </c>
      <c r="W769" s="16" t="s">
        <v>987</v>
      </c>
      <c r="X769" s="16" t="s">
        <v>934</v>
      </c>
      <c r="Y769" s="16" t="s">
        <v>934</v>
      </c>
      <c r="Z769" s="16" t="s">
        <v>935</v>
      </c>
      <c r="DA769" s="405" t="s">
        <v>5</v>
      </c>
      <c r="DB769" s="405" t="s">
        <v>363</v>
      </c>
      <c r="DC769" s="406" t="s">
        <v>85</v>
      </c>
      <c r="DD769" s="405" t="s">
        <v>917</v>
      </c>
      <c r="DE769" s="405" t="s">
        <v>5</v>
      </c>
      <c r="DF769" s="406" t="s">
        <v>85</v>
      </c>
      <c r="DG769" s="407">
        <v>45854</v>
      </c>
      <c r="DH769" s="405" t="s">
        <v>5382</v>
      </c>
      <c r="DI769" s="406">
        <v>465455</v>
      </c>
      <c r="DJ769" s="408">
        <v>5</v>
      </c>
      <c r="DK769" s="405">
        <v>1</v>
      </c>
      <c r="DL769" s="82">
        <v>340.55</v>
      </c>
      <c r="DM769" s="409">
        <v>1.70275</v>
      </c>
      <c r="DN769" s="82" t="s">
        <v>85</v>
      </c>
      <c r="DO769" s="82" t="s">
        <v>85</v>
      </c>
      <c r="DP769" s="410" t="s">
        <v>85</v>
      </c>
    </row>
    <row r="770" spans="1:120" x14ac:dyDescent="0.25">
      <c r="A770" s="16" t="s">
        <v>5386</v>
      </c>
      <c r="B770" s="16" t="s">
        <v>5387</v>
      </c>
      <c r="C770" s="16" t="s">
        <v>5388</v>
      </c>
      <c r="D770" s="16" t="s">
        <v>5196</v>
      </c>
      <c r="E770" s="16" t="s">
        <v>5389</v>
      </c>
      <c r="F770" s="16" t="s">
        <v>5390</v>
      </c>
      <c r="G770" s="16" t="s">
        <v>5391</v>
      </c>
      <c r="H770" s="16" t="s">
        <v>5392</v>
      </c>
      <c r="I770" s="16" t="s">
        <v>5393</v>
      </c>
      <c r="J770" s="16" t="s">
        <v>1847</v>
      </c>
      <c r="K770" s="16" t="s">
        <v>5394</v>
      </c>
      <c r="L770" s="16" t="s">
        <v>85</v>
      </c>
      <c r="M770" s="16" t="s">
        <v>1849</v>
      </c>
      <c r="N770" s="16" t="s">
        <v>914</v>
      </c>
      <c r="O770" s="16" t="s">
        <v>1850</v>
      </c>
      <c r="P770" s="16" t="s">
        <v>914</v>
      </c>
      <c r="Q770" s="16" t="s">
        <v>1850</v>
      </c>
      <c r="R770" s="16" t="s">
        <v>915</v>
      </c>
      <c r="S770" s="16" t="s">
        <v>915</v>
      </c>
      <c r="T770" s="16" t="s">
        <v>1851</v>
      </c>
      <c r="U770" s="16" t="s">
        <v>1852</v>
      </c>
      <c r="V770" s="16" t="s">
        <v>916</v>
      </c>
      <c r="W770" s="16" t="s">
        <v>1852</v>
      </c>
      <c r="X770" s="16" t="s">
        <v>934</v>
      </c>
      <c r="Y770" s="16" t="s">
        <v>934</v>
      </c>
      <c r="Z770" s="16" t="s">
        <v>935</v>
      </c>
      <c r="DA770" s="405" t="s">
        <v>5</v>
      </c>
      <c r="DB770" s="405" t="s">
        <v>363</v>
      </c>
      <c r="DC770" s="406" t="s">
        <v>85</v>
      </c>
      <c r="DD770" s="405" t="s">
        <v>917</v>
      </c>
      <c r="DE770" s="405" t="s">
        <v>5</v>
      </c>
      <c r="DF770" s="406" t="s">
        <v>85</v>
      </c>
      <c r="DG770" s="407">
        <v>45854</v>
      </c>
      <c r="DH770" s="405" t="s">
        <v>5389</v>
      </c>
      <c r="DI770" s="406">
        <v>465455</v>
      </c>
      <c r="DJ770" s="408">
        <v>5</v>
      </c>
      <c r="DK770" s="405">
        <v>1</v>
      </c>
      <c r="DL770" s="82">
        <v>447.02</v>
      </c>
      <c r="DM770" s="409">
        <v>2.2351000000000001</v>
      </c>
      <c r="DN770" s="82" t="s">
        <v>85</v>
      </c>
      <c r="DO770" s="82" t="s">
        <v>85</v>
      </c>
      <c r="DP770" s="410" t="s">
        <v>85</v>
      </c>
    </row>
    <row r="771" spans="1:120" x14ac:dyDescent="0.25">
      <c r="A771" s="16" t="s">
        <v>5395</v>
      </c>
      <c r="B771" s="16" t="s">
        <v>5396</v>
      </c>
      <c r="C771" s="16" t="s">
        <v>5397</v>
      </c>
      <c r="D771" s="16" t="s">
        <v>5196</v>
      </c>
      <c r="E771" s="16" t="s">
        <v>5398</v>
      </c>
      <c r="F771" s="16" t="s">
        <v>5399</v>
      </c>
      <c r="G771" s="16" t="s">
        <v>5400</v>
      </c>
      <c r="H771" s="16" t="s">
        <v>5401</v>
      </c>
      <c r="I771" s="16" t="s">
        <v>2997</v>
      </c>
      <c r="J771" s="16" t="s">
        <v>943</v>
      </c>
      <c r="K771" s="16" t="s">
        <v>2998</v>
      </c>
      <c r="L771" s="16" t="s">
        <v>85</v>
      </c>
      <c r="M771" s="16" t="s">
        <v>984</v>
      </c>
      <c r="N771" s="16" t="s">
        <v>914</v>
      </c>
      <c r="O771" s="16" t="s">
        <v>985</v>
      </c>
      <c r="P771" s="16" t="s">
        <v>914</v>
      </c>
      <c r="Q771" s="16" t="s">
        <v>985</v>
      </c>
      <c r="R771" s="16" t="s">
        <v>915</v>
      </c>
      <c r="S771" s="16" t="s">
        <v>915</v>
      </c>
      <c r="T771" s="16" t="s">
        <v>986</v>
      </c>
      <c r="U771" s="16" t="s">
        <v>987</v>
      </c>
      <c r="V771" s="16" t="s">
        <v>916</v>
      </c>
      <c r="W771" s="16" t="s">
        <v>987</v>
      </c>
      <c r="X771" s="16" t="s">
        <v>934</v>
      </c>
      <c r="Y771" s="16" t="s">
        <v>934</v>
      </c>
      <c r="Z771" s="16" t="s">
        <v>935</v>
      </c>
      <c r="DA771" s="405" t="s">
        <v>5</v>
      </c>
      <c r="DB771" s="405" t="s">
        <v>363</v>
      </c>
      <c r="DC771" s="406" t="s">
        <v>85</v>
      </c>
      <c r="DD771" s="405" t="s">
        <v>917</v>
      </c>
      <c r="DE771" s="405" t="s">
        <v>5</v>
      </c>
      <c r="DF771" s="406" t="s">
        <v>85</v>
      </c>
      <c r="DG771" s="407">
        <v>45854</v>
      </c>
      <c r="DH771" s="405" t="s">
        <v>5398</v>
      </c>
      <c r="DI771" s="406">
        <v>465455</v>
      </c>
      <c r="DJ771" s="408">
        <v>5</v>
      </c>
      <c r="DK771" s="405">
        <v>1</v>
      </c>
      <c r="DL771" s="82">
        <v>340.55</v>
      </c>
      <c r="DM771" s="409">
        <v>1.70275</v>
      </c>
      <c r="DN771" s="82" t="s">
        <v>85</v>
      </c>
      <c r="DO771" s="82" t="s">
        <v>85</v>
      </c>
      <c r="DP771" s="410" t="s">
        <v>85</v>
      </c>
    </row>
    <row r="772" spans="1:120" x14ac:dyDescent="0.25">
      <c r="A772" s="16" t="s">
        <v>5402</v>
      </c>
      <c r="B772" s="16" t="s">
        <v>5403</v>
      </c>
      <c r="C772" s="16" t="s">
        <v>5404</v>
      </c>
      <c r="D772" s="16" t="s">
        <v>5196</v>
      </c>
      <c r="E772" s="16" t="s">
        <v>5405</v>
      </c>
      <c r="F772" s="16" t="s">
        <v>5406</v>
      </c>
      <c r="G772" s="16" t="s">
        <v>5407</v>
      </c>
      <c r="H772" s="16" t="s">
        <v>5408</v>
      </c>
      <c r="I772" s="16" t="s">
        <v>2136</v>
      </c>
      <c r="J772" s="16" t="s">
        <v>943</v>
      </c>
      <c r="K772" s="16" t="s">
        <v>2137</v>
      </c>
      <c r="L772" s="16" t="s">
        <v>85</v>
      </c>
      <c r="M772" s="16" t="s">
        <v>984</v>
      </c>
      <c r="N772" s="16" t="s">
        <v>914</v>
      </c>
      <c r="O772" s="16" t="s">
        <v>985</v>
      </c>
      <c r="P772" s="16" t="s">
        <v>914</v>
      </c>
      <c r="Q772" s="16" t="s">
        <v>985</v>
      </c>
      <c r="R772" s="16" t="s">
        <v>915</v>
      </c>
      <c r="S772" s="16" t="s">
        <v>915</v>
      </c>
      <c r="T772" s="16" t="s">
        <v>986</v>
      </c>
      <c r="U772" s="16" t="s">
        <v>987</v>
      </c>
      <c r="V772" s="16" t="s">
        <v>916</v>
      </c>
      <c r="W772" s="16" t="s">
        <v>987</v>
      </c>
      <c r="X772" s="16" t="s">
        <v>934</v>
      </c>
      <c r="Y772" s="16" t="s">
        <v>934</v>
      </c>
      <c r="Z772" s="16" t="s">
        <v>935</v>
      </c>
      <c r="DA772" s="405" t="s">
        <v>5</v>
      </c>
      <c r="DB772" s="405" t="s">
        <v>363</v>
      </c>
      <c r="DC772" s="406" t="s">
        <v>85</v>
      </c>
      <c r="DD772" s="405" t="s">
        <v>917</v>
      </c>
      <c r="DE772" s="405" t="s">
        <v>5</v>
      </c>
      <c r="DF772" s="406" t="s">
        <v>85</v>
      </c>
      <c r="DG772" s="407">
        <v>45854</v>
      </c>
      <c r="DH772" s="405" t="s">
        <v>5405</v>
      </c>
      <c r="DI772" s="406">
        <v>465455</v>
      </c>
      <c r="DJ772" s="408">
        <v>5</v>
      </c>
      <c r="DK772" s="405">
        <v>1</v>
      </c>
      <c r="DL772" s="82">
        <v>340.55</v>
      </c>
      <c r="DM772" s="409">
        <v>1.70275</v>
      </c>
      <c r="DN772" s="82" t="s">
        <v>85</v>
      </c>
      <c r="DO772" s="82" t="s">
        <v>85</v>
      </c>
      <c r="DP772" s="410" t="s">
        <v>85</v>
      </c>
    </row>
    <row r="773" spans="1:120" x14ac:dyDescent="0.25">
      <c r="A773" s="16" t="s">
        <v>5409</v>
      </c>
      <c r="B773" s="16" t="s">
        <v>5410</v>
      </c>
      <c r="C773" s="16" t="s">
        <v>5411</v>
      </c>
      <c r="D773" s="16" t="s">
        <v>5196</v>
      </c>
      <c r="E773" s="16" t="s">
        <v>5412</v>
      </c>
      <c r="F773" s="16" t="s">
        <v>5413</v>
      </c>
      <c r="G773" s="16" t="s">
        <v>5414</v>
      </c>
      <c r="H773" s="16" t="s">
        <v>5415</v>
      </c>
      <c r="I773" s="16" t="s">
        <v>1057</v>
      </c>
      <c r="J773" s="16" t="s">
        <v>943</v>
      </c>
      <c r="K773" s="16" t="s">
        <v>1058</v>
      </c>
      <c r="L773" s="16" t="s">
        <v>85</v>
      </c>
      <c r="M773" s="16" t="s">
        <v>984</v>
      </c>
      <c r="N773" s="16" t="s">
        <v>914</v>
      </c>
      <c r="O773" s="16" t="s">
        <v>985</v>
      </c>
      <c r="P773" s="16" t="s">
        <v>914</v>
      </c>
      <c r="Q773" s="16" t="s">
        <v>985</v>
      </c>
      <c r="R773" s="16" t="s">
        <v>915</v>
      </c>
      <c r="S773" s="16" t="s">
        <v>915</v>
      </c>
      <c r="T773" s="16" t="s">
        <v>986</v>
      </c>
      <c r="U773" s="16" t="s">
        <v>987</v>
      </c>
      <c r="V773" s="16" t="s">
        <v>916</v>
      </c>
      <c r="W773" s="16" t="s">
        <v>987</v>
      </c>
      <c r="X773" s="16" t="s">
        <v>934</v>
      </c>
      <c r="Y773" s="16" t="s">
        <v>934</v>
      </c>
      <c r="Z773" s="16" t="s">
        <v>935</v>
      </c>
      <c r="DA773" s="405" t="s">
        <v>5</v>
      </c>
      <c r="DB773" s="405" t="s">
        <v>363</v>
      </c>
      <c r="DC773" s="406" t="s">
        <v>85</v>
      </c>
      <c r="DD773" s="405" t="s">
        <v>917</v>
      </c>
      <c r="DE773" s="405" t="s">
        <v>5</v>
      </c>
      <c r="DF773" s="406" t="s">
        <v>85</v>
      </c>
      <c r="DG773" s="407">
        <v>45854</v>
      </c>
      <c r="DH773" s="405" t="s">
        <v>5412</v>
      </c>
      <c r="DI773" s="406">
        <v>465455</v>
      </c>
      <c r="DJ773" s="408">
        <v>5</v>
      </c>
      <c r="DK773" s="405">
        <v>1</v>
      </c>
      <c r="DL773" s="82">
        <v>340.55</v>
      </c>
      <c r="DM773" s="409">
        <v>1.70275</v>
      </c>
      <c r="DN773" s="82" t="s">
        <v>85</v>
      </c>
      <c r="DO773" s="82" t="s">
        <v>85</v>
      </c>
      <c r="DP773" s="410" t="s">
        <v>85</v>
      </c>
    </row>
    <row r="774" spans="1:120" x14ac:dyDescent="0.25">
      <c r="A774" s="16" t="s">
        <v>5416</v>
      </c>
      <c r="B774" s="16" t="s">
        <v>5417</v>
      </c>
      <c r="C774" s="16" t="s">
        <v>5418</v>
      </c>
      <c r="D774" s="16" t="s">
        <v>5196</v>
      </c>
      <c r="E774" s="16" t="s">
        <v>5419</v>
      </c>
      <c r="F774" s="16" t="s">
        <v>5420</v>
      </c>
      <c r="G774" s="16" t="s">
        <v>5421</v>
      </c>
      <c r="H774" s="16" t="s">
        <v>5422</v>
      </c>
      <c r="I774" s="16" t="s">
        <v>5423</v>
      </c>
      <c r="J774" s="16" t="s">
        <v>5424</v>
      </c>
      <c r="K774" s="16" t="s">
        <v>5425</v>
      </c>
      <c r="L774" s="16" t="s">
        <v>85</v>
      </c>
      <c r="M774" s="16" t="s">
        <v>945</v>
      </c>
      <c r="N774" s="16" t="s">
        <v>914</v>
      </c>
      <c r="O774" s="16" t="s">
        <v>946</v>
      </c>
      <c r="P774" s="16" t="s">
        <v>914</v>
      </c>
      <c r="Q774" s="16" t="s">
        <v>946</v>
      </c>
      <c r="R774" s="16" t="s">
        <v>915</v>
      </c>
      <c r="S774" s="16" t="s">
        <v>915</v>
      </c>
      <c r="T774" s="16" t="s">
        <v>945</v>
      </c>
      <c r="U774" s="16" t="s">
        <v>947</v>
      </c>
      <c r="V774" s="16" t="s">
        <v>916</v>
      </c>
      <c r="W774" s="16" t="s">
        <v>947</v>
      </c>
      <c r="X774" s="16" t="s">
        <v>934</v>
      </c>
      <c r="Y774" s="16" t="s">
        <v>934</v>
      </c>
      <c r="Z774" s="16" t="s">
        <v>935</v>
      </c>
      <c r="DA774" s="405" t="s">
        <v>5</v>
      </c>
      <c r="DB774" s="405" t="s">
        <v>363</v>
      </c>
      <c r="DC774" s="406" t="s">
        <v>85</v>
      </c>
      <c r="DD774" s="405" t="s">
        <v>917</v>
      </c>
      <c r="DE774" s="405" t="s">
        <v>5</v>
      </c>
      <c r="DF774" s="406" t="s">
        <v>85</v>
      </c>
      <c r="DG774" s="407">
        <v>45854</v>
      </c>
      <c r="DH774" s="405" t="s">
        <v>5419</v>
      </c>
      <c r="DI774" s="406">
        <v>465455</v>
      </c>
      <c r="DJ774" s="408">
        <v>5</v>
      </c>
      <c r="DK774" s="405">
        <v>1</v>
      </c>
      <c r="DL774" s="82">
        <v>319.27</v>
      </c>
      <c r="DM774" s="409">
        <v>1.5963499999999999</v>
      </c>
      <c r="DN774" s="82" t="s">
        <v>85</v>
      </c>
      <c r="DO774" s="82" t="s">
        <v>85</v>
      </c>
      <c r="DP774" s="410" t="s">
        <v>85</v>
      </c>
    </row>
    <row r="775" spans="1:120" x14ac:dyDescent="0.25">
      <c r="A775" s="16" t="s">
        <v>5426</v>
      </c>
      <c r="B775" s="16" t="s">
        <v>5427</v>
      </c>
      <c r="C775" s="16" t="s">
        <v>5428</v>
      </c>
      <c r="D775" s="16" t="s">
        <v>5196</v>
      </c>
      <c r="E775" s="16" t="s">
        <v>5429</v>
      </c>
      <c r="F775" s="16" t="s">
        <v>5430</v>
      </c>
      <c r="G775" s="16" t="s">
        <v>5431</v>
      </c>
      <c r="H775" s="16" t="s">
        <v>5430</v>
      </c>
      <c r="I775" s="16" t="s">
        <v>1772</v>
      </c>
      <c r="J775" s="16" t="s">
        <v>1036</v>
      </c>
      <c r="K775" s="16" t="s">
        <v>1773</v>
      </c>
      <c r="L775" s="16" t="s">
        <v>85</v>
      </c>
      <c r="M775" s="16" t="s">
        <v>1216</v>
      </c>
      <c r="N775" s="16" t="s">
        <v>914</v>
      </c>
      <c r="O775" s="16" t="s">
        <v>946</v>
      </c>
      <c r="P775" s="16" t="s">
        <v>914</v>
      </c>
      <c r="Q775" s="16" t="s">
        <v>946</v>
      </c>
      <c r="R775" s="16" t="s">
        <v>915</v>
      </c>
      <c r="S775" s="16" t="s">
        <v>915</v>
      </c>
      <c r="T775" s="16" t="s">
        <v>1216</v>
      </c>
      <c r="U775" s="16" t="s">
        <v>1217</v>
      </c>
      <c r="V775" s="16" t="s">
        <v>916</v>
      </c>
      <c r="W775" s="16" t="s">
        <v>1217</v>
      </c>
      <c r="X775" s="16" t="s">
        <v>934</v>
      </c>
      <c r="Y775" s="16" t="s">
        <v>934</v>
      </c>
      <c r="Z775" s="16" t="s">
        <v>935</v>
      </c>
      <c r="DA775" s="405" t="s">
        <v>5</v>
      </c>
      <c r="DB775" s="405" t="s">
        <v>363</v>
      </c>
      <c r="DC775" s="406" t="s">
        <v>85</v>
      </c>
      <c r="DD775" s="405" t="s">
        <v>917</v>
      </c>
      <c r="DE775" s="405" t="s">
        <v>5</v>
      </c>
      <c r="DF775" s="406" t="s">
        <v>85</v>
      </c>
      <c r="DG775" s="407">
        <v>45854</v>
      </c>
      <c r="DH775" s="405" t="s">
        <v>5429</v>
      </c>
      <c r="DI775" s="406">
        <v>465455</v>
      </c>
      <c r="DJ775" s="408">
        <v>5</v>
      </c>
      <c r="DK775" s="405">
        <v>1</v>
      </c>
      <c r="DL775" s="82">
        <v>319.22000000000003</v>
      </c>
      <c r="DM775" s="409">
        <v>1.5961000000000001</v>
      </c>
      <c r="DN775" s="82" t="s">
        <v>85</v>
      </c>
      <c r="DO775" s="82" t="s">
        <v>85</v>
      </c>
      <c r="DP775" s="410" t="s">
        <v>85</v>
      </c>
    </row>
    <row r="776" spans="1:120" x14ac:dyDescent="0.25">
      <c r="A776" s="16" t="s">
        <v>5432</v>
      </c>
      <c r="B776" s="16" t="s">
        <v>5433</v>
      </c>
      <c r="C776" s="16" t="s">
        <v>5434</v>
      </c>
      <c r="D776" s="16" t="s">
        <v>5435</v>
      </c>
      <c r="E776" s="16" t="s">
        <v>5436</v>
      </c>
      <c r="F776" s="16" t="s">
        <v>5437</v>
      </c>
      <c r="G776" s="16" t="s">
        <v>5438</v>
      </c>
      <c r="H776" s="16" t="s">
        <v>5439</v>
      </c>
      <c r="I776" s="16" t="s">
        <v>1781</v>
      </c>
      <c r="J776" s="16" t="s">
        <v>995</v>
      </c>
      <c r="K776" s="16" t="s">
        <v>1782</v>
      </c>
      <c r="L776" s="16" t="s">
        <v>85</v>
      </c>
      <c r="M776" s="16" t="s">
        <v>1165</v>
      </c>
      <c r="N776" s="16" t="s">
        <v>914</v>
      </c>
      <c r="O776" s="16" t="s">
        <v>1166</v>
      </c>
      <c r="P776" s="16" t="s">
        <v>914</v>
      </c>
      <c r="Q776" s="16" t="s">
        <v>1166</v>
      </c>
      <c r="R776" s="16" t="s">
        <v>915</v>
      </c>
      <c r="S776" s="16" t="s">
        <v>915</v>
      </c>
      <c r="T776" s="16" t="s">
        <v>1167</v>
      </c>
      <c r="U776" s="16" t="s">
        <v>1168</v>
      </c>
      <c r="V776" s="16" t="s">
        <v>916</v>
      </c>
      <c r="W776" s="16" t="s">
        <v>1168</v>
      </c>
      <c r="X776" s="16" t="s">
        <v>934</v>
      </c>
      <c r="Y776" s="16" t="s">
        <v>934</v>
      </c>
      <c r="Z776" s="16" t="s">
        <v>935</v>
      </c>
      <c r="DA776" s="405" t="s">
        <v>5</v>
      </c>
      <c r="DB776" s="405" t="s">
        <v>363</v>
      </c>
      <c r="DC776" s="406" t="s">
        <v>85</v>
      </c>
      <c r="DD776" s="405" t="s">
        <v>917</v>
      </c>
      <c r="DE776" s="405" t="s">
        <v>5</v>
      </c>
      <c r="DF776" s="406" t="s">
        <v>85</v>
      </c>
      <c r="DG776" s="407">
        <v>45854</v>
      </c>
      <c r="DH776" s="405" t="s">
        <v>5436</v>
      </c>
      <c r="DI776" s="406">
        <v>465455</v>
      </c>
      <c r="DJ776" s="408">
        <v>5</v>
      </c>
      <c r="DK776" s="405">
        <v>1</v>
      </c>
      <c r="DL776" s="82">
        <v>468.28</v>
      </c>
      <c r="DM776" s="409">
        <v>2.3413999999999997</v>
      </c>
      <c r="DN776" s="82" t="s">
        <v>85</v>
      </c>
      <c r="DO776" s="82" t="s">
        <v>85</v>
      </c>
      <c r="DP776" s="410" t="s">
        <v>85</v>
      </c>
    </row>
    <row r="777" spans="1:120" x14ac:dyDescent="0.25">
      <c r="A777" s="16" t="s">
        <v>4961</v>
      </c>
      <c r="B777" s="16" t="s">
        <v>4962</v>
      </c>
      <c r="C777" s="16" t="s">
        <v>4963</v>
      </c>
      <c r="D777" s="16" t="s">
        <v>4964</v>
      </c>
      <c r="E777" s="16" t="s">
        <v>4965</v>
      </c>
      <c r="F777" s="16" t="s">
        <v>4966</v>
      </c>
      <c r="G777" s="16" t="s">
        <v>4967</v>
      </c>
      <c r="H777" s="16" t="s">
        <v>4966</v>
      </c>
      <c r="I777" s="16" t="s">
        <v>2839</v>
      </c>
      <c r="J777" s="16" t="s">
        <v>943</v>
      </c>
      <c r="K777" s="16" t="s">
        <v>2840</v>
      </c>
      <c r="L777" s="16" t="s">
        <v>85</v>
      </c>
      <c r="M777" s="16" t="s">
        <v>984</v>
      </c>
      <c r="N777" s="16" t="s">
        <v>914</v>
      </c>
      <c r="O777" s="16" t="s">
        <v>985</v>
      </c>
      <c r="P777" s="16" t="s">
        <v>914</v>
      </c>
      <c r="Q777" s="16" t="s">
        <v>985</v>
      </c>
      <c r="R777" s="16" t="s">
        <v>915</v>
      </c>
      <c r="S777" s="16" t="s">
        <v>915</v>
      </c>
      <c r="T777" s="16" t="s">
        <v>986</v>
      </c>
      <c r="U777" s="16" t="s">
        <v>987</v>
      </c>
      <c r="V777" s="16" t="s">
        <v>916</v>
      </c>
      <c r="W777" s="16" t="s">
        <v>987</v>
      </c>
      <c r="X777" s="16" t="s">
        <v>934</v>
      </c>
      <c r="Y777" s="16" t="s">
        <v>934</v>
      </c>
      <c r="Z777" s="16" t="s">
        <v>935</v>
      </c>
      <c r="DA777" s="405" t="s">
        <v>5</v>
      </c>
      <c r="DB777" s="405" t="s">
        <v>363</v>
      </c>
      <c r="DC777" s="406" t="s">
        <v>85</v>
      </c>
      <c r="DD777" s="405" t="s">
        <v>917</v>
      </c>
      <c r="DE777" s="405" t="s">
        <v>5</v>
      </c>
      <c r="DF777" s="406" t="s">
        <v>85</v>
      </c>
      <c r="DG777" s="407">
        <v>45855</v>
      </c>
      <c r="DH777" s="405" t="s">
        <v>4965</v>
      </c>
      <c r="DI777" s="406">
        <v>465455</v>
      </c>
      <c r="DJ777" s="408">
        <v>5</v>
      </c>
      <c r="DK777" s="405">
        <v>1</v>
      </c>
      <c r="DL777" s="82">
        <v>340.55</v>
      </c>
      <c r="DM777" s="409">
        <v>1.70275</v>
      </c>
      <c r="DN777" s="82" t="s">
        <v>85</v>
      </c>
      <c r="DO777" s="82" t="s">
        <v>85</v>
      </c>
      <c r="DP777" s="410" t="s">
        <v>85</v>
      </c>
    </row>
    <row r="778" spans="1:120" x14ac:dyDescent="0.25">
      <c r="A778" s="16" t="s">
        <v>4961</v>
      </c>
      <c r="B778" s="16" t="s">
        <v>4962</v>
      </c>
      <c r="C778" s="16" t="s">
        <v>4963</v>
      </c>
      <c r="D778" s="16" t="s">
        <v>4964</v>
      </c>
      <c r="E778" s="16" t="s">
        <v>4965</v>
      </c>
      <c r="F778" s="16" t="s">
        <v>4966</v>
      </c>
      <c r="G778" s="16" t="s">
        <v>4967</v>
      </c>
      <c r="H778" s="16" t="s">
        <v>4966</v>
      </c>
      <c r="I778" s="16" t="s">
        <v>2777</v>
      </c>
      <c r="J778" s="16" t="s">
        <v>943</v>
      </c>
      <c r="K778" s="16" t="s">
        <v>2778</v>
      </c>
      <c r="L778" s="16" t="s">
        <v>85</v>
      </c>
      <c r="M778" s="16" t="s">
        <v>984</v>
      </c>
      <c r="N778" s="16" t="s">
        <v>914</v>
      </c>
      <c r="O778" s="16" t="s">
        <v>985</v>
      </c>
      <c r="P778" s="16" t="s">
        <v>914</v>
      </c>
      <c r="Q778" s="16" t="s">
        <v>985</v>
      </c>
      <c r="R778" s="16" t="s">
        <v>915</v>
      </c>
      <c r="S778" s="16" t="s">
        <v>915</v>
      </c>
      <c r="T778" s="16" t="s">
        <v>986</v>
      </c>
      <c r="U778" s="16" t="s">
        <v>987</v>
      </c>
      <c r="V778" s="16" t="s">
        <v>916</v>
      </c>
      <c r="W778" s="16" t="s">
        <v>987</v>
      </c>
      <c r="X778" s="16" t="s">
        <v>934</v>
      </c>
      <c r="Y778" s="16" t="s">
        <v>934</v>
      </c>
      <c r="Z778" s="16" t="s">
        <v>935</v>
      </c>
      <c r="DA778" s="405" t="s">
        <v>5</v>
      </c>
      <c r="DB778" s="405" t="s">
        <v>363</v>
      </c>
      <c r="DC778" s="406" t="s">
        <v>85</v>
      </c>
      <c r="DD778" s="405" t="s">
        <v>917</v>
      </c>
      <c r="DE778" s="405" t="s">
        <v>5</v>
      </c>
      <c r="DF778" s="406" t="s">
        <v>85</v>
      </c>
      <c r="DG778" s="407">
        <v>45855</v>
      </c>
      <c r="DH778" s="405" t="s">
        <v>4965</v>
      </c>
      <c r="DI778" s="406">
        <v>465455</v>
      </c>
      <c r="DJ778" s="408">
        <v>5</v>
      </c>
      <c r="DK778" s="405">
        <v>1</v>
      </c>
      <c r="DL778" s="82">
        <v>340.55</v>
      </c>
      <c r="DM778" s="409">
        <v>1.70275</v>
      </c>
      <c r="DN778" s="82" t="s">
        <v>85</v>
      </c>
      <c r="DO778" s="82" t="s">
        <v>85</v>
      </c>
      <c r="DP778" s="410" t="s">
        <v>85</v>
      </c>
    </row>
    <row r="779" spans="1:120" x14ac:dyDescent="0.25">
      <c r="A779" s="16" t="s">
        <v>4968</v>
      </c>
      <c r="B779" s="16" t="s">
        <v>4969</v>
      </c>
      <c r="C779" s="16" t="s">
        <v>4970</v>
      </c>
      <c r="D779" s="16" t="s">
        <v>4964</v>
      </c>
      <c r="E779" s="16" t="s">
        <v>4971</v>
      </c>
      <c r="F779" s="16" t="s">
        <v>4972</v>
      </c>
      <c r="G779" s="16" t="s">
        <v>4973</v>
      </c>
      <c r="H779" s="16" t="s">
        <v>4974</v>
      </c>
      <c r="I779" s="16" t="s">
        <v>3041</v>
      </c>
      <c r="J779" s="16" t="s">
        <v>928</v>
      </c>
      <c r="K779" s="16" t="s">
        <v>3042</v>
      </c>
      <c r="L779" s="16" t="s">
        <v>85</v>
      </c>
      <c r="M779" s="16" t="s">
        <v>1322</v>
      </c>
      <c r="N779" s="16" t="s">
        <v>914</v>
      </c>
      <c r="O779" s="16" t="s">
        <v>1323</v>
      </c>
      <c r="P779" s="16" t="s">
        <v>914</v>
      </c>
      <c r="Q779" s="16" t="s">
        <v>1323</v>
      </c>
      <c r="R779" s="16" t="s">
        <v>915</v>
      </c>
      <c r="S779" s="16" t="s">
        <v>915</v>
      </c>
      <c r="T779" s="16" t="s">
        <v>1322</v>
      </c>
      <c r="U779" s="16" t="s">
        <v>1324</v>
      </c>
      <c r="V779" s="16" t="s">
        <v>916</v>
      </c>
      <c r="W779" s="16" t="s">
        <v>1324</v>
      </c>
      <c r="X779" s="16" t="s">
        <v>934</v>
      </c>
      <c r="Y779" s="16" t="s">
        <v>934</v>
      </c>
      <c r="Z779" s="16" t="s">
        <v>935</v>
      </c>
      <c r="DA779" s="405" t="s">
        <v>5</v>
      </c>
      <c r="DB779" s="405" t="s">
        <v>363</v>
      </c>
      <c r="DC779" s="406" t="s">
        <v>85</v>
      </c>
      <c r="DD779" s="405" t="s">
        <v>917</v>
      </c>
      <c r="DE779" s="405" t="s">
        <v>5</v>
      </c>
      <c r="DF779" s="406" t="s">
        <v>85</v>
      </c>
      <c r="DG779" s="407">
        <v>45855</v>
      </c>
      <c r="DH779" s="405" t="s">
        <v>4971</v>
      </c>
      <c r="DI779" s="406">
        <v>465455</v>
      </c>
      <c r="DJ779" s="408">
        <v>5</v>
      </c>
      <c r="DK779" s="405">
        <v>1</v>
      </c>
      <c r="DL779" s="82">
        <v>332.47</v>
      </c>
      <c r="DM779" s="409">
        <v>1.6623500000000002</v>
      </c>
      <c r="DN779" s="82" t="s">
        <v>85</v>
      </c>
      <c r="DO779" s="82" t="s">
        <v>85</v>
      </c>
      <c r="DP779" s="410" t="s">
        <v>85</v>
      </c>
    </row>
    <row r="780" spans="1:120" x14ac:dyDescent="0.25">
      <c r="A780" s="16" t="s">
        <v>4968</v>
      </c>
      <c r="B780" s="16" t="s">
        <v>4969</v>
      </c>
      <c r="C780" s="16" t="s">
        <v>4970</v>
      </c>
      <c r="D780" s="16" t="s">
        <v>4964</v>
      </c>
      <c r="E780" s="16" t="s">
        <v>4971</v>
      </c>
      <c r="F780" s="16" t="s">
        <v>4972</v>
      </c>
      <c r="G780" s="16" t="s">
        <v>4973</v>
      </c>
      <c r="H780" s="16" t="s">
        <v>4974</v>
      </c>
      <c r="I780" s="16" t="s">
        <v>4789</v>
      </c>
      <c r="J780" s="16" t="s">
        <v>928</v>
      </c>
      <c r="K780" s="16" t="s">
        <v>4790</v>
      </c>
      <c r="L780" s="16" t="s">
        <v>85</v>
      </c>
      <c r="M780" s="16" t="s">
        <v>1322</v>
      </c>
      <c r="N780" s="16" t="s">
        <v>914</v>
      </c>
      <c r="O780" s="16" t="s">
        <v>1323</v>
      </c>
      <c r="P780" s="16" t="s">
        <v>914</v>
      </c>
      <c r="Q780" s="16" t="s">
        <v>1323</v>
      </c>
      <c r="R780" s="16" t="s">
        <v>915</v>
      </c>
      <c r="S780" s="16" t="s">
        <v>915</v>
      </c>
      <c r="T780" s="16" t="s">
        <v>1322</v>
      </c>
      <c r="U780" s="16" t="s">
        <v>1324</v>
      </c>
      <c r="V780" s="16" t="s">
        <v>916</v>
      </c>
      <c r="W780" s="16" t="s">
        <v>1324</v>
      </c>
      <c r="X780" s="16" t="s">
        <v>934</v>
      </c>
      <c r="Y780" s="16" t="s">
        <v>934</v>
      </c>
      <c r="Z780" s="16" t="s">
        <v>935</v>
      </c>
      <c r="DA780" s="405" t="s">
        <v>5</v>
      </c>
      <c r="DB780" s="405" t="s">
        <v>363</v>
      </c>
      <c r="DC780" s="406" t="s">
        <v>85</v>
      </c>
      <c r="DD780" s="405" t="s">
        <v>917</v>
      </c>
      <c r="DE780" s="405" t="s">
        <v>5</v>
      </c>
      <c r="DF780" s="406" t="s">
        <v>85</v>
      </c>
      <c r="DG780" s="407">
        <v>45855</v>
      </c>
      <c r="DH780" s="405" t="s">
        <v>4971</v>
      </c>
      <c r="DI780" s="406">
        <v>465455</v>
      </c>
      <c r="DJ780" s="408">
        <v>5</v>
      </c>
      <c r="DK780" s="405">
        <v>1</v>
      </c>
      <c r="DL780" s="82">
        <v>332.47</v>
      </c>
      <c r="DM780" s="409">
        <v>1.6623500000000002</v>
      </c>
      <c r="DN780" s="82" t="s">
        <v>85</v>
      </c>
      <c r="DO780" s="82" t="s">
        <v>85</v>
      </c>
      <c r="DP780" s="410" t="s">
        <v>85</v>
      </c>
    </row>
    <row r="781" spans="1:120" x14ac:dyDescent="0.25">
      <c r="A781" s="16" t="s">
        <v>4968</v>
      </c>
      <c r="B781" s="16" t="s">
        <v>4969</v>
      </c>
      <c r="C781" s="16" t="s">
        <v>4970</v>
      </c>
      <c r="D781" s="16" t="s">
        <v>4964</v>
      </c>
      <c r="E781" s="16" t="s">
        <v>4971</v>
      </c>
      <c r="F781" s="16" t="s">
        <v>4972</v>
      </c>
      <c r="G781" s="16" t="s">
        <v>4973</v>
      </c>
      <c r="H781" s="16" t="s">
        <v>4974</v>
      </c>
      <c r="I781" s="16" t="s">
        <v>4975</v>
      </c>
      <c r="J781" s="16" t="s">
        <v>928</v>
      </c>
      <c r="K781" s="16" t="s">
        <v>4976</v>
      </c>
      <c r="L781" s="16" t="s">
        <v>85</v>
      </c>
      <c r="M781" s="16" t="s">
        <v>1322</v>
      </c>
      <c r="N781" s="16" t="s">
        <v>914</v>
      </c>
      <c r="O781" s="16" t="s">
        <v>1323</v>
      </c>
      <c r="P781" s="16" t="s">
        <v>914</v>
      </c>
      <c r="Q781" s="16" t="s">
        <v>1323</v>
      </c>
      <c r="R781" s="16" t="s">
        <v>915</v>
      </c>
      <c r="S781" s="16" t="s">
        <v>915</v>
      </c>
      <c r="T781" s="16" t="s">
        <v>1322</v>
      </c>
      <c r="U781" s="16" t="s">
        <v>1324</v>
      </c>
      <c r="V781" s="16" t="s">
        <v>916</v>
      </c>
      <c r="W781" s="16" t="s">
        <v>1324</v>
      </c>
      <c r="X781" s="16" t="s">
        <v>934</v>
      </c>
      <c r="Y781" s="16" t="s">
        <v>934</v>
      </c>
      <c r="Z781" s="16" t="s">
        <v>935</v>
      </c>
      <c r="DA781" s="405" t="s">
        <v>5</v>
      </c>
      <c r="DB781" s="405" t="s">
        <v>363</v>
      </c>
      <c r="DC781" s="406" t="s">
        <v>85</v>
      </c>
      <c r="DD781" s="405" t="s">
        <v>917</v>
      </c>
      <c r="DE781" s="405" t="s">
        <v>5</v>
      </c>
      <c r="DF781" s="406" t="s">
        <v>85</v>
      </c>
      <c r="DG781" s="407">
        <v>45855</v>
      </c>
      <c r="DH781" s="405" t="s">
        <v>4971</v>
      </c>
      <c r="DI781" s="406">
        <v>465455</v>
      </c>
      <c r="DJ781" s="408">
        <v>5</v>
      </c>
      <c r="DK781" s="405">
        <v>1</v>
      </c>
      <c r="DL781" s="82">
        <v>332.47</v>
      </c>
      <c r="DM781" s="409">
        <v>1.6623500000000002</v>
      </c>
      <c r="DN781" s="82" t="s">
        <v>85</v>
      </c>
      <c r="DO781" s="82" t="s">
        <v>85</v>
      </c>
      <c r="DP781" s="410" t="s">
        <v>85</v>
      </c>
    </row>
    <row r="782" spans="1:120" x14ac:dyDescent="0.25">
      <c r="A782" s="16" t="s">
        <v>4968</v>
      </c>
      <c r="B782" s="16" t="s">
        <v>4969</v>
      </c>
      <c r="C782" s="16" t="s">
        <v>4970</v>
      </c>
      <c r="D782" s="16" t="s">
        <v>4964</v>
      </c>
      <c r="E782" s="16" t="s">
        <v>4971</v>
      </c>
      <c r="F782" s="16" t="s">
        <v>4972</v>
      </c>
      <c r="G782" s="16" t="s">
        <v>4973</v>
      </c>
      <c r="H782" s="16" t="s">
        <v>4974</v>
      </c>
      <c r="I782" s="16" t="s">
        <v>1880</v>
      </c>
      <c r="J782" s="16" t="s">
        <v>928</v>
      </c>
      <c r="K782" s="16" t="s">
        <v>1881</v>
      </c>
      <c r="L782" s="16" t="s">
        <v>85</v>
      </c>
      <c r="M782" s="16" t="s">
        <v>1322</v>
      </c>
      <c r="N782" s="16" t="s">
        <v>914</v>
      </c>
      <c r="O782" s="16" t="s">
        <v>1323</v>
      </c>
      <c r="P782" s="16" t="s">
        <v>914</v>
      </c>
      <c r="Q782" s="16" t="s">
        <v>1323</v>
      </c>
      <c r="R782" s="16" t="s">
        <v>915</v>
      </c>
      <c r="S782" s="16" t="s">
        <v>915</v>
      </c>
      <c r="T782" s="16" t="s">
        <v>1322</v>
      </c>
      <c r="U782" s="16" t="s">
        <v>1324</v>
      </c>
      <c r="V782" s="16" t="s">
        <v>916</v>
      </c>
      <c r="W782" s="16" t="s">
        <v>1324</v>
      </c>
      <c r="X782" s="16" t="s">
        <v>934</v>
      </c>
      <c r="Y782" s="16" t="s">
        <v>934</v>
      </c>
      <c r="Z782" s="16" t="s">
        <v>935</v>
      </c>
      <c r="DA782" s="405" t="s">
        <v>5</v>
      </c>
      <c r="DB782" s="405" t="s">
        <v>363</v>
      </c>
      <c r="DC782" s="406" t="s">
        <v>85</v>
      </c>
      <c r="DD782" s="405" t="s">
        <v>917</v>
      </c>
      <c r="DE782" s="405" t="s">
        <v>5</v>
      </c>
      <c r="DF782" s="406" t="s">
        <v>85</v>
      </c>
      <c r="DG782" s="407">
        <v>45855</v>
      </c>
      <c r="DH782" s="405" t="s">
        <v>4971</v>
      </c>
      <c r="DI782" s="406">
        <v>465455</v>
      </c>
      <c r="DJ782" s="408">
        <v>5</v>
      </c>
      <c r="DK782" s="405">
        <v>1</v>
      </c>
      <c r="DL782" s="82">
        <v>332.47</v>
      </c>
      <c r="DM782" s="409">
        <v>1.6623500000000002</v>
      </c>
      <c r="DN782" s="82" t="s">
        <v>85</v>
      </c>
      <c r="DO782" s="82" t="s">
        <v>85</v>
      </c>
      <c r="DP782" s="410" t="s">
        <v>85</v>
      </c>
    </row>
    <row r="783" spans="1:120" x14ac:dyDescent="0.25">
      <c r="A783" s="16" t="s">
        <v>4977</v>
      </c>
      <c r="B783" s="16" t="s">
        <v>4978</v>
      </c>
      <c r="C783" s="16" t="s">
        <v>4979</v>
      </c>
      <c r="D783" s="16" t="s">
        <v>4964</v>
      </c>
      <c r="E783" s="16" t="s">
        <v>4980</v>
      </c>
      <c r="F783" s="16" t="s">
        <v>4981</v>
      </c>
      <c r="G783" s="16" t="s">
        <v>4982</v>
      </c>
      <c r="H783" s="16" t="s">
        <v>4983</v>
      </c>
      <c r="I783" s="16" t="s">
        <v>1189</v>
      </c>
      <c r="J783" s="16" t="s">
        <v>928</v>
      </c>
      <c r="K783" s="16" t="s">
        <v>1190</v>
      </c>
      <c r="L783" s="16" t="s">
        <v>85</v>
      </c>
      <c r="M783" s="16" t="s">
        <v>1322</v>
      </c>
      <c r="N783" s="16" t="s">
        <v>914</v>
      </c>
      <c r="O783" s="16" t="s">
        <v>1323</v>
      </c>
      <c r="P783" s="16" t="s">
        <v>914</v>
      </c>
      <c r="Q783" s="16" t="s">
        <v>1323</v>
      </c>
      <c r="R783" s="16" t="s">
        <v>915</v>
      </c>
      <c r="S783" s="16" t="s">
        <v>915</v>
      </c>
      <c r="T783" s="16" t="s">
        <v>1322</v>
      </c>
      <c r="U783" s="16" t="s">
        <v>1324</v>
      </c>
      <c r="V783" s="16" t="s">
        <v>916</v>
      </c>
      <c r="W783" s="16" t="s">
        <v>1324</v>
      </c>
      <c r="X783" s="16" t="s">
        <v>934</v>
      </c>
      <c r="Y783" s="16" t="s">
        <v>934</v>
      </c>
      <c r="Z783" s="16" t="s">
        <v>935</v>
      </c>
      <c r="DA783" s="405" t="s">
        <v>5</v>
      </c>
      <c r="DB783" s="405" t="s">
        <v>363</v>
      </c>
      <c r="DC783" s="406" t="s">
        <v>85</v>
      </c>
      <c r="DD783" s="405" t="s">
        <v>917</v>
      </c>
      <c r="DE783" s="405" t="s">
        <v>5</v>
      </c>
      <c r="DF783" s="406" t="s">
        <v>85</v>
      </c>
      <c r="DG783" s="407">
        <v>45855</v>
      </c>
      <c r="DH783" s="405" t="s">
        <v>4980</v>
      </c>
      <c r="DI783" s="406">
        <v>465455</v>
      </c>
      <c r="DJ783" s="408">
        <v>5</v>
      </c>
      <c r="DK783" s="405">
        <v>1</v>
      </c>
      <c r="DL783" s="82">
        <v>332.47</v>
      </c>
      <c r="DM783" s="409">
        <v>1.6623500000000002</v>
      </c>
      <c r="DN783" s="82" t="s">
        <v>85</v>
      </c>
      <c r="DO783" s="82" t="s">
        <v>85</v>
      </c>
      <c r="DP783" s="410" t="s">
        <v>85</v>
      </c>
    </row>
    <row r="784" spans="1:120" x14ac:dyDescent="0.25">
      <c r="A784" s="16" t="s">
        <v>4977</v>
      </c>
      <c r="B784" s="16" t="s">
        <v>4978</v>
      </c>
      <c r="C784" s="16" t="s">
        <v>4979</v>
      </c>
      <c r="D784" s="16" t="s">
        <v>4964</v>
      </c>
      <c r="E784" s="16" t="s">
        <v>4980</v>
      </c>
      <c r="F784" s="16" t="s">
        <v>4981</v>
      </c>
      <c r="G784" s="16" t="s">
        <v>4982</v>
      </c>
      <c r="H784" s="16" t="s">
        <v>4983</v>
      </c>
      <c r="I784" s="16" t="s">
        <v>1301</v>
      </c>
      <c r="J784" s="16" t="s">
        <v>928</v>
      </c>
      <c r="K784" s="16" t="s">
        <v>1302</v>
      </c>
      <c r="L784" s="16" t="s">
        <v>85</v>
      </c>
      <c r="M784" s="16" t="s">
        <v>1322</v>
      </c>
      <c r="N784" s="16" t="s">
        <v>914</v>
      </c>
      <c r="O784" s="16" t="s">
        <v>1323</v>
      </c>
      <c r="P784" s="16" t="s">
        <v>914</v>
      </c>
      <c r="Q784" s="16" t="s">
        <v>1323</v>
      </c>
      <c r="R784" s="16" t="s">
        <v>915</v>
      </c>
      <c r="S784" s="16" t="s">
        <v>915</v>
      </c>
      <c r="T784" s="16" t="s">
        <v>1322</v>
      </c>
      <c r="U784" s="16" t="s">
        <v>1324</v>
      </c>
      <c r="V784" s="16" t="s">
        <v>916</v>
      </c>
      <c r="W784" s="16" t="s">
        <v>1324</v>
      </c>
      <c r="X784" s="16" t="s">
        <v>934</v>
      </c>
      <c r="Y784" s="16" t="s">
        <v>934</v>
      </c>
      <c r="Z784" s="16" t="s">
        <v>935</v>
      </c>
      <c r="DA784" s="405" t="s">
        <v>5</v>
      </c>
      <c r="DB784" s="405" t="s">
        <v>363</v>
      </c>
      <c r="DC784" s="406" t="s">
        <v>85</v>
      </c>
      <c r="DD784" s="405" t="s">
        <v>917</v>
      </c>
      <c r="DE784" s="405" t="s">
        <v>5</v>
      </c>
      <c r="DF784" s="406" t="s">
        <v>85</v>
      </c>
      <c r="DG784" s="407">
        <v>45855</v>
      </c>
      <c r="DH784" s="405" t="s">
        <v>4980</v>
      </c>
      <c r="DI784" s="406">
        <v>465455</v>
      </c>
      <c r="DJ784" s="408">
        <v>5</v>
      </c>
      <c r="DK784" s="405">
        <v>1</v>
      </c>
      <c r="DL784" s="82">
        <v>332.47</v>
      </c>
      <c r="DM784" s="409">
        <v>1.6623500000000002</v>
      </c>
      <c r="DN784" s="82" t="s">
        <v>85</v>
      </c>
      <c r="DO784" s="82" t="s">
        <v>85</v>
      </c>
      <c r="DP784" s="410" t="s">
        <v>85</v>
      </c>
    </row>
    <row r="785" spans="1:120" x14ac:dyDescent="0.25">
      <c r="A785" s="16" t="s">
        <v>4984</v>
      </c>
      <c r="B785" s="16" t="s">
        <v>4985</v>
      </c>
      <c r="C785" s="16" t="s">
        <v>4986</v>
      </c>
      <c r="D785" s="16" t="s">
        <v>4964</v>
      </c>
      <c r="E785" s="16" t="s">
        <v>4987</v>
      </c>
      <c r="F785" s="16" t="s">
        <v>4988</v>
      </c>
      <c r="G785" s="16" t="s">
        <v>4989</v>
      </c>
      <c r="H785" s="16" t="s">
        <v>4988</v>
      </c>
      <c r="I785" s="16" t="s">
        <v>4789</v>
      </c>
      <c r="J785" s="16" t="s">
        <v>928</v>
      </c>
      <c r="K785" s="16" t="s">
        <v>4790</v>
      </c>
      <c r="L785" s="16" t="s">
        <v>85</v>
      </c>
      <c r="M785" s="16" t="s">
        <v>1322</v>
      </c>
      <c r="N785" s="16" t="s">
        <v>914</v>
      </c>
      <c r="O785" s="16" t="s">
        <v>1323</v>
      </c>
      <c r="P785" s="16" t="s">
        <v>914</v>
      </c>
      <c r="Q785" s="16" t="s">
        <v>1323</v>
      </c>
      <c r="R785" s="16" t="s">
        <v>915</v>
      </c>
      <c r="S785" s="16" t="s">
        <v>915</v>
      </c>
      <c r="T785" s="16" t="s">
        <v>1322</v>
      </c>
      <c r="U785" s="16" t="s">
        <v>1324</v>
      </c>
      <c r="V785" s="16" t="s">
        <v>916</v>
      </c>
      <c r="W785" s="16" t="s">
        <v>1324</v>
      </c>
      <c r="X785" s="16" t="s">
        <v>934</v>
      </c>
      <c r="Y785" s="16" t="s">
        <v>934</v>
      </c>
      <c r="Z785" s="16" t="s">
        <v>935</v>
      </c>
      <c r="DA785" s="405" t="s">
        <v>5</v>
      </c>
      <c r="DB785" s="405" t="s">
        <v>363</v>
      </c>
      <c r="DC785" s="406" t="s">
        <v>85</v>
      </c>
      <c r="DD785" s="405" t="s">
        <v>917</v>
      </c>
      <c r="DE785" s="405" t="s">
        <v>5</v>
      </c>
      <c r="DF785" s="406" t="s">
        <v>85</v>
      </c>
      <c r="DG785" s="407">
        <v>45855</v>
      </c>
      <c r="DH785" s="405" t="s">
        <v>4987</v>
      </c>
      <c r="DI785" s="406">
        <v>465455</v>
      </c>
      <c r="DJ785" s="408">
        <v>5</v>
      </c>
      <c r="DK785" s="405">
        <v>1</v>
      </c>
      <c r="DL785" s="82">
        <v>332.47</v>
      </c>
      <c r="DM785" s="409">
        <v>1.6623500000000002</v>
      </c>
      <c r="DN785" s="82" t="s">
        <v>85</v>
      </c>
      <c r="DO785" s="82" t="s">
        <v>85</v>
      </c>
      <c r="DP785" s="410" t="s">
        <v>85</v>
      </c>
    </row>
    <row r="786" spans="1:120" x14ac:dyDescent="0.25">
      <c r="A786" s="16" t="s">
        <v>4984</v>
      </c>
      <c r="B786" s="16" t="s">
        <v>4985</v>
      </c>
      <c r="C786" s="16" t="s">
        <v>4986</v>
      </c>
      <c r="D786" s="16" t="s">
        <v>4964</v>
      </c>
      <c r="E786" s="16" t="s">
        <v>4987</v>
      </c>
      <c r="F786" s="16" t="s">
        <v>4988</v>
      </c>
      <c r="G786" s="16" t="s">
        <v>4989</v>
      </c>
      <c r="H786" s="16" t="s">
        <v>4988</v>
      </c>
      <c r="I786" s="16" t="s">
        <v>1880</v>
      </c>
      <c r="J786" s="16" t="s">
        <v>928</v>
      </c>
      <c r="K786" s="16" t="s">
        <v>1881</v>
      </c>
      <c r="L786" s="16" t="s">
        <v>85</v>
      </c>
      <c r="M786" s="16" t="s">
        <v>1322</v>
      </c>
      <c r="N786" s="16" t="s">
        <v>914</v>
      </c>
      <c r="O786" s="16" t="s">
        <v>1323</v>
      </c>
      <c r="P786" s="16" t="s">
        <v>914</v>
      </c>
      <c r="Q786" s="16" t="s">
        <v>1323</v>
      </c>
      <c r="R786" s="16" t="s">
        <v>915</v>
      </c>
      <c r="S786" s="16" t="s">
        <v>915</v>
      </c>
      <c r="T786" s="16" t="s">
        <v>1322</v>
      </c>
      <c r="U786" s="16" t="s">
        <v>1324</v>
      </c>
      <c r="V786" s="16" t="s">
        <v>916</v>
      </c>
      <c r="W786" s="16" t="s">
        <v>1324</v>
      </c>
      <c r="X786" s="16" t="s">
        <v>934</v>
      </c>
      <c r="Y786" s="16" t="s">
        <v>934</v>
      </c>
      <c r="Z786" s="16" t="s">
        <v>935</v>
      </c>
      <c r="DA786" s="405" t="s">
        <v>5</v>
      </c>
      <c r="DB786" s="405" t="s">
        <v>363</v>
      </c>
      <c r="DC786" s="406" t="s">
        <v>85</v>
      </c>
      <c r="DD786" s="405" t="s">
        <v>917</v>
      </c>
      <c r="DE786" s="405" t="s">
        <v>5</v>
      </c>
      <c r="DF786" s="406" t="s">
        <v>85</v>
      </c>
      <c r="DG786" s="407">
        <v>45855</v>
      </c>
      <c r="DH786" s="405" t="s">
        <v>4987</v>
      </c>
      <c r="DI786" s="406">
        <v>465455</v>
      </c>
      <c r="DJ786" s="408">
        <v>5</v>
      </c>
      <c r="DK786" s="405">
        <v>1</v>
      </c>
      <c r="DL786" s="82">
        <v>332.47</v>
      </c>
      <c r="DM786" s="409">
        <v>1.6623500000000002</v>
      </c>
      <c r="DN786" s="82" t="s">
        <v>85</v>
      </c>
      <c r="DO786" s="82" t="s">
        <v>85</v>
      </c>
      <c r="DP786" s="410" t="s">
        <v>85</v>
      </c>
    </row>
    <row r="787" spans="1:120" x14ac:dyDescent="0.25">
      <c r="A787" s="16" t="s">
        <v>4990</v>
      </c>
      <c r="B787" s="16" t="s">
        <v>4991</v>
      </c>
      <c r="C787" s="16" t="s">
        <v>4992</v>
      </c>
      <c r="D787" s="16" t="s">
        <v>4964</v>
      </c>
      <c r="E787" s="16" t="s">
        <v>4993</v>
      </c>
      <c r="F787" s="16" t="s">
        <v>4994</v>
      </c>
      <c r="G787" s="16" t="s">
        <v>4995</v>
      </c>
      <c r="H787" s="16" t="s">
        <v>4994</v>
      </c>
      <c r="I787" s="16" t="s">
        <v>2876</v>
      </c>
      <c r="J787" s="16" t="s">
        <v>995</v>
      </c>
      <c r="K787" s="16" t="s">
        <v>2877</v>
      </c>
      <c r="L787" s="16" t="s">
        <v>85</v>
      </c>
      <c r="M787" s="16" t="s">
        <v>1165</v>
      </c>
      <c r="N787" s="16" t="s">
        <v>914</v>
      </c>
      <c r="O787" s="16" t="s">
        <v>1166</v>
      </c>
      <c r="P787" s="16" t="s">
        <v>914</v>
      </c>
      <c r="Q787" s="16" t="s">
        <v>1166</v>
      </c>
      <c r="R787" s="16" t="s">
        <v>915</v>
      </c>
      <c r="S787" s="16" t="s">
        <v>915</v>
      </c>
      <c r="T787" s="16" t="s">
        <v>1167</v>
      </c>
      <c r="U787" s="16" t="s">
        <v>1168</v>
      </c>
      <c r="V787" s="16" t="s">
        <v>916</v>
      </c>
      <c r="W787" s="16" t="s">
        <v>1168</v>
      </c>
      <c r="X787" s="16" t="s">
        <v>934</v>
      </c>
      <c r="Y787" s="16" t="s">
        <v>934</v>
      </c>
      <c r="Z787" s="16" t="s">
        <v>935</v>
      </c>
      <c r="DA787" s="405" t="s">
        <v>5</v>
      </c>
      <c r="DB787" s="405" t="s">
        <v>363</v>
      </c>
      <c r="DC787" s="406" t="s">
        <v>85</v>
      </c>
      <c r="DD787" s="405" t="s">
        <v>917</v>
      </c>
      <c r="DE787" s="405" t="s">
        <v>5</v>
      </c>
      <c r="DF787" s="406" t="s">
        <v>85</v>
      </c>
      <c r="DG787" s="407">
        <v>45855</v>
      </c>
      <c r="DH787" s="405" t="s">
        <v>4993</v>
      </c>
      <c r="DI787" s="406">
        <v>465455</v>
      </c>
      <c r="DJ787" s="408">
        <v>5</v>
      </c>
      <c r="DK787" s="405">
        <v>1</v>
      </c>
      <c r="DL787" s="82">
        <v>468.28</v>
      </c>
      <c r="DM787" s="409">
        <v>2.3413999999999997</v>
      </c>
      <c r="DN787" s="82" t="s">
        <v>85</v>
      </c>
      <c r="DO787" s="82" t="s">
        <v>85</v>
      </c>
      <c r="DP787" s="410" t="s">
        <v>85</v>
      </c>
    </row>
    <row r="788" spans="1:120" x14ac:dyDescent="0.25">
      <c r="A788" s="16" t="s">
        <v>4996</v>
      </c>
      <c r="B788" s="16" t="s">
        <v>4997</v>
      </c>
      <c r="C788" s="16" t="s">
        <v>4998</v>
      </c>
      <c r="D788" s="16" t="s">
        <v>4964</v>
      </c>
      <c r="E788" s="16" t="s">
        <v>4999</v>
      </c>
      <c r="F788" s="16" t="s">
        <v>5000</v>
      </c>
      <c r="G788" s="16" t="s">
        <v>5001</v>
      </c>
      <c r="H788" s="16" t="s">
        <v>5002</v>
      </c>
      <c r="I788" s="16" t="s">
        <v>1163</v>
      </c>
      <c r="J788" s="16" t="s">
        <v>995</v>
      </c>
      <c r="K788" s="16" t="s">
        <v>1164</v>
      </c>
      <c r="L788" s="16" t="s">
        <v>85</v>
      </c>
      <c r="M788" s="16" t="s">
        <v>1165</v>
      </c>
      <c r="N788" s="16" t="s">
        <v>914</v>
      </c>
      <c r="O788" s="16" t="s">
        <v>1166</v>
      </c>
      <c r="P788" s="16" t="s">
        <v>914</v>
      </c>
      <c r="Q788" s="16" t="s">
        <v>1166</v>
      </c>
      <c r="R788" s="16" t="s">
        <v>915</v>
      </c>
      <c r="S788" s="16" t="s">
        <v>915</v>
      </c>
      <c r="T788" s="16" t="s">
        <v>1167</v>
      </c>
      <c r="U788" s="16" t="s">
        <v>1168</v>
      </c>
      <c r="V788" s="16" t="s">
        <v>916</v>
      </c>
      <c r="W788" s="16" t="s">
        <v>1168</v>
      </c>
      <c r="X788" s="16" t="s">
        <v>934</v>
      </c>
      <c r="Y788" s="16" t="s">
        <v>934</v>
      </c>
      <c r="Z788" s="16" t="s">
        <v>935</v>
      </c>
      <c r="DA788" s="405" t="s">
        <v>5</v>
      </c>
      <c r="DB788" s="405" t="s">
        <v>363</v>
      </c>
      <c r="DC788" s="406" t="s">
        <v>85</v>
      </c>
      <c r="DD788" s="405" t="s">
        <v>917</v>
      </c>
      <c r="DE788" s="405" t="s">
        <v>5</v>
      </c>
      <c r="DF788" s="406" t="s">
        <v>85</v>
      </c>
      <c r="DG788" s="407">
        <v>45855</v>
      </c>
      <c r="DH788" s="405" t="s">
        <v>4999</v>
      </c>
      <c r="DI788" s="406">
        <v>465455</v>
      </c>
      <c r="DJ788" s="408">
        <v>5</v>
      </c>
      <c r="DK788" s="405">
        <v>1</v>
      </c>
      <c r="DL788" s="82">
        <v>468.28</v>
      </c>
      <c r="DM788" s="409">
        <v>2.3413999999999997</v>
      </c>
      <c r="DN788" s="82" t="s">
        <v>85</v>
      </c>
      <c r="DO788" s="82" t="s">
        <v>85</v>
      </c>
      <c r="DP788" s="410" t="s">
        <v>85</v>
      </c>
    </row>
    <row r="789" spans="1:120" x14ac:dyDescent="0.25">
      <c r="A789" s="16" t="s">
        <v>5003</v>
      </c>
      <c r="B789" s="16" t="s">
        <v>5004</v>
      </c>
      <c r="C789" s="16" t="s">
        <v>5005</v>
      </c>
      <c r="D789" s="16" t="s">
        <v>4964</v>
      </c>
      <c r="E789" s="16" t="s">
        <v>5006</v>
      </c>
      <c r="F789" s="16" t="s">
        <v>5007</v>
      </c>
      <c r="G789" s="16" t="s">
        <v>5008</v>
      </c>
      <c r="H789" s="16" t="s">
        <v>5007</v>
      </c>
      <c r="I789" s="16" t="s">
        <v>5009</v>
      </c>
      <c r="J789" s="16" t="s">
        <v>928</v>
      </c>
      <c r="K789" s="16" t="s">
        <v>5010</v>
      </c>
      <c r="L789" s="16" t="s">
        <v>85</v>
      </c>
      <c r="M789" s="16" t="s">
        <v>1322</v>
      </c>
      <c r="N789" s="16" t="s">
        <v>914</v>
      </c>
      <c r="O789" s="16" t="s">
        <v>1323</v>
      </c>
      <c r="P789" s="16" t="s">
        <v>914</v>
      </c>
      <c r="Q789" s="16" t="s">
        <v>1323</v>
      </c>
      <c r="R789" s="16" t="s">
        <v>915</v>
      </c>
      <c r="S789" s="16" t="s">
        <v>915</v>
      </c>
      <c r="T789" s="16" t="s">
        <v>1322</v>
      </c>
      <c r="U789" s="16" t="s">
        <v>1324</v>
      </c>
      <c r="V789" s="16" t="s">
        <v>916</v>
      </c>
      <c r="W789" s="16" t="s">
        <v>1324</v>
      </c>
      <c r="X789" s="16" t="s">
        <v>934</v>
      </c>
      <c r="Y789" s="16" t="s">
        <v>934</v>
      </c>
      <c r="Z789" s="16" t="s">
        <v>935</v>
      </c>
      <c r="DA789" s="405" t="s">
        <v>5</v>
      </c>
      <c r="DB789" s="405" t="s">
        <v>363</v>
      </c>
      <c r="DC789" s="406" t="s">
        <v>85</v>
      </c>
      <c r="DD789" s="405" t="s">
        <v>917</v>
      </c>
      <c r="DE789" s="405" t="s">
        <v>5</v>
      </c>
      <c r="DF789" s="406" t="s">
        <v>85</v>
      </c>
      <c r="DG789" s="407">
        <v>45855</v>
      </c>
      <c r="DH789" s="405" t="s">
        <v>5006</v>
      </c>
      <c r="DI789" s="406">
        <v>465455</v>
      </c>
      <c r="DJ789" s="408">
        <v>5</v>
      </c>
      <c r="DK789" s="405">
        <v>1</v>
      </c>
      <c r="DL789" s="82">
        <v>332.47</v>
      </c>
      <c r="DM789" s="409">
        <v>1.6623500000000002</v>
      </c>
      <c r="DN789" s="82" t="s">
        <v>85</v>
      </c>
      <c r="DO789" s="82" t="s">
        <v>85</v>
      </c>
      <c r="DP789" s="410" t="s">
        <v>85</v>
      </c>
    </row>
    <row r="790" spans="1:120" x14ac:dyDescent="0.25">
      <c r="A790" s="16" t="s">
        <v>5011</v>
      </c>
      <c r="B790" s="16" t="s">
        <v>5012</v>
      </c>
      <c r="C790" s="16" t="s">
        <v>5013</v>
      </c>
      <c r="D790" s="16" t="s">
        <v>4964</v>
      </c>
      <c r="E790" s="16" t="s">
        <v>5014</v>
      </c>
      <c r="F790" s="16" t="s">
        <v>5015</v>
      </c>
      <c r="G790" s="16" t="s">
        <v>5016</v>
      </c>
      <c r="H790" s="16" t="s">
        <v>5017</v>
      </c>
      <c r="I790" s="16" t="s">
        <v>1122</v>
      </c>
      <c r="J790" s="16" t="s">
        <v>1123</v>
      </c>
      <c r="K790" s="16" t="s">
        <v>1124</v>
      </c>
      <c r="L790" s="16" t="s">
        <v>85</v>
      </c>
      <c r="M790" s="16" t="s">
        <v>1238</v>
      </c>
      <c r="N790" s="16" t="s">
        <v>914</v>
      </c>
      <c r="O790" s="16" t="s">
        <v>1239</v>
      </c>
      <c r="P790" s="16" t="s">
        <v>914</v>
      </c>
      <c r="Q790" s="16" t="s">
        <v>1239</v>
      </c>
      <c r="R790" s="16" t="s">
        <v>915</v>
      </c>
      <c r="S790" s="16" t="s">
        <v>915</v>
      </c>
      <c r="T790" s="16" t="s">
        <v>1238</v>
      </c>
      <c r="U790" s="16" t="s">
        <v>1240</v>
      </c>
      <c r="V790" s="16" t="s">
        <v>916</v>
      </c>
      <c r="W790" s="16" t="s">
        <v>1240</v>
      </c>
      <c r="X790" s="16" t="s">
        <v>934</v>
      </c>
      <c r="Y790" s="16" t="s">
        <v>934</v>
      </c>
      <c r="Z790" s="16" t="s">
        <v>935</v>
      </c>
      <c r="DA790" s="405" t="s">
        <v>5</v>
      </c>
      <c r="DB790" s="405" t="s">
        <v>363</v>
      </c>
      <c r="DC790" s="406" t="s">
        <v>85</v>
      </c>
      <c r="DD790" s="405" t="s">
        <v>917</v>
      </c>
      <c r="DE790" s="405" t="s">
        <v>5</v>
      </c>
      <c r="DF790" s="406" t="s">
        <v>85</v>
      </c>
      <c r="DG790" s="407">
        <v>45855</v>
      </c>
      <c r="DH790" s="405" t="s">
        <v>5014</v>
      </c>
      <c r="DI790" s="406">
        <v>465455</v>
      </c>
      <c r="DJ790" s="408">
        <v>5</v>
      </c>
      <c r="DK790" s="405">
        <v>1</v>
      </c>
      <c r="DL790" s="82">
        <v>383.16</v>
      </c>
      <c r="DM790" s="409">
        <v>1.9158000000000002</v>
      </c>
      <c r="DN790" s="82" t="s">
        <v>85</v>
      </c>
      <c r="DO790" s="82" t="s">
        <v>85</v>
      </c>
      <c r="DP790" s="410" t="s">
        <v>85</v>
      </c>
    </row>
    <row r="791" spans="1:120" x14ac:dyDescent="0.25">
      <c r="A791" s="16" t="s">
        <v>5018</v>
      </c>
      <c r="B791" s="16" t="s">
        <v>5019</v>
      </c>
      <c r="C791" s="16" t="s">
        <v>5020</v>
      </c>
      <c r="D791" s="16" t="s">
        <v>4964</v>
      </c>
      <c r="E791" s="16" t="s">
        <v>5021</v>
      </c>
      <c r="F791" s="16" t="s">
        <v>5022</v>
      </c>
      <c r="G791" s="16" t="s">
        <v>5023</v>
      </c>
      <c r="H791" s="16" t="s">
        <v>5024</v>
      </c>
      <c r="I791" s="16" t="s">
        <v>2425</v>
      </c>
      <c r="J791" s="16" t="s">
        <v>928</v>
      </c>
      <c r="K791" s="16" t="s">
        <v>2426</v>
      </c>
      <c r="L791" s="16" t="s">
        <v>85</v>
      </c>
      <c r="M791" s="16" t="s">
        <v>1322</v>
      </c>
      <c r="N791" s="16" t="s">
        <v>914</v>
      </c>
      <c r="O791" s="16" t="s">
        <v>1323</v>
      </c>
      <c r="P791" s="16" t="s">
        <v>914</v>
      </c>
      <c r="Q791" s="16" t="s">
        <v>1323</v>
      </c>
      <c r="R791" s="16" t="s">
        <v>915</v>
      </c>
      <c r="S791" s="16" t="s">
        <v>915</v>
      </c>
      <c r="T791" s="16" t="s">
        <v>1322</v>
      </c>
      <c r="U791" s="16" t="s">
        <v>1324</v>
      </c>
      <c r="V791" s="16" t="s">
        <v>916</v>
      </c>
      <c r="W791" s="16" t="s">
        <v>1324</v>
      </c>
      <c r="X791" s="16" t="s">
        <v>934</v>
      </c>
      <c r="Y791" s="16" t="s">
        <v>934</v>
      </c>
      <c r="Z791" s="16" t="s">
        <v>935</v>
      </c>
      <c r="DA791" s="405" t="s">
        <v>5</v>
      </c>
      <c r="DB791" s="405" t="s">
        <v>363</v>
      </c>
      <c r="DC791" s="406" t="s">
        <v>85</v>
      </c>
      <c r="DD791" s="405" t="s">
        <v>917</v>
      </c>
      <c r="DE791" s="405" t="s">
        <v>5</v>
      </c>
      <c r="DF791" s="406" t="s">
        <v>85</v>
      </c>
      <c r="DG791" s="407">
        <v>45855</v>
      </c>
      <c r="DH791" s="405" t="s">
        <v>5021</v>
      </c>
      <c r="DI791" s="406">
        <v>465455</v>
      </c>
      <c r="DJ791" s="408">
        <v>5</v>
      </c>
      <c r="DK791" s="405">
        <v>1</v>
      </c>
      <c r="DL791" s="82">
        <v>332.47</v>
      </c>
      <c r="DM791" s="409">
        <v>1.6623500000000002</v>
      </c>
      <c r="DN791" s="82" t="s">
        <v>85</v>
      </c>
      <c r="DO791" s="82" t="s">
        <v>85</v>
      </c>
      <c r="DP791" s="410" t="s">
        <v>85</v>
      </c>
    </row>
    <row r="792" spans="1:120" x14ac:dyDescent="0.25">
      <c r="A792" s="16" t="s">
        <v>5025</v>
      </c>
      <c r="B792" s="16" t="s">
        <v>5026</v>
      </c>
      <c r="C792" s="16" t="s">
        <v>5027</v>
      </c>
      <c r="D792" s="16" t="s">
        <v>4964</v>
      </c>
      <c r="E792" s="16" t="s">
        <v>5028</v>
      </c>
      <c r="F792" s="16" t="s">
        <v>5029</v>
      </c>
      <c r="G792" s="16" t="s">
        <v>5030</v>
      </c>
      <c r="H792" s="16" t="s">
        <v>5029</v>
      </c>
      <c r="I792" s="16" t="s">
        <v>2661</v>
      </c>
      <c r="J792" s="16" t="s">
        <v>943</v>
      </c>
      <c r="K792" s="16" t="s">
        <v>2662</v>
      </c>
      <c r="L792" s="16" t="s">
        <v>85</v>
      </c>
      <c r="M792" s="16" t="s">
        <v>984</v>
      </c>
      <c r="N792" s="16" t="s">
        <v>914</v>
      </c>
      <c r="O792" s="16" t="s">
        <v>985</v>
      </c>
      <c r="P792" s="16" t="s">
        <v>914</v>
      </c>
      <c r="Q792" s="16" t="s">
        <v>985</v>
      </c>
      <c r="R792" s="16" t="s">
        <v>915</v>
      </c>
      <c r="S792" s="16" t="s">
        <v>915</v>
      </c>
      <c r="T792" s="16" t="s">
        <v>986</v>
      </c>
      <c r="U792" s="16" t="s">
        <v>987</v>
      </c>
      <c r="V792" s="16" t="s">
        <v>916</v>
      </c>
      <c r="W792" s="16" t="s">
        <v>987</v>
      </c>
      <c r="X792" s="16" t="s">
        <v>934</v>
      </c>
      <c r="Y792" s="16" t="s">
        <v>934</v>
      </c>
      <c r="Z792" s="16" t="s">
        <v>935</v>
      </c>
      <c r="DA792" s="405" t="s">
        <v>5</v>
      </c>
      <c r="DB792" s="405" t="s">
        <v>363</v>
      </c>
      <c r="DC792" s="406" t="s">
        <v>85</v>
      </c>
      <c r="DD792" s="405" t="s">
        <v>917</v>
      </c>
      <c r="DE792" s="405" t="s">
        <v>5</v>
      </c>
      <c r="DF792" s="406" t="s">
        <v>85</v>
      </c>
      <c r="DG792" s="407">
        <v>45855</v>
      </c>
      <c r="DH792" s="405" t="s">
        <v>5028</v>
      </c>
      <c r="DI792" s="406">
        <v>465455</v>
      </c>
      <c r="DJ792" s="408">
        <v>5</v>
      </c>
      <c r="DK792" s="405">
        <v>1</v>
      </c>
      <c r="DL792" s="82">
        <v>340.55</v>
      </c>
      <c r="DM792" s="409">
        <v>1.70275</v>
      </c>
      <c r="DN792" s="82" t="s">
        <v>85</v>
      </c>
      <c r="DO792" s="82" t="s">
        <v>85</v>
      </c>
      <c r="DP792" s="410" t="s">
        <v>85</v>
      </c>
    </row>
    <row r="793" spans="1:120" x14ac:dyDescent="0.25">
      <c r="A793" s="16" t="s">
        <v>5025</v>
      </c>
      <c r="B793" s="16" t="s">
        <v>5026</v>
      </c>
      <c r="C793" s="16" t="s">
        <v>5027</v>
      </c>
      <c r="D793" s="16" t="s">
        <v>4964</v>
      </c>
      <c r="E793" s="16" t="s">
        <v>5028</v>
      </c>
      <c r="F793" s="16" t="s">
        <v>5029</v>
      </c>
      <c r="G793" s="16" t="s">
        <v>5030</v>
      </c>
      <c r="H793" s="16" t="s">
        <v>5029</v>
      </c>
      <c r="I793" s="16" t="s">
        <v>2958</v>
      </c>
      <c r="J793" s="16" t="s">
        <v>943</v>
      </c>
      <c r="K793" s="16" t="s">
        <v>2959</v>
      </c>
      <c r="L793" s="16" t="s">
        <v>85</v>
      </c>
      <c r="M793" s="16" t="s">
        <v>984</v>
      </c>
      <c r="N793" s="16" t="s">
        <v>914</v>
      </c>
      <c r="O793" s="16" t="s">
        <v>985</v>
      </c>
      <c r="P793" s="16" t="s">
        <v>914</v>
      </c>
      <c r="Q793" s="16" t="s">
        <v>985</v>
      </c>
      <c r="R793" s="16" t="s">
        <v>915</v>
      </c>
      <c r="S793" s="16" t="s">
        <v>915</v>
      </c>
      <c r="T793" s="16" t="s">
        <v>986</v>
      </c>
      <c r="U793" s="16" t="s">
        <v>987</v>
      </c>
      <c r="V793" s="16" t="s">
        <v>916</v>
      </c>
      <c r="W793" s="16" t="s">
        <v>987</v>
      </c>
      <c r="X793" s="16" t="s">
        <v>934</v>
      </c>
      <c r="Y793" s="16" t="s">
        <v>934</v>
      </c>
      <c r="Z793" s="16" t="s">
        <v>935</v>
      </c>
      <c r="DA793" s="405" t="s">
        <v>5</v>
      </c>
      <c r="DB793" s="405" t="s">
        <v>363</v>
      </c>
      <c r="DC793" s="406" t="s">
        <v>85</v>
      </c>
      <c r="DD793" s="405" t="s">
        <v>917</v>
      </c>
      <c r="DE793" s="405" t="s">
        <v>5</v>
      </c>
      <c r="DF793" s="406" t="s">
        <v>85</v>
      </c>
      <c r="DG793" s="407">
        <v>45855</v>
      </c>
      <c r="DH793" s="405" t="s">
        <v>5028</v>
      </c>
      <c r="DI793" s="406">
        <v>465455</v>
      </c>
      <c r="DJ793" s="408">
        <v>5</v>
      </c>
      <c r="DK793" s="405">
        <v>1</v>
      </c>
      <c r="DL793" s="82">
        <v>340.55</v>
      </c>
      <c r="DM793" s="409">
        <v>1.70275</v>
      </c>
      <c r="DN793" s="82" t="s">
        <v>85</v>
      </c>
      <c r="DO793" s="82" t="s">
        <v>85</v>
      </c>
      <c r="DP793" s="410" t="s">
        <v>85</v>
      </c>
    </row>
    <row r="794" spans="1:120" x14ac:dyDescent="0.25">
      <c r="A794" s="16" t="s">
        <v>5031</v>
      </c>
      <c r="B794" s="16" t="s">
        <v>5032</v>
      </c>
      <c r="C794" s="16" t="s">
        <v>5033</v>
      </c>
      <c r="D794" s="16" t="s">
        <v>4964</v>
      </c>
      <c r="E794" s="16" t="s">
        <v>5034</v>
      </c>
      <c r="F794" s="16" t="s">
        <v>5035</v>
      </c>
      <c r="G794" s="16" t="s">
        <v>5036</v>
      </c>
      <c r="H794" s="16" t="s">
        <v>5035</v>
      </c>
      <c r="I794" s="16" t="s">
        <v>1218</v>
      </c>
      <c r="J794" s="16" t="s">
        <v>1036</v>
      </c>
      <c r="K794" s="16" t="s">
        <v>1219</v>
      </c>
      <c r="L794" s="16" t="s">
        <v>85</v>
      </c>
      <c r="M794" s="16" t="s">
        <v>1216</v>
      </c>
      <c r="N794" s="16" t="s">
        <v>914</v>
      </c>
      <c r="O794" s="16" t="s">
        <v>946</v>
      </c>
      <c r="P794" s="16" t="s">
        <v>914</v>
      </c>
      <c r="Q794" s="16" t="s">
        <v>946</v>
      </c>
      <c r="R794" s="16" t="s">
        <v>915</v>
      </c>
      <c r="S794" s="16" t="s">
        <v>915</v>
      </c>
      <c r="T794" s="16" t="s">
        <v>1216</v>
      </c>
      <c r="U794" s="16" t="s">
        <v>1217</v>
      </c>
      <c r="V794" s="16" t="s">
        <v>916</v>
      </c>
      <c r="W794" s="16" t="s">
        <v>1217</v>
      </c>
      <c r="X794" s="16" t="s">
        <v>934</v>
      </c>
      <c r="Y794" s="16" t="s">
        <v>934</v>
      </c>
      <c r="Z794" s="16" t="s">
        <v>935</v>
      </c>
      <c r="DA794" s="405" t="s">
        <v>5</v>
      </c>
      <c r="DB794" s="405" t="s">
        <v>363</v>
      </c>
      <c r="DC794" s="406" t="s">
        <v>85</v>
      </c>
      <c r="DD794" s="405" t="s">
        <v>917</v>
      </c>
      <c r="DE794" s="405" t="s">
        <v>5</v>
      </c>
      <c r="DF794" s="406" t="s">
        <v>85</v>
      </c>
      <c r="DG794" s="407">
        <v>45855</v>
      </c>
      <c r="DH794" s="405" t="s">
        <v>5034</v>
      </c>
      <c r="DI794" s="406">
        <v>465455</v>
      </c>
      <c r="DJ794" s="408">
        <v>5</v>
      </c>
      <c r="DK794" s="405">
        <v>1</v>
      </c>
      <c r="DL794" s="82">
        <v>319.22000000000003</v>
      </c>
      <c r="DM794" s="409">
        <v>1.5961000000000001</v>
      </c>
      <c r="DN794" s="82" t="s">
        <v>85</v>
      </c>
      <c r="DO794" s="82" t="s">
        <v>85</v>
      </c>
      <c r="DP794" s="410" t="s">
        <v>85</v>
      </c>
    </row>
    <row r="795" spans="1:120" x14ac:dyDescent="0.25">
      <c r="A795" s="16" t="s">
        <v>5031</v>
      </c>
      <c r="B795" s="16" t="s">
        <v>5032</v>
      </c>
      <c r="C795" s="16" t="s">
        <v>5033</v>
      </c>
      <c r="D795" s="16" t="s">
        <v>4964</v>
      </c>
      <c r="E795" s="16" t="s">
        <v>5034</v>
      </c>
      <c r="F795" s="16" t="s">
        <v>5035</v>
      </c>
      <c r="G795" s="16" t="s">
        <v>5036</v>
      </c>
      <c r="H795" s="16" t="s">
        <v>5035</v>
      </c>
      <c r="I795" s="16" t="s">
        <v>1214</v>
      </c>
      <c r="J795" s="16" t="s">
        <v>1036</v>
      </c>
      <c r="K795" s="16" t="s">
        <v>1215</v>
      </c>
      <c r="L795" s="16" t="s">
        <v>85</v>
      </c>
      <c r="M795" s="16" t="s">
        <v>1216</v>
      </c>
      <c r="N795" s="16" t="s">
        <v>914</v>
      </c>
      <c r="O795" s="16" t="s">
        <v>946</v>
      </c>
      <c r="P795" s="16" t="s">
        <v>914</v>
      </c>
      <c r="Q795" s="16" t="s">
        <v>946</v>
      </c>
      <c r="R795" s="16" t="s">
        <v>915</v>
      </c>
      <c r="S795" s="16" t="s">
        <v>915</v>
      </c>
      <c r="T795" s="16" t="s">
        <v>1216</v>
      </c>
      <c r="U795" s="16" t="s">
        <v>1217</v>
      </c>
      <c r="V795" s="16" t="s">
        <v>916</v>
      </c>
      <c r="W795" s="16" t="s">
        <v>1217</v>
      </c>
      <c r="X795" s="16" t="s">
        <v>934</v>
      </c>
      <c r="Y795" s="16" t="s">
        <v>934</v>
      </c>
      <c r="Z795" s="16" t="s">
        <v>935</v>
      </c>
      <c r="DA795" s="405" t="s">
        <v>5</v>
      </c>
      <c r="DB795" s="405" t="s">
        <v>363</v>
      </c>
      <c r="DC795" s="406" t="s">
        <v>85</v>
      </c>
      <c r="DD795" s="405" t="s">
        <v>917</v>
      </c>
      <c r="DE795" s="405" t="s">
        <v>5</v>
      </c>
      <c r="DF795" s="406" t="s">
        <v>85</v>
      </c>
      <c r="DG795" s="407">
        <v>45855</v>
      </c>
      <c r="DH795" s="405" t="s">
        <v>5034</v>
      </c>
      <c r="DI795" s="406">
        <v>465455</v>
      </c>
      <c r="DJ795" s="408">
        <v>5</v>
      </c>
      <c r="DK795" s="405">
        <v>1</v>
      </c>
      <c r="DL795" s="82">
        <v>319.22000000000003</v>
      </c>
      <c r="DM795" s="409">
        <v>1.5961000000000001</v>
      </c>
      <c r="DN795" s="82" t="s">
        <v>85</v>
      </c>
      <c r="DO795" s="82" t="s">
        <v>85</v>
      </c>
      <c r="DP795" s="410" t="s">
        <v>85</v>
      </c>
    </row>
    <row r="796" spans="1:120" x14ac:dyDescent="0.25">
      <c r="A796" s="16" t="s">
        <v>5037</v>
      </c>
      <c r="B796" s="16" t="s">
        <v>5038</v>
      </c>
      <c r="C796" s="16" t="s">
        <v>5039</v>
      </c>
      <c r="D796" s="16" t="s">
        <v>4964</v>
      </c>
      <c r="E796" s="16" t="s">
        <v>5040</v>
      </c>
      <c r="F796" s="16" t="s">
        <v>5041</v>
      </c>
      <c r="G796" s="16" t="s">
        <v>5042</v>
      </c>
      <c r="H796" s="16" t="s">
        <v>5041</v>
      </c>
      <c r="I796" s="16" t="s">
        <v>5043</v>
      </c>
      <c r="J796" s="16" t="s">
        <v>3962</v>
      </c>
      <c r="K796" s="16" t="s">
        <v>5044</v>
      </c>
      <c r="L796" s="16" t="s">
        <v>85</v>
      </c>
      <c r="M796" s="16" t="s">
        <v>1829</v>
      </c>
      <c r="N796" s="16" t="s">
        <v>914</v>
      </c>
      <c r="O796" s="16" t="s">
        <v>1830</v>
      </c>
      <c r="P796" s="16" t="s">
        <v>914</v>
      </c>
      <c r="Q796" s="16" t="s">
        <v>1830</v>
      </c>
      <c r="R796" s="16" t="s">
        <v>915</v>
      </c>
      <c r="S796" s="16" t="s">
        <v>915</v>
      </c>
      <c r="T796" s="16" t="s">
        <v>1829</v>
      </c>
      <c r="U796" s="16" t="s">
        <v>1831</v>
      </c>
      <c r="V796" s="16" t="s">
        <v>916</v>
      </c>
      <c r="W796" s="16" t="s">
        <v>1831</v>
      </c>
      <c r="X796" s="16" t="s">
        <v>934</v>
      </c>
      <c r="Y796" s="16" t="s">
        <v>934</v>
      </c>
      <c r="Z796" s="16" t="s">
        <v>935</v>
      </c>
      <c r="DA796" s="405" t="s">
        <v>5</v>
      </c>
      <c r="DB796" s="405" t="s">
        <v>363</v>
      </c>
      <c r="DC796" s="406" t="s">
        <v>85</v>
      </c>
      <c r="DD796" s="405" t="s">
        <v>917</v>
      </c>
      <c r="DE796" s="405" t="s">
        <v>5</v>
      </c>
      <c r="DF796" s="406" t="s">
        <v>85</v>
      </c>
      <c r="DG796" s="407">
        <v>45855</v>
      </c>
      <c r="DH796" s="405" t="s">
        <v>5040</v>
      </c>
      <c r="DI796" s="406">
        <v>465455</v>
      </c>
      <c r="DJ796" s="408">
        <v>5</v>
      </c>
      <c r="DK796" s="405">
        <v>1</v>
      </c>
      <c r="DL796" s="82">
        <v>242.05</v>
      </c>
      <c r="DM796" s="409">
        <v>1.21025</v>
      </c>
      <c r="DN796" s="82" t="s">
        <v>85</v>
      </c>
      <c r="DO796" s="82" t="s">
        <v>85</v>
      </c>
      <c r="DP796" s="410" t="s">
        <v>85</v>
      </c>
    </row>
    <row r="797" spans="1:120" x14ac:dyDescent="0.25">
      <c r="A797" s="16" t="s">
        <v>5045</v>
      </c>
      <c r="B797" s="16" t="s">
        <v>5046</v>
      </c>
      <c r="C797" s="16" t="s">
        <v>5047</v>
      </c>
      <c r="D797" s="16" t="s">
        <v>4964</v>
      </c>
      <c r="E797" s="16" t="s">
        <v>5048</v>
      </c>
      <c r="F797" s="16" t="s">
        <v>5049</v>
      </c>
      <c r="G797" s="16" t="s">
        <v>5050</v>
      </c>
      <c r="H797" s="16" t="s">
        <v>5049</v>
      </c>
      <c r="I797" s="16" t="s">
        <v>994</v>
      </c>
      <c r="J797" s="16" t="s">
        <v>995</v>
      </c>
      <c r="K797" s="16" t="s">
        <v>996</v>
      </c>
      <c r="L797" s="16" t="s">
        <v>85</v>
      </c>
      <c r="M797" s="16" t="s">
        <v>1165</v>
      </c>
      <c r="N797" s="16" t="s">
        <v>914</v>
      </c>
      <c r="O797" s="16" t="s">
        <v>1166</v>
      </c>
      <c r="P797" s="16" t="s">
        <v>914</v>
      </c>
      <c r="Q797" s="16" t="s">
        <v>1166</v>
      </c>
      <c r="R797" s="16" t="s">
        <v>915</v>
      </c>
      <c r="S797" s="16" t="s">
        <v>915</v>
      </c>
      <c r="T797" s="16" t="s">
        <v>1167</v>
      </c>
      <c r="U797" s="16" t="s">
        <v>1168</v>
      </c>
      <c r="V797" s="16" t="s">
        <v>916</v>
      </c>
      <c r="W797" s="16" t="s">
        <v>1168</v>
      </c>
      <c r="X797" s="16" t="s">
        <v>934</v>
      </c>
      <c r="Y797" s="16" t="s">
        <v>934</v>
      </c>
      <c r="Z797" s="16" t="s">
        <v>935</v>
      </c>
      <c r="DA797" s="405" t="s">
        <v>5</v>
      </c>
      <c r="DB797" s="405" t="s">
        <v>363</v>
      </c>
      <c r="DC797" s="406" t="s">
        <v>85</v>
      </c>
      <c r="DD797" s="405" t="s">
        <v>917</v>
      </c>
      <c r="DE797" s="405" t="s">
        <v>5</v>
      </c>
      <c r="DF797" s="406" t="s">
        <v>85</v>
      </c>
      <c r="DG797" s="407">
        <v>45855</v>
      </c>
      <c r="DH797" s="405" t="s">
        <v>5048</v>
      </c>
      <c r="DI797" s="406">
        <v>465455</v>
      </c>
      <c r="DJ797" s="408">
        <v>5</v>
      </c>
      <c r="DK797" s="405">
        <v>1</v>
      </c>
      <c r="DL797" s="82">
        <v>468.28</v>
      </c>
      <c r="DM797" s="409">
        <v>2.3413999999999997</v>
      </c>
      <c r="DN797" s="82" t="s">
        <v>85</v>
      </c>
      <c r="DO797" s="82" t="s">
        <v>85</v>
      </c>
      <c r="DP797" s="410" t="s">
        <v>85</v>
      </c>
    </row>
    <row r="798" spans="1:120" x14ac:dyDescent="0.25">
      <c r="A798" s="16" t="s">
        <v>5051</v>
      </c>
      <c r="B798" s="16" t="s">
        <v>5052</v>
      </c>
      <c r="C798" s="16" t="s">
        <v>5053</v>
      </c>
      <c r="D798" s="16" t="s">
        <v>4964</v>
      </c>
      <c r="E798" s="16" t="s">
        <v>5054</v>
      </c>
      <c r="F798" s="16" t="s">
        <v>5055</v>
      </c>
      <c r="G798" s="16" t="s">
        <v>5056</v>
      </c>
      <c r="H798" s="16" t="s">
        <v>5055</v>
      </c>
      <c r="I798" s="16" t="s">
        <v>2136</v>
      </c>
      <c r="J798" s="16" t="s">
        <v>943</v>
      </c>
      <c r="K798" s="16" t="s">
        <v>2137</v>
      </c>
      <c r="L798" s="16" t="s">
        <v>85</v>
      </c>
      <c r="M798" s="16" t="s">
        <v>984</v>
      </c>
      <c r="N798" s="16" t="s">
        <v>914</v>
      </c>
      <c r="O798" s="16" t="s">
        <v>985</v>
      </c>
      <c r="P798" s="16" t="s">
        <v>914</v>
      </c>
      <c r="Q798" s="16" t="s">
        <v>985</v>
      </c>
      <c r="R798" s="16" t="s">
        <v>915</v>
      </c>
      <c r="S798" s="16" t="s">
        <v>915</v>
      </c>
      <c r="T798" s="16" t="s">
        <v>986</v>
      </c>
      <c r="U798" s="16" t="s">
        <v>987</v>
      </c>
      <c r="V798" s="16" t="s">
        <v>916</v>
      </c>
      <c r="W798" s="16" t="s">
        <v>987</v>
      </c>
      <c r="X798" s="16" t="s">
        <v>934</v>
      </c>
      <c r="Y798" s="16" t="s">
        <v>934</v>
      </c>
      <c r="Z798" s="16" t="s">
        <v>935</v>
      </c>
      <c r="DA798" s="405" t="s">
        <v>5</v>
      </c>
      <c r="DB798" s="405" t="s">
        <v>363</v>
      </c>
      <c r="DC798" s="406" t="s">
        <v>85</v>
      </c>
      <c r="DD798" s="405" t="s">
        <v>917</v>
      </c>
      <c r="DE798" s="405" t="s">
        <v>5</v>
      </c>
      <c r="DF798" s="406" t="s">
        <v>85</v>
      </c>
      <c r="DG798" s="407">
        <v>45855</v>
      </c>
      <c r="DH798" s="405" t="s">
        <v>5054</v>
      </c>
      <c r="DI798" s="406">
        <v>465455</v>
      </c>
      <c r="DJ798" s="408">
        <v>5</v>
      </c>
      <c r="DK798" s="405">
        <v>1</v>
      </c>
      <c r="DL798" s="82">
        <v>340.55</v>
      </c>
      <c r="DM798" s="409">
        <v>1.70275</v>
      </c>
      <c r="DN798" s="82" t="s">
        <v>85</v>
      </c>
      <c r="DO798" s="82" t="s">
        <v>85</v>
      </c>
      <c r="DP798" s="410" t="s">
        <v>85</v>
      </c>
    </row>
    <row r="799" spans="1:120" x14ac:dyDescent="0.25">
      <c r="A799" s="16" t="s">
        <v>5057</v>
      </c>
      <c r="B799" s="16" t="s">
        <v>5058</v>
      </c>
      <c r="C799" s="16" t="s">
        <v>5059</v>
      </c>
      <c r="D799" s="16" t="s">
        <v>4964</v>
      </c>
      <c r="E799" s="16" t="s">
        <v>5060</v>
      </c>
      <c r="F799" s="16" t="s">
        <v>5061</v>
      </c>
      <c r="G799" s="16" t="s">
        <v>5062</v>
      </c>
      <c r="H799" s="16" t="s">
        <v>5063</v>
      </c>
      <c r="I799" s="16" t="s">
        <v>1728</v>
      </c>
      <c r="J799" s="16" t="s">
        <v>943</v>
      </c>
      <c r="K799" s="16" t="s">
        <v>1729</v>
      </c>
      <c r="L799" s="16" t="s">
        <v>85</v>
      </c>
      <c r="M799" s="16" t="s">
        <v>984</v>
      </c>
      <c r="N799" s="16" t="s">
        <v>914</v>
      </c>
      <c r="O799" s="16" t="s">
        <v>985</v>
      </c>
      <c r="P799" s="16" t="s">
        <v>914</v>
      </c>
      <c r="Q799" s="16" t="s">
        <v>985</v>
      </c>
      <c r="R799" s="16" t="s">
        <v>915</v>
      </c>
      <c r="S799" s="16" t="s">
        <v>915</v>
      </c>
      <c r="T799" s="16" t="s">
        <v>986</v>
      </c>
      <c r="U799" s="16" t="s">
        <v>987</v>
      </c>
      <c r="V799" s="16" t="s">
        <v>916</v>
      </c>
      <c r="W799" s="16" t="s">
        <v>987</v>
      </c>
      <c r="X799" s="16" t="s">
        <v>934</v>
      </c>
      <c r="Y799" s="16" t="s">
        <v>934</v>
      </c>
      <c r="Z799" s="16" t="s">
        <v>935</v>
      </c>
      <c r="DA799" s="405" t="s">
        <v>5</v>
      </c>
      <c r="DB799" s="405" t="s">
        <v>363</v>
      </c>
      <c r="DC799" s="406" t="s">
        <v>85</v>
      </c>
      <c r="DD799" s="405" t="s">
        <v>917</v>
      </c>
      <c r="DE799" s="405" t="s">
        <v>5</v>
      </c>
      <c r="DF799" s="406" t="s">
        <v>85</v>
      </c>
      <c r="DG799" s="407">
        <v>45855</v>
      </c>
      <c r="DH799" s="405" t="s">
        <v>5060</v>
      </c>
      <c r="DI799" s="406">
        <v>465455</v>
      </c>
      <c r="DJ799" s="408">
        <v>5</v>
      </c>
      <c r="DK799" s="405">
        <v>1</v>
      </c>
      <c r="DL799" s="82">
        <v>340.55</v>
      </c>
      <c r="DM799" s="409">
        <v>1.70275</v>
      </c>
      <c r="DN799" s="82" t="s">
        <v>85</v>
      </c>
      <c r="DO799" s="82" t="s">
        <v>85</v>
      </c>
      <c r="DP799" s="410" t="s">
        <v>85</v>
      </c>
    </row>
    <row r="800" spans="1:120" x14ac:dyDescent="0.25">
      <c r="A800" s="16" t="s">
        <v>5064</v>
      </c>
      <c r="B800" s="16" t="s">
        <v>5065</v>
      </c>
      <c r="C800" s="16" t="s">
        <v>5066</v>
      </c>
      <c r="D800" s="16" t="s">
        <v>4964</v>
      </c>
      <c r="E800" s="16" t="s">
        <v>5067</v>
      </c>
      <c r="F800" s="16" t="s">
        <v>5068</v>
      </c>
      <c r="G800" s="16" t="s">
        <v>5069</v>
      </c>
      <c r="H800" s="16" t="s">
        <v>5068</v>
      </c>
      <c r="I800" s="16" t="s">
        <v>2241</v>
      </c>
      <c r="J800" s="16" t="s">
        <v>1123</v>
      </c>
      <c r="K800" s="16" t="s">
        <v>2242</v>
      </c>
      <c r="L800" s="16" t="s">
        <v>85</v>
      </c>
      <c r="M800" s="16" t="s">
        <v>1238</v>
      </c>
      <c r="N800" s="16" t="s">
        <v>914</v>
      </c>
      <c r="O800" s="16" t="s">
        <v>1239</v>
      </c>
      <c r="P800" s="16" t="s">
        <v>914</v>
      </c>
      <c r="Q800" s="16" t="s">
        <v>1239</v>
      </c>
      <c r="R800" s="16" t="s">
        <v>915</v>
      </c>
      <c r="S800" s="16" t="s">
        <v>915</v>
      </c>
      <c r="T800" s="16" t="s">
        <v>1238</v>
      </c>
      <c r="U800" s="16" t="s">
        <v>1240</v>
      </c>
      <c r="V800" s="16" t="s">
        <v>916</v>
      </c>
      <c r="W800" s="16" t="s">
        <v>1240</v>
      </c>
      <c r="X800" s="16" t="s">
        <v>934</v>
      </c>
      <c r="Y800" s="16" t="s">
        <v>934</v>
      </c>
      <c r="Z800" s="16" t="s">
        <v>935</v>
      </c>
      <c r="DA800" s="405" t="s">
        <v>5</v>
      </c>
      <c r="DB800" s="405" t="s">
        <v>363</v>
      </c>
      <c r="DC800" s="406" t="s">
        <v>85</v>
      </c>
      <c r="DD800" s="405" t="s">
        <v>917</v>
      </c>
      <c r="DE800" s="405" t="s">
        <v>5</v>
      </c>
      <c r="DF800" s="406" t="s">
        <v>85</v>
      </c>
      <c r="DG800" s="407">
        <v>45855</v>
      </c>
      <c r="DH800" s="405" t="s">
        <v>5067</v>
      </c>
      <c r="DI800" s="406">
        <v>465455</v>
      </c>
      <c r="DJ800" s="408">
        <v>5</v>
      </c>
      <c r="DK800" s="405">
        <v>1</v>
      </c>
      <c r="DL800" s="82">
        <v>383.16</v>
      </c>
      <c r="DM800" s="409">
        <v>1.9158000000000002</v>
      </c>
      <c r="DN800" s="82" t="s">
        <v>85</v>
      </c>
      <c r="DO800" s="82" t="s">
        <v>85</v>
      </c>
      <c r="DP800" s="410" t="s">
        <v>85</v>
      </c>
    </row>
    <row r="801" spans="1:120" x14ac:dyDescent="0.25">
      <c r="A801" s="16" t="s">
        <v>5070</v>
      </c>
      <c r="B801" s="16" t="s">
        <v>5071</v>
      </c>
      <c r="C801" s="16" t="s">
        <v>5072</v>
      </c>
      <c r="D801" s="16" t="s">
        <v>4964</v>
      </c>
      <c r="E801" s="16" t="s">
        <v>5073</v>
      </c>
      <c r="F801" s="16" t="s">
        <v>5074</v>
      </c>
      <c r="G801" s="16" t="s">
        <v>5075</v>
      </c>
      <c r="H801" s="16" t="s">
        <v>5076</v>
      </c>
      <c r="I801" s="16" t="s">
        <v>1719</v>
      </c>
      <c r="J801" s="16" t="s">
        <v>943</v>
      </c>
      <c r="K801" s="16" t="s">
        <v>1720</v>
      </c>
      <c r="L801" s="16" t="s">
        <v>85</v>
      </c>
      <c r="M801" s="16" t="s">
        <v>984</v>
      </c>
      <c r="N801" s="16" t="s">
        <v>914</v>
      </c>
      <c r="O801" s="16" t="s">
        <v>985</v>
      </c>
      <c r="P801" s="16" t="s">
        <v>914</v>
      </c>
      <c r="Q801" s="16" t="s">
        <v>985</v>
      </c>
      <c r="R801" s="16" t="s">
        <v>915</v>
      </c>
      <c r="S801" s="16" t="s">
        <v>915</v>
      </c>
      <c r="T801" s="16" t="s">
        <v>986</v>
      </c>
      <c r="U801" s="16" t="s">
        <v>987</v>
      </c>
      <c r="V801" s="16" t="s">
        <v>916</v>
      </c>
      <c r="W801" s="16" t="s">
        <v>987</v>
      </c>
      <c r="X801" s="16" t="s">
        <v>934</v>
      </c>
      <c r="Y801" s="16" t="s">
        <v>934</v>
      </c>
      <c r="Z801" s="16" t="s">
        <v>935</v>
      </c>
      <c r="DA801" s="405" t="s">
        <v>5</v>
      </c>
      <c r="DB801" s="405" t="s">
        <v>363</v>
      </c>
      <c r="DC801" s="406" t="s">
        <v>85</v>
      </c>
      <c r="DD801" s="405" t="s">
        <v>917</v>
      </c>
      <c r="DE801" s="405" t="s">
        <v>5</v>
      </c>
      <c r="DF801" s="406" t="s">
        <v>85</v>
      </c>
      <c r="DG801" s="407">
        <v>45855</v>
      </c>
      <c r="DH801" s="405" t="s">
        <v>5073</v>
      </c>
      <c r="DI801" s="406">
        <v>465455</v>
      </c>
      <c r="DJ801" s="408">
        <v>5</v>
      </c>
      <c r="DK801" s="405">
        <v>1</v>
      </c>
      <c r="DL801" s="82">
        <v>340.55</v>
      </c>
      <c r="DM801" s="409">
        <v>1.70275</v>
      </c>
      <c r="DN801" s="82" t="s">
        <v>85</v>
      </c>
      <c r="DO801" s="82" t="s">
        <v>85</v>
      </c>
      <c r="DP801" s="410" t="s">
        <v>85</v>
      </c>
    </row>
    <row r="802" spans="1:120" x14ac:dyDescent="0.25">
      <c r="A802" s="16" t="s">
        <v>5077</v>
      </c>
      <c r="B802" s="16" t="s">
        <v>5078</v>
      </c>
      <c r="C802" s="16" t="s">
        <v>5079</v>
      </c>
      <c r="D802" s="16" t="s">
        <v>4964</v>
      </c>
      <c r="E802" s="16" t="s">
        <v>5080</v>
      </c>
      <c r="F802" s="16" t="s">
        <v>5081</v>
      </c>
      <c r="G802" s="16" t="s">
        <v>5082</v>
      </c>
      <c r="H802" s="16" t="s">
        <v>5081</v>
      </c>
      <c r="I802" s="16" t="s">
        <v>1970</v>
      </c>
      <c r="J802" s="16" t="s">
        <v>995</v>
      </c>
      <c r="K802" s="16" t="s">
        <v>1971</v>
      </c>
      <c r="L802" s="16" t="s">
        <v>85</v>
      </c>
      <c r="M802" s="16" t="s">
        <v>1165</v>
      </c>
      <c r="N802" s="16" t="s">
        <v>914</v>
      </c>
      <c r="O802" s="16" t="s">
        <v>1166</v>
      </c>
      <c r="P802" s="16" t="s">
        <v>914</v>
      </c>
      <c r="Q802" s="16" t="s">
        <v>1166</v>
      </c>
      <c r="R802" s="16" t="s">
        <v>915</v>
      </c>
      <c r="S802" s="16" t="s">
        <v>915</v>
      </c>
      <c r="T802" s="16" t="s">
        <v>1167</v>
      </c>
      <c r="U802" s="16" t="s">
        <v>1168</v>
      </c>
      <c r="V802" s="16" t="s">
        <v>916</v>
      </c>
      <c r="W802" s="16" t="s">
        <v>1168</v>
      </c>
      <c r="X802" s="16" t="s">
        <v>934</v>
      </c>
      <c r="Y802" s="16" t="s">
        <v>934</v>
      </c>
      <c r="Z802" s="16" t="s">
        <v>935</v>
      </c>
      <c r="DA802" s="405" t="s">
        <v>5</v>
      </c>
      <c r="DB802" s="405" t="s">
        <v>363</v>
      </c>
      <c r="DC802" s="406" t="s">
        <v>85</v>
      </c>
      <c r="DD802" s="405" t="s">
        <v>917</v>
      </c>
      <c r="DE802" s="405" t="s">
        <v>5</v>
      </c>
      <c r="DF802" s="406" t="s">
        <v>85</v>
      </c>
      <c r="DG802" s="407">
        <v>45855</v>
      </c>
      <c r="DH802" s="405" t="s">
        <v>5080</v>
      </c>
      <c r="DI802" s="406">
        <v>465455</v>
      </c>
      <c r="DJ802" s="408">
        <v>5</v>
      </c>
      <c r="DK802" s="405">
        <v>1</v>
      </c>
      <c r="DL802" s="82">
        <v>468.28</v>
      </c>
      <c r="DM802" s="409">
        <v>2.3413999999999997</v>
      </c>
      <c r="DN802" s="82" t="s">
        <v>85</v>
      </c>
      <c r="DO802" s="82" t="s">
        <v>85</v>
      </c>
      <c r="DP802" s="410" t="s">
        <v>85</v>
      </c>
    </row>
    <row r="803" spans="1:120" x14ac:dyDescent="0.25">
      <c r="A803" s="16" t="s">
        <v>5083</v>
      </c>
      <c r="B803" s="16" t="s">
        <v>5084</v>
      </c>
      <c r="C803" s="16" t="s">
        <v>5085</v>
      </c>
      <c r="D803" s="16" t="s">
        <v>4964</v>
      </c>
      <c r="E803" s="16" t="s">
        <v>5086</v>
      </c>
      <c r="F803" s="16" t="s">
        <v>5087</v>
      </c>
      <c r="G803" s="16" t="s">
        <v>5088</v>
      </c>
      <c r="H803" s="16" t="s">
        <v>5087</v>
      </c>
      <c r="I803" s="16" t="s">
        <v>2425</v>
      </c>
      <c r="J803" s="16" t="s">
        <v>928</v>
      </c>
      <c r="K803" s="16" t="s">
        <v>2426</v>
      </c>
      <c r="L803" s="16" t="s">
        <v>85</v>
      </c>
      <c r="M803" s="16" t="s">
        <v>1322</v>
      </c>
      <c r="N803" s="16" t="s">
        <v>914</v>
      </c>
      <c r="O803" s="16" t="s">
        <v>1323</v>
      </c>
      <c r="P803" s="16" t="s">
        <v>914</v>
      </c>
      <c r="Q803" s="16" t="s">
        <v>1323</v>
      </c>
      <c r="R803" s="16" t="s">
        <v>915</v>
      </c>
      <c r="S803" s="16" t="s">
        <v>915</v>
      </c>
      <c r="T803" s="16" t="s">
        <v>1322</v>
      </c>
      <c r="U803" s="16" t="s">
        <v>1324</v>
      </c>
      <c r="V803" s="16" t="s">
        <v>916</v>
      </c>
      <c r="W803" s="16" t="s">
        <v>1324</v>
      </c>
      <c r="X803" s="16" t="s">
        <v>934</v>
      </c>
      <c r="Y803" s="16" t="s">
        <v>934</v>
      </c>
      <c r="Z803" s="16" t="s">
        <v>935</v>
      </c>
      <c r="DA803" s="405" t="s">
        <v>5</v>
      </c>
      <c r="DB803" s="405" t="s">
        <v>363</v>
      </c>
      <c r="DC803" s="406" t="s">
        <v>85</v>
      </c>
      <c r="DD803" s="405" t="s">
        <v>917</v>
      </c>
      <c r="DE803" s="405" t="s">
        <v>5</v>
      </c>
      <c r="DF803" s="406" t="s">
        <v>85</v>
      </c>
      <c r="DG803" s="407">
        <v>45855</v>
      </c>
      <c r="DH803" s="405" t="s">
        <v>5086</v>
      </c>
      <c r="DI803" s="406">
        <v>465455</v>
      </c>
      <c r="DJ803" s="408">
        <v>5</v>
      </c>
      <c r="DK803" s="405">
        <v>1</v>
      </c>
      <c r="DL803" s="82">
        <v>332.47</v>
      </c>
      <c r="DM803" s="409">
        <v>1.6623500000000002</v>
      </c>
      <c r="DN803" s="82" t="s">
        <v>85</v>
      </c>
      <c r="DO803" s="82" t="s">
        <v>85</v>
      </c>
      <c r="DP803" s="410" t="s">
        <v>85</v>
      </c>
    </row>
    <row r="804" spans="1:120" x14ac:dyDescent="0.25">
      <c r="A804" s="16" t="s">
        <v>5089</v>
      </c>
      <c r="B804" s="16" t="s">
        <v>5090</v>
      </c>
      <c r="C804" s="16" t="s">
        <v>5091</v>
      </c>
      <c r="D804" s="16" t="s">
        <v>4964</v>
      </c>
      <c r="E804" s="16" t="s">
        <v>5092</v>
      </c>
      <c r="F804" s="16" t="s">
        <v>5093</v>
      </c>
      <c r="G804" s="16" t="s">
        <v>5094</v>
      </c>
      <c r="H804" s="16" t="s">
        <v>5095</v>
      </c>
      <c r="I804" s="16" t="s">
        <v>1728</v>
      </c>
      <c r="J804" s="16" t="s">
        <v>943</v>
      </c>
      <c r="K804" s="16" t="s">
        <v>1729</v>
      </c>
      <c r="L804" s="16" t="s">
        <v>85</v>
      </c>
      <c r="M804" s="16" t="s">
        <v>984</v>
      </c>
      <c r="N804" s="16" t="s">
        <v>914</v>
      </c>
      <c r="O804" s="16" t="s">
        <v>985</v>
      </c>
      <c r="P804" s="16" t="s">
        <v>914</v>
      </c>
      <c r="Q804" s="16" t="s">
        <v>985</v>
      </c>
      <c r="R804" s="16" t="s">
        <v>915</v>
      </c>
      <c r="S804" s="16" t="s">
        <v>915</v>
      </c>
      <c r="T804" s="16" t="s">
        <v>986</v>
      </c>
      <c r="U804" s="16" t="s">
        <v>987</v>
      </c>
      <c r="V804" s="16" t="s">
        <v>916</v>
      </c>
      <c r="W804" s="16" t="s">
        <v>987</v>
      </c>
      <c r="X804" s="16" t="s">
        <v>934</v>
      </c>
      <c r="Y804" s="16" t="s">
        <v>934</v>
      </c>
      <c r="Z804" s="16" t="s">
        <v>935</v>
      </c>
      <c r="DA804" s="405" t="s">
        <v>5</v>
      </c>
      <c r="DB804" s="405" t="s">
        <v>363</v>
      </c>
      <c r="DC804" s="406" t="s">
        <v>85</v>
      </c>
      <c r="DD804" s="405" t="s">
        <v>917</v>
      </c>
      <c r="DE804" s="405" t="s">
        <v>5</v>
      </c>
      <c r="DF804" s="406" t="s">
        <v>85</v>
      </c>
      <c r="DG804" s="407">
        <v>45855</v>
      </c>
      <c r="DH804" s="405" t="s">
        <v>5092</v>
      </c>
      <c r="DI804" s="406">
        <v>465455</v>
      </c>
      <c r="DJ804" s="408">
        <v>5</v>
      </c>
      <c r="DK804" s="405">
        <v>1</v>
      </c>
      <c r="DL804" s="82">
        <v>340.55</v>
      </c>
      <c r="DM804" s="409">
        <v>1.70275</v>
      </c>
      <c r="DN804" s="82" t="s">
        <v>85</v>
      </c>
      <c r="DO804" s="82" t="s">
        <v>85</v>
      </c>
      <c r="DP804" s="410" t="s">
        <v>85</v>
      </c>
    </row>
    <row r="805" spans="1:120" x14ac:dyDescent="0.25">
      <c r="A805" s="16" t="s">
        <v>5096</v>
      </c>
      <c r="B805" s="16" t="s">
        <v>5097</v>
      </c>
      <c r="C805" s="16" t="s">
        <v>5098</v>
      </c>
      <c r="D805" s="16" t="s">
        <v>4964</v>
      </c>
      <c r="E805" s="16" t="s">
        <v>5099</v>
      </c>
      <c r="F805" s="16" t="s">
        <v>5100</v>
      </c>
      <c r="G805" s="16" t="s">
        <v>5101</v>
      </c>
      <c r="H805" s="16" t="s">
        <v>5100</v>
      </c>
      <c r="I805" s="16" t="s">
        <v>2750</v>
      </c>
      <c r="J805" s="16" t="s">
        <v>995</v>
      </c>
      <c r="K805" s="16" t="s">
        <v>2751</v>
      </c>
      <c r="L805" s="16" t="s">
        <v>85</v>
      </c>
      <c r="M805" s="16" t="s">
        <v>1165</v>
      </c>
      <c r="N805" s="16" t="s">
        <v>914</v>
      </c>
      <c r="O805" s="16" t="s">
        <v>1166</v>
      </c>
      <c r="P805" s="16" t="s">
        <v>914</v>
      </c>
      <c r="Q805" s="16" t="s">
        <v>1166</v>
      </c>
      <c r="R805" s="16" t="s">
        <v>915</v>
      </c>
      <c r="S805" s="16" t="s">
        <v>915</v>
      </c>
      <c r="T805" s="16" t="s">
        <v>1167</v>
      </c>
      <c r="U805" s="16" t="s">
        <v>1168</v>
      </c>
      <c r="V805" s="16" t="s">
        <v>916</v>
      </c>
      <c r="W805" s="16" t="s">
        <v>1168</v>
      </c>
      <c r="X805" s="16" t="s">
        <v>934</v>
      </c>
      <c r="Y805" s="16" t="s">
        <v>934</v>
      </c>
      <c r="Z805" s="16" t="s">
        <v>935</v>
      </c>
      <c r="DA805" s="405" t="s">
        <v>5</v>
      </c>
      <c r="DB805" s="405" t="s">
        <v>363</v>
      </c>
      <c r="DC805" s="406" t="s">
        <v>85</v>
      </c>
      <c r="DD805" s="405" t="s">
        <v>917</v>
      </c>
      <c r="DE805" s="405" t="s">
        <v>5</v>
      </c>
      <c r="DF805" s="406" t="s">
        <v>85</v>
      </c>
      <c r="DG805" s="407">
        <v>45855</v>
      </c>
      <c r="DH805" s="405" t="s">
        <v>5099</v>
      </c>
      <c r="DI805" s="406">
        <v>465455</v>
      </c>
      <c r="DJ805" s="408">
        <v>5</v>
      </c>
      <c r="DK805" s="405">
        <v>1</v>
      </c>
      <c r="DL805" s="82">
        <v>468.28</v>
      </c>
      <c r="DM805" s="409">
        <v>2.3413999999999997</v>
      </c>
      <c r="DN805" s="82" t="s">
        <v>85</v>
      </c>
      <c r="DO805" s="82" t="s">
        <v>85</v>
      </c>
      <c r="DP805" s="410" t="s">
        <v>85</v>
      </c>
    </row>
    <row r="806" spans="1:120" x14ac:dyDescent="0.25">
      <c r="A806" s="16" t="s">
        <v>5102</v>
      </c>
      <c r="B806" s="16" t="s">
        <v>5103</v>
      </c>
      <c r="C806" s="16" t="s">
        <v>5104</v>
      </c>
      <c r="D806" s="16" t="s">
        <v>4964</v>
      </c>
      <c r="E806" s="16" t="s">
        <v>5105</v>
      </c>
      <c r="F806" s="16" t="s">
        <v>5106</v>
      </c>
      <c r="G806" s="16" t="s">
        <v>5107</v>
      </c>
      <c r="H806" s="16" t="s">
        <v>5108</v>
      </c>
      <c r="I806" s="16" t="s">
        <v>2793</v>
      </c>
      <c r="J806" s="16" t="s">
        <v>943</v>
      </c>
      <c r="K806" s="16" t="s">
        <v>2794</v>
      </c>
      <c r="L806" s="16" t="s">
        <v>85</v>
      </c>
      <c r="M806" s="16" t="s">
        <v>984</v>
      </c>
      <c r="N806" s="16" t="s">
        <v>914</v>
      </c>
      <c r="O806" s="16" t="s">
        <v>985</v>
      </c>
      <c r="P806" s="16" t="s">
        <v>914</v>
      </c>
      <c r="Q806" s="16" t="s">
        <v>985</v>
      </c>
      <c r="R806" s="16" t="s">
        <v>915</v>
      </c>
      <c r="S806" s="16" t="s">
        <v>915</v>
      </c>
      <c r="T806" s="16" t="s">
        <v>986</v>
      </c>
      <c r="U806" s="16" t="s">
        <v>987</v>
      </c>
      <c r="V806" s="16" t="s">
        <v>916</v>
      </c>
      <c r="W806" s="16" t="s">
        <v>987</v>
      </c>
      <c r="X806" s="16" t="s">
        <v>934</v>
      </c>
      <c r="Y806" s="16" t="s">
        <v>934</v>
      </c>
      <c r="Z806" s="16" t="s">
        <v>935</v>
      </c>
      <c r="DA806" s="405" t="s">
        <v>5</v>
      </c>
      <c r="DB806" s="405" t="s">
        <v>363</v>
      </c>
      <c r="DC806" s="406" t="s">
        <v>85</v>
      </c>
      <c r="DD806" s="405" t="s">
        <v>917</v>
      </c>
      <c r="DE806" s="405" t="s">
        <v>5</v>
      </c>
      <c r="DF806" s="406" t="s">
        <v>85</v>
      </c>
      <c r="DG806" s="407">
        <v>45855</v>
      </c>
      <c r="DH806" s="405" t="s">
        <v>5105</v>
      </c>
      <c r="DI806" s="406">
        <v>465455</v>
      </c>
      <c r="DJ806" s="408">
        <v>5</v>
      </c>
      <c r="DK806" s="405">
        <v>1</v>
      </c>
      <c r="DL806" s="82">
        <v>340.55</v>
      </c>
      <c r="DM806" s="409">
        <v>1.70275</v>
      </c>
      <c r="DN806" s="82" t="s">
        <v>85</v>
      </c>
      <c r="DO806" s="82" t="s">
        <v>85</v>
      </c>
      <c r="DP806" s="410" t="s">
        <v>85</v>
      </c>
    </row>
    <row r="807" spans="1:120" x14ac:dyDescent="0.25">
      <c r="A807" s="16" t="s">
        <v>5109</v>
      </c>
      <c r="B807" s="16" t="s">
        <v>5110</v>
      </c>
      <c r="C807" s="16" t="s">
        <v>5111</v>
      </c>
      <c r="D807" s="16" t="s">
        <v>4964</v>
      </c>
      <c r="E807" s="16" t="s">
        <v>5112</v>
      </c>
      <c r="F807" s="16" t="s">
        <v>5113</v>
      </c>
      <c r="G807" s="16" t="s">
        <v>5114</v>
      </c>
      <c r="H807" s="16" t="s">
        <v>5113</v>
      </c>
      <c r="I807" s="16" t="s">
        <v>1017</v>
      </c>
      <c r="J807" s="16" t="s">
        <v>995</v>
      </c>
      <c r="K807" s="16" t="s">
        <v>1018</v>
      </c>
      <c r="L807" s="16" t="s">
        <v>85</v>
      </c>
      <c r="M807" s="16" t="s">
        <v>1165</v>
      </c>
      <c r="N807" s="16" t="s">
        <v>914</v>
      </c>
      <c r="O807" s="16" t="s">
        <v>1166</v>
      </c>
      <c r="P807" s="16" t="s">
        <v>914</v>
      </c>
      <c r="Q807" s="16" t="s">
        <v>1166</v>
      </c>
      <c r="R807" s="16" t="s">
        <v>915</v>
      </c>
      <c r="S807" s="16" t="s">
        <v>915</v>
      </c>
      <c r="T807" s="16" t="s">
        <v>1167</v>
      </c>
      <c r="U807" s="16" t="s">
        <v>1168</v>
      </c>
      <c r="V807" s="16" t="s">
        <v>916</v>
      </c>
      <c r="W807" s="16" t="s">
        <v>1168</v>
      </c>
      <c r="X807" s="16" t="s">
        <v>934</v>
      </c>
      <c r="Y807" s="16" t="s">
        <v>934</v>
      </c>
      <c r="Z807" s="16" t="s">
        <v>935</v>
      </c>
      <c r="DA807" s="405" t="s">
        <v>5</v>
      </c>
      <c r="DB807" s="405" t="s">
        <v>363</v>
      </c>
      <c r="DC807" s="406" t="s">
        <v>85</v>
      </c>
      <c r="DD807" s="405" t="s">
        <v>917</v>
      </c>
      <c r="DE807" s="405" t="s">
        <v>5</v>
      </c>
      <c r="DF807" s="406" t="s">
        <v>85</v>
      </c>
      <c r="DG807" s="407">
        <v>45855</v>
      </c>
      <c r="DH807" s="405" t="s">
        <v>5112</v>
      </c>
      <c r="DI807" s="406">
        <v>465455</v>
      </c>
      <c r="DJ807" s="408">
        <v>5</v>
      </c>
      <c r="DK807" s="405">
        <v>1</v>
      </c>
      <c r="DL807" s="82">
        <v>468.28</v>
      </c>
      <c r="DM807" s="409">
        <v>2.3413999999999997</v>
      </c>
      <c r="DN807" s="82" t="s">
        <v>85</v>
      </c>
      <c r="DO807" s="82" t="s">
        <v>85</v>
      </c>
      <c r="DP807" s="410" t="s">
        <v>85</v>
      </c>
    </row>
    <row r="808" spans="1:120" x14ac:dyDescent="0.25">
      <c r="A808" s="16" t="s">
        <v>5115</v>
      </c>
      <c r="B808" s="16" t="s">
        <v>5116</v>
      </c>
      <c r="C808" s="16" t="s">
        <v>5117</v>
      </c>
      <c r="D808" s="16" t="s">
        <v>4964</v>
      </c>
      <c r="E808" s="16" t="s">
        <v>5118</v>
      </c>
      <c r="F808" s="16" t="s">
        <v>5119</v>
      </c>
      <c r="G808" s="16" t="s">
        <v>5120</v>
      </c>
      <c r="H808" s="16" t="s">
        <v>5121</v>
      </c>
      <c r="I808" s="16" t="s">
        <v>1099</v>
      </c>
      <c r="J808" s="16" t="s">
        <v>943</v>
      </c>
      <c r="K808" s="16" t="s">
        <v>1100</v>
      </c>
      <c r="L808" s="16" t="s">
        <v>85</v>
      </c>
      <c r="M808" s="16" t="s">
        <v>984</v>
      </c>
      <c r="N808" s="16" t="s">
        <v>914</v>
      </c>
      <c r="O808" s="16" t="s">
        <v>985</v>
      </c>
      <c r="P808" s="16" t="s">
        <v>914</v>
      </c>
      <c r="Q808" s="16" t="s">
        <v>985</v>
      </c>
      <c r="R808" s="16" t="s">
        <v>915</v>
      </c>
      <c r="S808" s="16" t="s">
        <v>915</v>
      </c>
      <c r="T808" s="16" t="s">
        <v>986</v>
      </c>
      <c r="U808" s="16" t="s">
        <v>987</v>
      </c>
      <c r="V808" s="16" t="s">
        <v>916</v>
      </c>
      <c r="W808" s="16" t="s">
        <v>987</v>
      </c>
      <c r="X808" s="16" t="s">
        <v>934</v>
      </c>
      <c r="Y808" s="16" t="s">
        <v>934</v>
      </c>
      <c r="Z808" s="16" t="s">
        <v>935</v>
      </c>
      <c r="DA808" s="405" t="s">
        <v>5</v>
      </c>
      <c r="DB808" s="405" t="s">
        <v>363</v>
      </c>
      <c r="DC808" s="406" t="s">
        <v>85</v>
      </c>
      <c r="DD808" s="405" t="s">
        <v>917</v>
      </c>
      <c r="DE808" s="405" t="s">
        <v>5</v>
      </c>
      <c r="DF808" s="406" t="s">
        <v>85</v>
      </c>
      <c r="DG808" s="407">
        <v>45855</v>
      </c>
      <c r="DH808" s="405" t="s">
        <v>5118</v>
      </c>
      <c r="DI808" s="406">
        <v>465455</v>
      </c>
      <c r="DJ808" s="408">
        <v>5</v>
      </c>
      <c r="DK808" s="405">
        <v>1</v>
      </c>
      <c r="DL808" s="82">
        <v>340.55</v>
      </c>
      <c r="DM808" s="409">
        <v>1.70275</v>
      </c>
      <c r="DN808" s="82" t="s">
        <v>85</v>
      </c>
      <c r="DO808" s="82" t="s">
        <v>85</v>
      </c>
      <c r="DP808" s="410" t="s">
        <v>85</v>
      </c>
    </row>
    <row r="809" spans="1:120" x14ac:dyDescent="0.25">
      <c r="A809" s="16" t="s">
        <v>5122</v>
      </c>
      <c r="B809" s="16" t="s">
        <v>5123</v>
      </c>
      <c r="C809" s="16" t="s">
        <v>5124</v>
      </c>
      <c r="D809" s="16" t="s">
        <v>4964</v>
      </c>
      <c r="E809" s="16" t="s">
        <v>5125</v>
      </c>
      <c r="F809" s="16" t="s">
        <v>5126</v>
      </c>
      <c r="G809" s="16" t="s">
        <v>5127</v>
      </c>
      <c r="H809" s="16" t="s">
        <v>5128</v>
      </c>
      <c r="I809" s="16" t="s">
        <v>5129</v>
      </c>
      <c r="J809" s="16" t="s">
        <v>1354</v>
      </c>
      <c r="K809" s="16" t="s">
        <v>5130</v>
      </c>
      <c r="L809" s="16" t="s">
        <v>85</v>
      </c>
      <c r="M809" s="16" t="s">
        <v>945</v>
      </c>
      <c r="N809" s="16" t="s">
        <v>914</v>
      </c>
      <c r="O809" s="16" t="s">
        <v>946</v>
      </c>
      <c r="P809" s="16" t="s">
        <v>914</v>
      </c>
      <c r="Q809" s="16" t="s">
        <v>946</v>
      </c>
      <c r="R809" s="16" t="s">
        <v>915</v>
      </c>
      <c r="S809" s="16" t="s">
        <v>915</v>
      </c>
      <c r="T809" s="16" t="s">
        <v>945</v>
      </c>
      <c r="U809" s="16" t="s">
        <v>947</v>
      </c>
      <c r="V809" s="16" t="s">
        <v>916</v>
      </c>
      <c r="W809" s="16" t="s">
        <v>947</v>
      </c>
      <c r="X809" s="16" t="s">
        <v>934</v>
      </c>
      <c r="Y809" s="16" t="s">
        <v>934</v>
      </c>
      <c r="Z809" s="16" t="s">
        <v>935</v>
      </c>
      <c r="DA809" s="405" t="s">
        <v>5</v>
      </c>
      <c r="DB809" s="405" t="s">
        <v>363</v>
      </c>
      <c r="DC809" s="406" t="s">
        <v>85</v>
      </c>
      <c r="DD809" s="405" t="s">
        <v>917</v>
      </c>
      <c r="DE809" s="405" t="s">
        <v>5</v>
      </c>
      <c r="DF809" s="406" t="s">
        <v>85</v>
      </c>
      <c r="DG809" s="407">
        <v>45855</v>
      </c>
      <c r="DH809" s="405" t="s">
        <v>5125</v>
      </c>
      <c r="DI809" s="406">
        <v>465455</v>
      </c>
      <c r="DJ809" s="408">
        <v>5</v>
      </c>
      <c r="DK809" s="405">
        <v>1</v>
      </c>
      <c r="DL809" s="82">
        <v>319.27</v>
      </c>
      <c r="DM809" s="409">
        <v>1.5963499999999999</v>
      </c>
      <c r="DN809" s="82" t="s">
        <v>85</v>
      </c>
      <c r="DO809" s="82" t="s">
        <v>85</v>
      </c>
      <c r="DP809" s="410" t="s">
        <v>85</v>
      </c>
    </row>
    <row r="810" spans="1:120" x14ac:dyDescent="0.25">
      <c r="A810" s="16" t="s">
        <v>5131</v>
      </c>
      <c r="B810" s="16" t="s">
        <v>5132</v>
      </c>
      <c r="C810" s="16" t="s">
        <v>5133</v>
      </c>
      <c r="D810" s="16" t="s">
        <v>4964</v>
      </c>
      <c r="E810" s="16" t="s">
        <v>5134</v>
      </c>
      <c r="F810" s="16" t="s">
        <v>5135</v>
      </c>
      <c r="G810" s="16" t="s">
        <v>5136</v>
      </c>
      <c r="H810" s="16" t="s">
        <v>5137</v>
      </c>
      <c r="I810" s="16" t="s">
        <v>1737</v>
      </c>
      <c r="J810" s="16" t="s">
        <v>1123</v>
      </c>
      <c r="K810" s="16" t="s">
        <v>1738</v>
      </c>
      <c r="L810" s="16" t="s">
        <v>85</v>
      </c>
      <c r="M810" s="16" t="s">
        <v>1238</v>
      </c>
      <c r="N810" s="16" t="s">
        <v>914</v>
      </c>
      <c r="O810" s="16" t="s">
        <v>1239</v>
      </c>
      <c r="P810" s="16" t="s">
        <v>914</v>
      </c>
      <c r="Q810" s="16" t="s">
        <v>1239</v>
      </c>
      <c r="R810" s="16" t="s">
        <v>915</v>
      </c>
      <c r="S810" s="16" t="s">
        <v>915</v>
      </c>
      <c r="T810" s="16" t="s">
        <v>1238</v>
      </c>
      <c r="U810" s="16" t="s">
        <v>1240</v>
      </c>
      <c r="V810" s="16" t="s">
        <v>916</v>
      </c>
      <c r="W810" s="16" t="s">
        <v>1240</v>
      </c>
      <c r="X810" s="16" t="s">
        <v>934</v>
      </c>
      <c r="Y810" s="16" t="s">
        <v>934</v>
      </c>
      <c r="Z810" s="16" t="s">
        <v>935</v>
      </c>
      <c r="DA810" s="405" t="s">
        <v>5</v>
      </c>
      <c r="DB810" s="405" t="s">
        <v>363</v>
      </c>
      <c r="DC810" s="406" t="s">
        <v>85</v>
      </c>
      <c r="DD810" s="405" t="s">
        <v>917</v>
      </c>
      <c r="DE810" s="405" t="s">
        <v>5</v>
      </c>
      <c r="DF810" s="406" t="s">
        <v>85</v>
      </c>
      <c r="DG810" s="407">
        <v>45855</v>
      </c>
      <c r="DH810" s="405" t="s">
        <v>5134</v>
      </c>
      <c r="DI810" s="406">
        <v>465455</v>
      </c>
      <c r="DJ810" s="408">
        <v>5</v>
      </c>
      <c r="DK810" s="405">
        <v>1</v>
      </c>
      <c r="DL810" s="82">
        <v>383.16</v>
      </c>
      <c r="DM810" s="409">
        <v>1.9158000000000002</v>
      </c>
      <c r="DN810" s="82" t="s">
        <v>85</v>
      </c>
      <c r="DO810" s="82" t="s">
        <v>85</v>
      </c>
      <c r="DP810" s="410" t="s">
        <v>85</v>
      </c>
    </row>
    <row r="811" spans="1:120" x14ac:dyDescent="0.25">
      <c r="A811" s="16" t="s">
        <v>5138</v>
      </c>
      <c r="B811" s="16" t="s">
        <v>5139</v>
      </c>
      <c r="C811" s="16" t="s">
        <v>5140</v>
      </c>
      <c r="D811" s="16" t="s">
        <v>4964</v>
      </c>
      <c r="E811" s="16" t="s">
        <v>5141</v>
      </c>
      <c r="F811" s="16" t="s">
        <v>5142</v>
      </c>
      <c r="G811" s="16" t="s">
        <v>5143</v>
      </c>
      <c r="H811" s="16" t="s">
        <v>5144</v>
      </c>
      <c r="I811" s="16" t="s">
        <v>968</v>
      </c>
      <c r="J811" s="16" t="s">
        <v>943</v>
      </c>
      <c r="K811" s="16" t="s">
        <v>969</v>
      </c>
      <c r="L811" s="16" t="s">
        <v>85</v>
      </c>
      <c r="M811" s="16" t="s">
        <v>984</v>
      </c>
      <c r="N811" s="16" t="s">
        <v>914</v>
      </c>
      <c r="O811" s="16" t="s">
        <v>985</v>
      </c>
      <c r="P811" s="16" t="s">
        <v>914</v>
      </c>
      <c r="Q811" s="16" t="s">
        <v>985</v>
      </c>
      <c r="R811" s="16" t="s">
        <v>915</v>
      </c>
      <c r="S811" s="16" t="s">
        <v>915</v>
      </c>
      <c r="T811" s="16" t="s">
        <v>986</v>
      </c>
      <c r="U811" s="16" t="s">
        <v>987</v>
      </c>
      <c r="V811" s="16" t="s">
        <v>916</v>
      </c>
      <c r="W811" s="16" t="s">
        <v>987</v>
      </c>
      <c r="X811" s="16" t="s">
        <v>934</v>
      </c>
      <c r="Y811" s="16" t="s">
        <v>934</v>
      </c>
      <c r="Z811" s="16" t="s">
        <v>935</v>
      </c>
      <c r="DA811" s="405" t="s">
        <v>5</v>
      </c>
      <c r="DB811" s="405" t="s">
        <v>363</v>
      </c>
      <c r="DC811" s="406" t="s">
        <v>85</v>
      </c>
      <c r="DD811" s="405" t="s">
        <v>917</v>
      </c>
      <c r="DE811" s="405" t="s">
        <v>5</v>
      </c>
      <c r="DF811" s="406" t="s">
        <v>85</v>
      </c>
      <c r="DG811" s="407">
        <v>45855</v>
      </c>
      <c r="DH811" s="405" t="s">
        <v>5141</v>
      </c>
      <c r="DI811" s="406">
        <v>465455</v>
      </c>
      <c r="DJ811" s="408">
        <v>5</v>
      </c>
      <c r="DK811" s="405">
        <v>1</v>
      </c>
      <c r="DL811" s="82">
        <v>340.55</v>
      </c>
      <c r="DM811" s="409">
        <v>1.70275</v>
      </c>
      <c r="DN811" s="82" t="s">
        <v>85</v>
      </c>
      <c r="DO811" s="82" t="s">
        <v>85</v>
      </c>
      <c r="DP811" s="410" t="s">
        <v>85</v>
      </c>
    </row>
    <row r="812" spans="1:120" x14ac:dyDescent="0.25">
      <c r="A812" s="16" t="s">
        <v>5145</v>
      </c>
      <c r="B812" s="16" t="s">
        <v>5146</v>
      </c>
      <c r="C812" s="16" t="s">
        <v>5147</v>
      </c>
      <c r="D812" s="16" t="s">
        <v>4964</v>
      </c>
      <c r="E812" s="16" t="s">
        <v>5148</v>
      </c>
      <c r="F812" s="16" t="s">
        <v>5149</v>
      </c>
      <c r="G812" s="16" t="s">
        <v>5150</v>
      </c>
      <c r="H812" s="16" t="s">
        <v>5149</v>
      </c>
      <c r="I812" s="16" t="s">
        <v>4273</v>
      </c>
      <c r="J812" s="16" t="s">
        <v>943</v>
      </c>
      <c r="K812" s="16" t="s">
        <v>4274</v>
      </c>
      <c r="L812" s="16" t="s">
        <v>85</v>
      </c>
      <c r="M812" s="16" t="s">
        <v>984</v>
      </c>
      <c r="N812" s="16" t="s">
        <v>914</v>
      </c>
      <c r="O812" s="16" t="s">
        <v>985</v>
      </c>
      <c r="P812" s="16" t="s">
        <v>914</v>
      </c>
      <c r="Q812" s="16" t="s">
        <v>985</v>
      </c>
      <c r="R812" s="16" t="s">
        <v>915</v>
      </c>
      <c r="S812" s="16" t="s">
        <v>915</v>
      </c>
      <c r="T812" s="16" t="s">
        <v>986</v>
      </c>
      <c r="U812" s="16" t="s">
        <v>987</v>
      </c>
      <c r="V812" s="16" t="s">
        <v>916</v>
      </c>
      <c r="W812" s="16" t="s">
        <v>987</v>
      </c>
      <c r="X812" s="16" t="s">
        <v>934</v>
      </c>
      <c r="Y812" s="16" t="s">
        <v>934</v>
      </c>
      <c r="Z812" s="16" t="s">
        <v>935</v>
      </c>
      <c r="DA812" s="405" t="s">
        <v>5</v>
      </c>
      <c r="DB812" s="405" t="s">
        <v>363</v>
      </c>
      <c r="DC812" s="406" t="s">
        <v>85</v>
      </c>
      <c r="DD812" s="405" t="s">
        <v>917</v>
      </c>
      <c r="DE812" s="405" t="s">
        <v>5</v>
      </c>
      <c r="DF812" s="406" t="s">
        <v>85</v>
      </c>
      <c r="DG812" s="407">
        <v>45855</v>
      </c>
      <c r="DH812" s="405" t="s">
        <v>5148</v>
      </c>
      <c r="DI812" s="406">
        <v>465455</v>
      </c>
      <c r="DJ812" s="408">
        <v>5</v>
      </c>
      <c r="DK812" s="405">
        <v>1</v>
      </c>
      <c r="DL812" s="82">
        <v>340.55</v>
      </c>
      <c r="DM812" s="409">
        <v>1.70275</v>
      </c>
      <c r="DN812" s="82" t="s">
        <v>85</v>
      </c>
      <c r="DO812" s="82" t="s">
        <v>85</v>
      </c>
      <c r="DP812" s="410" t="s">
        <v>85</v>
      </c>
    </row>
    <row r="813" spans="1:120" x14ac:dyDescent="0.25">
      <c r="A813" s="16" t="s">
        <v>5151</v>
      </c>
      <c r="B813" s="16" t="s">
        <v>5152</v>
      </c>
      <c r="C813" s="16" t="s">
        <v>5153</v>
      </c>
      <c r="D813" s="16" t="s">
        <v>4964</v>
      </c>
      <c r="E813" s="16" t="s">
        <v>5154</v>
      </c>
      <c r="F813" s="16" t="s">
        <v>5155</v>
      </c>
      <c r="G813" s="16" t="s">
        <v>5156</v>
      </c>
      <c r="H813" s="16" t="s">
        <v>5157</v>
      </c>
      <c r="I813" s="16" t="s">
        <v>1150</v>
      </c>
      <c r="J813" s="16" t="s">
        <v>943</v>
      </c>
      <c r="K813" s="16" t="s">
        <v>1151</v>
      </c>
      <c r="L813" s="16" t="s">
        <v>85</v>
      </c>
      <c r="M813" s="16" t="s">
        <v>984</v>
      </c>
      <c r="N813" s="16" t="s">
        <v>914</v>
      </c>
      <c r="O813" s="16" t="s">
        <v>985</v>
      </c>
      <c r="P813" s="16" t="s">
        <v>914</v>
      </c>
      <c r="Q813" s="16" t="s">
        <v>985</v>
      </c>
      <c r="R813" s="16" t="s">
        <v>915</v>
      </c>
      <c r="S813" s="16" t="s">
        <v>915</v>
      </c>
      <c r="T813" s="16" t="s">
        <v>986</v>
      </c>
      <c r="U813" s="16" t="s">
        <v>987</v>
      </c>
      <c r="V813" s="16" t="s">
        <v>916</v>
      </c>
      <c r="W813" s="16" t="s">
        <v>987</v>
      </c>
      <c r="X813" s="16" t="s">
        <v>934</v>
      </c>
      <c r="Y813" s="16" t="s">
        <v>934</v>
      </c>
      <c r="Z813" s="16" t="s">
        <v>935</v>
      </c>
      <c r="DA813" s="405" t="s">
        <v>5</v>
      </c>
      <c r="DB813" s="405" t="s">
        <v>363</v>
      </c>
      <c r="DC813" s="406" t="s">
        <v>85</v>
      </c>
      <c r="DD813" s="405" t="s">
        <v>917</v>
      </c>
      <c r="DE813" s="405" t="s">
        <v>5</v>
      </c>
      <c r="DF813" s="406" t="s">
        <v>85</v>
      </c>
      <c r="DG813" s="407">
        <v>45855</v>
      </c>
      <c r="DH813" s="405" t="s">
        <v>5154</v>
      </c>
      <c r="DI813" s="406">
        <v>465455</v>
      </c>
      <c r="DJ813" s="408">
        <v>5</v>
      </c>
      <c r="DK813" s="405">
        <v>1</v>
      </c>
      <c r="DL813" s="82">
        <v>340.55</v>
      </c>
      <c r="DM813" s="409">
        <v>1.70275</v>
      </c>
      <c r="DN813" s="82" t="s">
        <v>85</v>
      </c>
      <c r="DO813" s="82" t="s">
        <v>85</v>
      </c>
      <c r="DP813" s="410" t="s">
        <v>85</v>
      </c>
    </row>
    <row r="814" spans="1:120" x14ac:dyDescent="0.25">
      <c r="A814" s="16" t="s">
        <v>5158</v>
      </c>
      <c r="B814" s="16" t="s">
        <v>5159</v>
      </c>
      <c r="C814" s="16" t="s">
        <v>5160</v>
      </c>
      <c r="D814" s="16" t="s">
        <v>4964</v>
      </c>
      <c r="E814" s="16" t="s">
        <v>5161</v>
      </c>
      <c r="F814" s="16" t="s">
        <v>5162</v>
      </c>
      <c r="G814" s="16" t="s">
        <v>5163</v>
      </c>
      <c r="H814" s="16" t="s">
        <v>5164</v>
      </c>
      <c r="I814" s="16" t="s">
        <v>1214</v>
      </c>
      <c r="J814" s="16" t="s">
        <v>1036</v>
      </c>
      <c r="K814" s="16" t="s">
        <v>1215</v>
      </c>
      <c r="L814" s="16" t="s">
        <v>85</v>
      </c>
      <c r="M814" s="16" t="s">
        <v>1216</v>
      </c>
      <c r="N814" s="16" t="s">
        <v>914</v>
      </c>
      <c r="O814" s="16" t="s">
        <v>946</v>
      </c>
      <c r="P814" s="16" t="s">
        <v>914</v>
      </c>
      <c r="Q814" s="16" t="s">
        <v>946</v>
      </c>
      <c r="R814" s="16" t="s">
        <v>915</v>
      </c>
      <c r="S814" s="16" t="s">
        <v>915</v>
      </c>
      <c r="T814" s="16" t="s">
        <v>1216</v>
      </c>
      <c r="U814" s="16" t="s">
        <v>1217</v>
      </c>
      <c r="V814" s="16" t="s">
        <v>916</v>
      </c>
      <c r="W814" s="16" t="s">
        <v>1217</v>
      </c>
      <c r="X814" s="16" t="s">
        <v>934</v>
      </c>
      <c r="Y814" s="16" t="s">
        <v>934</v>
      </c>
      <c r="Z814" s="16" t="s">
        <v>935</v>
      </c>
      <c r="DA814" s="405" t="s">
        <v>5</v>
      </c>
      <c r="DB814" s="405" t="s">
        <v>363</v>
      </c>
      <c r="DC814" s="406" t="s">
        <v>85</v>
      </c>
      <c r="DD814" s="405" t="s">
        <v>917</v>
      </c>
      <c r="DE814" s="405" t="s">
        <v>5</v>
      </c>
      <c r="DF814" s="406" t="s">
        <v>85</v>
      </c>
      <c r="DG814" s="407">
        <v>45855</v>
      </c>
      <c r="DH814" s="405" t="s">
        <v>5161</v>
      </c>
      <c r="DI814" s="406">
        <v>465455</v>
      </c>
      <c r="DJ814" s="408">
        <v>5</v>
      </c>
      <c r="DK814" s="405">
        <v>1</v>
      </c>
      <c r="DL814" s="82">
        <v>319.22000000000003</v>
      </c>
      <c r="DM814" s="409">
        <v>1.5961000000000001</v>
      </c>
      <c r="DN814" s="82" t="s">
        <v>85</v>
      </c>
      <c r="DO814" s="82" t="s">
        <v>85</v>
      </c>
      <c r="DP814" s="410" t="s">
        <v>85</v>
      </c>
    </row>
    <row r="815" spans="1:120" x14ac:dyDescent="0.25">
      <c r="A815" s="16" t="s">
        <v>5165</v>
      </c>
      <c r="B815" s="16" t="s">
        <v>5166</v>
      </c>
      <c r="C815" s="16" t="s">
        <v>5167</v>
      </c>
      <c r="D815" s="16" t="s">
        <v>4964</v>
      </c>
      <c r="E815" s="16" t="s">
        <v>5168</v>
      </c>
      <c r="F815" s="16" t="s">
        <v>5169</v>
      </c>
      <c r="G815" s="16" t="s">
        <v>5170</v>
      </c>
      <c r="H815" s="16" t="s">
        <v>5171</v>
      </c>
      <c r="I815" s="16" t="s">
        <v>1377</v>
      </c>
      <c r="J815" s="16" t="s">
        <v>943</v>
      </c>
      <c r="K815" s="16" t="s">
        <v>1378</v>
      </c>
      <c r="L815" s="16" t="s">
        <v>85</v>
      </c>
      <c r="M815" s="16" t="s">
        <v>984</v>
      </c>
      <c r="N815" s="16" t="s">
        <v>914</v>
      </c>
      <c r="O815" s="16" t="s">
        <v>985</v>
      </c>
      <c r="P815" s="16" t="s">
        <v>914</v>
      </c>
      <c r="Q815" s="16" t="s">
        <v>985</v>
      </c>
      <c r="R815" s="16" t="s">
        <v>915</v>
      </c>
      <c r="S815" s="16" t="s">
        <v>915</v>
      </c>
      <c r="T815" s="16" t="s">
        <v>986</v>
      </c>
      <c r="U815" s="16" t="s">
        <v>987</v>
      </c>
      <c r="V815" s="16" t="s">
        <v>916</v>
      </c>
      <c r="W815" s="16" t="s">
        <v>987</v>
      </c>
      <c r="X815" s="16" t="s">
        <v>934</v>
      </c>
      <c r="Y815" s="16" t="s">
        <v>934</v>
      </c>
      <c r="Z815" s="16" t="s">
        <v>935</v>
      </c>
      <c r="DA815" s="405" t="s">
        <v>5</v>
      </c>
      <c r="DB815" s="405" t="s">
        <v>363</v>
      </c>
      <c r="DC815" s="406" t="s">
        <v>85</v>
      </c>
      <c r="DD815" s="405" t="s">
        <v>917</v>
      </c>
      <c r="DE815" s="405" t="s">
        <v>5</v>
      </c>
      <c r="DF815" s="406" t="s">
        <v>85</v>
      </c>
      <c r="DG815" s="407">
        <v>45855</v>
      </c>
      <c r="DH815" s="405" t="s">
        <v>5168</v>
      </c>
      <c r="DI815" s="406">
        <v>465455</v>
      </c>
      <c r="DJ815" s="408">
        <v>5</v>
      </c>
      <c r="DK815" s="405">
        <v>1</v>
      </c>
      <c r="DL815" s="82">
        <v>340.55</v>
      </c>
      <c r="DM815" s="409">
        <v>1.70275</v>
      </c>
      <c r="DN815" s="82" t="s">
        <v>85</v>
      </c>
      <c r="DO815" s="82" t="s">
        <v>85</v>
      </c>
      <c r="DP815" s="410" t="s">
        <v>85</v>
      </c>
    </row>
    <row r="816" spans="1:120" x14ac:dyDescent="0.25">
      <c r="A816" s="16" t="s">
        <v>5172</v>
      </c>
      <c r="B816" s="16" t="s">
        <v>5173</v>
      </c>
      <c r="C816" s="16" t="s">
        <v>5174</v>
      </c>
      <c r="D816" s="16" t="s">
        <v>4964</v>
      </c>
      <c r="E816" s="16" t="s">
        <v>5175</v>
      </c>
      <c r="F816" s="16" t="s">
        <v>5176</v>
      </c>
      <c r="G816" s="16" t="s">
        <v>5177</v>
      </c>
      <c r="H816" s="16" t="s">
        <v>5178</v>
      </c>
      <c r="I816" s="16" t="s">
        <v>1214</v>
      </c>
      <c r="J816" s="16" t="s">
        <v>1036</v>
      </c>
      <c r="K816" s="16" t="s">
        <v>1215</v>
      </c>
      <c r="L816" s="16" t="s">
        <v>85</v>
      </c>
      <c r="M816" s="16" t="s">
        <v>1216</v>
      </c>
      <c r="N816" s="16" t="s">
        <v>914</v>
      </c>
      <c r="O816" s="16" t="s">
        <v>946</v>
      </c>
      <c r="P816" s="16" t="s">
        <v>914</v>
      </c>
      <c r="Q816" s="16" t="s">
        <v>946</v>
      </c>
      <c r="R816" s="16" t="s">
        <v>915</v>
      </c>
      <c r="S816" s="16" t="s">
        <v>915</v>
      </c>
      <c r="T816" s="16" t="s">
        <v>1216</v>
      </c>
      <c r="U816" s="16" t="s">
        <v>1217</v>
      </c>
      <c r="V816" s="16" t="s">
        <v>916</v>
      </c>
      <c r="W816" s="16" t="s">
        <v>1217</v>
      </c>
      <c r="X816" s="16" t="s">
        <v>934</v>
      </c>
      <c r="Y816" s="16" t="s">
        <v>934</v>
      </c>
      <c r="Z816" s="16" t="s">
        <v>935</v>
      </c>
      <c r="DA816" s="405" t="s">
        <v>5</v>
      </c>
      <c r="DB816" s="405" t="s">
        <v>363</v>
      </c>
      <c r="DC816" s="406" t="s">
        <v>85</v>
      </c>
      <c r="DD816" s="405" t="s">
        <v>917</v>
      </c>
      <c r="DE816" s="405" t="s">
        <v>5</v>
      </c>
      <c r="DF816" s="406" t="s">
        <v>85</v>
      </c>
      <c r="DG816" s="407">
        <v>45855</v>
      </c>
      <c r="DH816" s="405" t="s">
        <v>5175</v>
      </c>
      <c r="DI816" s="406">
        <v>465455</v>
      </c>
      <c r="DJ816" s="408">
        <v>5</v>
      </c>
      <c r="DK816" s="405">
        <v>1</v>
      </c>
      <c r="DL816" s="82">
        <v>319.22000000000003</v>
      </c>
      <c r="DM816" s="409">
        <v>1.5961000000000001</v>
      </c>
      <c r="DN816" s="82" t="s">
        <v>85</v>
      </c>
      <c r="DO816" s="82" t="s">
        <v>85</v>
      </c>
      <c r="DP816" s="410" t="s">
        <v>85</v>
      </c>
    </row>
    <row r="817" spans="1:120" x14ac:dyDescent="0.25">
      <c r="A817" s="16" t="s">
        <v>5179</v>
      </c>
      <c r="B817" s="16" t="s">
        <v>5180</v>
      </c>
      <c r="C817" s="16" t="s">
        <v>5181</v>
      </c>
      <c r="D817" s="16" t="s">
        <v>4964</v>
      </c>
      <c r="E817" s="16" t="s">
        <v>5182</v>
      </c>
      <c r="F817" s="16" t="s">
        <v>5183</v>
      </c>
      <c r="G817" s="16" t="s">
        <v>5184</v>
      </c>
      <c r="H817" s="16" t="s">
        <v>5176</v>
      </c>
      <c r="I817" s="16" t="s">
        <v>5185</v>
      </c>
      <c r="J817" s="16" t="s">
        <v>928</v>
      </c>
      <c r="K817" s="16" t="s">
        <v>5186</v>
      </c>
      <c r="L817" s="16" t="s">
        <v>85</v>
      </c>
      <c r="M817" s="16" t="s">
        <v>1322</v>
      </c>
      <c r="N817" s="16" t="s">
        <v>914</v>
      </c>
      <c r="O817" s="16" t="s">
        <v>1323</v>
      </c>
      <c r="P817" s="16" t="s">
        <v>914</v>
      </c>
      <c r="Q817" s="16" t="s">
        <v>1323</v>
      </c>
      <c r="R817" s="16" t="s">
        <v>915</v>
      </c>
      <c r="S817" s="16" t="s">
        <v>915</v>
      </c>
      <c r="T817" s="16" t="s">
        <v>1322</v>
      </c>
      <c r="U817" s="16" t="s">
        <v>1324</v>
      </c>
      <c r="V817" s="16" t="s">
        <v>916</v>
      </c>
      <c r="W817" s="16" t="s">
        <v>1324</v>
      </c>
      <c r="X817" s="16" t="s">
        <v>934</v>
      </c>
      <c r="Y817" s="16" t="s">
        <v>934</v>
      </c>
      <c r="Z817" s="16" t="s">
        <v>935</v>
      </c>
      <c r="DA817" s="405" t="s">
        <v>5</v>
      </c>
      <c r="DB817" s="405" t="s">
        <v>363</v>
      </c>
      <c r="DC817" s="406" t="s">
        <v>85</v>
      </c>
      <c r="DD817" s="405" t="s">
        <v>917</v>
      </c>
      <c r="DE817" s="405" t="s">
        <v>5</v>
      </c>
      <c r="DF817" s="406" t="s">
        <v>85</v>
      </c>
      <c r="DG817" s="407">
        <v>45855</v>
      </c>
      <c r="DH817" s="405" t="s">
        <v>5182</v>
      </c>
      <c r="DI817" s="406">
        <v>465455</v>
      </c>
      <c r="DJ817" s="408">
        <v>5</v>
      </c>
      <c r="DK817" s="405">
        <v>1</v>
      </c>
      <c r="DL817" s="82">
        <v>332.47</v>
      </c>
      <c r="DM817" s="409">
        <v>1.6623500000000002</v>
      </c>
      <c r="DN817" s="82" t="s">
        <v>85</v>
      </c>
      <c r="DO817" s="82" t="s">
        <v>85</v>
      </c>
      <c r="DP817" s="410" t="s">
        <v>85</v>
      </c>
    </row>
    <row r="818" spans="1:120" x14ac:dyDescent="0.25">
      <c r="A818" s="16" t="s">
        <v>5187</v>
      </c>
      <c r="B818" s="16" t="s">
        <v>5188</v>
      </c>
      <c r="C818" s="16" t="s">
        <v>5189</v>
      </c>
      <c r="D818" s="16" t="s">
        <v>4964</v>
      </c>
      <c r="E818" s="16" t="s">
        <v>5190</v>
      </c>
      <c r="F818" s="16" t="s">
        <v>5191</v>
      </c>
      <c r="G818" s="16" t="s">
        <v>5192</v>
      </c>
      <c r="H818" s="16" t="s">
        <v>5191</v>
      </c>
      <c r="I818" s="16" t="s">
        <v>1914</v>
      </c>
      <c r="J818" s="16" t="s">
        <v>928</v>
      </c>
      <c r="K818" s="16" t="s">
        <v>1915</v>
      </c>
      <c r="L818" s="16" t="s">
        <v>85</v>
      </c>
      <c r="M818" s="16" t="s">
        <v>1322</v>
      </c>
      <c r="N818" s="16" t="s">
        <v>914</v>
      </c>
      <c r="O818" s="16" t="s">
        <v>1323</v>
      </c>
      <c r="P818" s="16" t="s">
        <v>914</v>
      </c>
      <c r="Q818" s="16" t="s">
        <v>1323</v>
      </c>
      <c r="R818" s="16" t="s">
        <v>915</v>
      </c>
      <c r="S818" s="16" t="s">
        <v>915</v>
      </c>
      <c r="T818" s="16" t="s">
        <v>1322</v>
      </c>
      <c r="U818" s="16" t="s">
        <v>1324</v>
      </c>
      <c r="V818" s="16" t="s">
        <v>916</v>
      </c>
      <c r="W818" s="16" t="s">
        <v>1324</v>
      </c>
      <c r="X818" s="16" t="s">
        <v>934</v>
      </c>
      <c r="Y818" s="16" t="s">
        <v>934</v>
      </c>
      <c r="Z818" s="16" t="s">
        <v>935</v>
      </c>
      <c r="DA818" s="405" t="s">
        <v>5</v>
      </c>
      <c r="DB818" s="405" t="s">
        <v>363</v>
      </c>
      <c r="DC818" s="406" t="s">
        <v>85</v>
      </c>
      <c r="DD818" s="405" t="s">
        <v>917</v>
      </c>
      <c r="DE818" s="405" t="s">
        <v>5</v>
      </c>
      <c r="DF818" s="406" t="s">
        <v>85</v>
      </c>
      <c r="DG818" s="407">
        <v>45855</v>
      </c>
      <c r="DH818" s="405" t="s">
        <v>5190</v>
      </c>
      <c r="DI818" s="406">
        <v>465455</v>
      </c>
      <c r="DJ818" s="408">
        <v>5</v>
      </c>
      <c r="DK818" s="405">
        <v>1</v>
      </c>
      <c r="DL818" s="82">
        <v>332.47</v>
      </c>
      <c r="DM818" s="409">
        <v>1.6623500000000002</v>
      </c>
      <c r="DN818" s="82" t="s">
        <v>85</v>
      </c>
      <c r="DO818" s="82" t="s">
        <v>85</v>
      </c>
      <c r="DP818" s="410" t="s">
        <v>85</v>
      </c>
    </row>
    <row r="819" spans="1:120" x14ac:dyDescent="0.25">
      <c r="A819" s="16" t="s">
        <v>4713</v>
      </c>
      <c r="B819" s="16" t="s">
        <v>4714</v>
      </c>
      <c r="C819" s="16" t="s">
        <v>4715</v>
      </c>
      <c r="D819" s="16" t="s">
        <v>4716</v>
      </c>
      <c r="E819" s="16" t="s">
        <v>4717</v>
      </c>
      <c r="F819" s="16" t="s">
        <v>4718</v>
      </c>
      <c r="G819" s="16" t="s">
        <v>4719</v>
      </c>
      <c r="H819" s="16" t="s">
        <v>4718</v>
      </c>
      <c r="I819" s="16" t="s">
        <v>2690</v>
      </c>
      <c r="J819" s="16" t="s">
        <v>1123</v>
      </c>
      <c r="K819" s="16" t="s">
        <v>2691</v>
      </c>
      <c r="L819" s="16" t="s">
        <v>85</v>
      </c>
      <c r="M819" s="16" t="s">
        <v>1238</v>
      </c>
      <c r="N819" s="16" t="s">
        <v>914</v>
      </c>
      <c r="O819" s="16" t="s">
        <v>1239</v>
      </c>
      <c r="P819" s="16" t="s">
        <v>914</v>
      </c>
      <c r="Q819" s="16" t="s">
        <v>1239</v>
      </c>
      <c r="R819" s="16" t="s">
        <v>915</v>
      </c>
      <c r="S819" s="16" t="s">
        <v>915</v>
      </c>
      <c r="T819" s="16" t="s">
        <v>1238</v>
      </c>
      <c r="U819" s="16" t="s">
        <v>1240</v>
      </c>
      <c r="V819" s="16" t="s">
        <v>916</v>
      </c>
      <c r="W819" s="16" t="s">
        <v>1240</v>
      </c>
      <c r="X819" s="16" t="s">
        <v>934</v>
      </c>
      <c r="Y819" s="16" t="s">
        <v>934</v>
      </c>
      <c r="Z819" s="16" t="s">
        <v>935</v>
      </c>
      <c r="DA819" s="405" t="s">
        <v>5</v>
      </c>
      <c r="DB819" s="405" t="s">
        <v>363</v>
      </c>
      <c r="DC819" s="406" t="s">
        <v>85</v>
      </c>
      <c r="DD819" s="405" t="s">
        <v>917</v>
      </c>
      <c r="DE819" s="405" t="s">
        <v>5</v>
      </c>
      <c r="DF819" s="406" t="s">
        <v>85</v>
      </c>
      <c r="DG819" s="407">
        <v>45856</v>
      </c>
      <c r="DH819" s="405" t="s">
        <v>4717</v>
      </c>
      <c r="DI819" s="406">
        <v>465455</v>
      </c>
      <c r="DJ819" s="408">
        <v>5</v>
      </c>
      <c r="DK819" s="405">
        <v>1</v>
      </c>
      <c r="DL819" s="82">
        <v>383.16</v>
      </c>
      <c r="DM819" s="409">
        <v>1.9158000000000002</v>
      </c>
      <c r="DN819" s="82" t="s">
        <v>85</v>
      </c>
      <c r="DO819" s="82" t="s">
        <v>85</v>
      </c>
      <c r="DP819" s="410" t="s">
        <v>85</v>
      </c>
    </row>
    <row r="820" spans="1:120" x14ac:dyDescent="0.25">
      <c r="A820" s="16" t="s">
        <v>4720</v>
      </c>
      <c r="B820" s="16" t="s">
        <v>4721</v>
      </c>
      <c r="C820" s="16" t="s">
        <v>4722</v>
      </c>
      <c r="D820" s="16" t="s">
        <v>4716</v>
      </c>
      <c r="E820" s="16" t="s">
        <v>4723</v>
      </c>
      <c r="F820" s="16" t="s">
        <v>4724</v>
      </c>
      <c r="G820" s="16" t="s">
        <v>4725</v>
      </c>
      <c r="H820" s="16" t="s">
        <v>4726</v>
      </c>
      <c r="I820" s="16" t="s">
        <v>1937</v>
      </c>
      <c r="J820" s="16" t="s">
        <v>1036</v>
      </c>
      <c r="K820" s="16" t="s">
        <v>1938</v>
      </c>
      <c r="L820" s="16" t="s">
        <v>85</v>
      </c>
      <c r="M820" s="16" t="s">
        <v>1216</v>
      </c>
      <c r="N820" s="16" t="s">
        <v>914</v>
      </c>
      <c r="O820" s="16" t="s">
        <v>946</v>
      </c>
      <c r="P820" s="16" t="s">
        <v>914</v>
      </c>
      <c r="Q820" s="16" t="s">
        <v>946</v>
      </c>
      <c r="R820" s="16" t="s">
        <v>915</v>
      </c>
      <c r="S820" s="16" t="s">
        <v>915</v>
      </c>
      <c r="T820" s="16" t="s">
        <v>1216</v>
      </c>
      <c r="U820" s="16" t="s">
        <v>1217</v>
      </c>
      <c r="V820" s="16" t="s">
        <v>916</v>
      </c>
      <c r="W820" s="16" t="s">
        <v>1217</v>
      </c>
      <c r="X820" s="16" t="s">
        <v>934</v>
      </c>
      <c r="Y820" s="16" t="s">
        <v>934</v>
      </c>
      <c r="Z820" s="16" t="s">
        <v>935</v>
      </c>
      <c r="DA820" s="405" t="s">
        <v>5</v>
      </c>
      <c r="DB820" s="405" t="s">
        <v>363</v>
      </c>
      <c r="DC820" s="406" t="s">
        <v>85</v>
      </c>
      <c r="DD820" s="405" t="s">
        <v>917</v>
      </c>
      <c r="DE820" s="405" t="s">
        <v>5</v>
      </c>
      <c r="DF820" s="406" t="s">
        <v>85</v>
      </c>
      <c r="DG820" s="407">
        <v>45856</v>
      </c>
      <c r="DH820" s="405" t="s">
        <v>4723</v>
      </c>
      <c r="DI820" s="406">
        <v>465455</v>
      </c>
      <c r="DJ820" s="408">
        <v>5</v>
      </c>
      <c r="DK820" s="405">
        <v>1</v>
      </c>
      <c r="DL820" s="82">
        <v>319.22000000000003</v>
      </c>
      <c r="DM820" s="409">
        <v>1.5961000000000001</v>
      </c>
      <c r="DN820" s="82" t="s">
        <v>85</v>
      </c>
      <c r="DO820" s="82" t="s">
        <v>85</v>
      </c>
      <c r="DP820" s="410" t="s">
        <v>85</v>
      </c>
    </row>
    <row r="821" spans="1:120" x14ac:dyDescent="0.25">
      <c r="A821" s="16" t="s">
        <v>4727</v>
      </c>
      <c r="B821" s="16" t="s">
        <v>4728</v>
      </c>
      <c r="C821" s="16" t="s">
        <v>4729</v>
      </c>
      <c r="D821" s="16" t="s">
        <v>4716</v>
      </c>
      <c r="E821" s="16" t="s">
        <v>4730</v>
      </c>
      <c r="F821" s="16" t="s">
        <v>4731</v>
      </c>
      <c r="G821" s="16" t="s">
        <v>4732</v>
      </c>
      <c r="H821" s="16" t="s">
        <v>4731</v>
      </c>
      <c r="I821" s="16" t="s">
        <v>4733</v>
      </c>
      <c r="J821" s="16" t="s">
        <v>4734</v>
      </c>
      <c r="K821" s="16" t="s">
        <v>4735</v>
      </c>
      <c r="L821" s="16" t="s">
        <v>85</v>
      </c>
      <c r="M821" s="16" t="s">
        <v>4736</v>
      </c>
      <c r="N821" s="16" t="s">
        <v>914</v>
      </c>
      <c r="O821" s="16" t="s">
        <v>4737</v>
      </c>
      <c r="P821" s="16" t="s">
        <v>914</v>
      </c>
      <c r="Q821" s="16" t="s">
        <v>4737</v>
      </c>
      <c r="R821" s="16" t="s">
        <v>915</v>
      </c>
      <c r="S821" s="16" t="s">
        <v>915</v>
      </c>
      <c r="T821" s="16" t="s">
        <v>4738</v>
      </c>
      <c r="U821" s="16" t="s">
        <v>4739</v>
      </c>
      <c r="V821" s="16" t="s">
        <v>916</v>
      </c>
      <c r="W821" s="16" t="s">
        <v>4739</v>
      </c>
      <c r="X821" s="16" t="s">
        <v>934</v>
      </c>
      <c r="Y821" s="16" t="s">
        <v>934</v>
      </c>
      <c r="Z821" s="16" t="s">
        <v>935</v>
      </c>
      <c r="DA821" s="405" t="s">
        <v>5</v>
      </c>
      <c r="DB821" s="405" t="s">
        <v>363</v>
      </c>
      <c r="DC821" s="406" t="s">
        <v>85</v>
      </c>
      <c r="DD821" s="405" t="s">
        <v>917</v>
      </c>
      <c r="DE821" s="405" t="s">
        <v>5</v>
      </c>
      <c r="DF821" s="406" t="s">
        <v>85</v>
      </c>
      <c r="DG821" s="407">
        <v>45856</v>
      </c>
      <c r="DH821" s="405" t="s">
        <v>4730</v>
      </c>
      <c r="DI821" s="406">
        <v>465455</v>
      </c>
      <c r="DJ821" s="408">
        <v>5</v>
      </c>
      <c r="DK821" s="405">
        <v>1</v>
      </c>
      <c r="DL821" s="82">
        <v>159.38999999999999</v>
      </c>
      <c r="DM821" s="409">
        <v>0.79694999999999994</v>
      </c>
      <c r="DN821" s="82" t="s">
        <v>85</v>
      </c>
      <c r="DO821" s="82" t="s">
        <v>85</v>
      </c>
      <c r="DP821" s="410" t="s">
        <v>85</v>
      </c>
    </row>
    <row r="822" spans="1:120" x14ac:dyDescent="0.25">
      <c r="A822" s="16" t="s">
        <v>4740</v>
      </c>
      <c r="B822" s="16" t="s">
        <v>4741</v>
      </c>
      <c r="C822" s="16" t="s">
        <v>4742</v>
      </c>
      <c r="D822" s="16" t="s">
        <v>4716</v>
      </c>
      <c r="E822" s="16" t="s">
        <v>4743</v>
      </c>
      <c r="F822" s="16" t="s">
        <v>4744</v>
      </c>
      <c r="G822" s="16" t="s">
        <v>4745</v>
      </c>
      <c r="H822" s="16" t="s">
        <v>4744</v>
      </c>
      <c r="I822" s="16" t="s">
        <v>1772</v>
      </c>
      <c r="J822" s="16" t="s">
        <v>1036</v>
      </c>
      <c r="K822" s="16" t="s">
        <v>1773</v>
      </c>
      <c r="L822" s="16" t="s">
        <v>85</v>
      </c>
      <c r="M822" s="16" t="s">
        <v>1216</v>
      </c>
      <c r="N822" s="16" t="s">
        <v>914</v>
      </c>
      <c r="O822" s="16" t="s">
        <v>946</v>
      </c>
      <c r="P822" s="16" t="s">
        <v>914</v>
      </c>
      <c r="Q822" s="16" t="s">
        <v>946</v>
      </c>
      <c r="R822" s="16" t="s">
        <v>915</v>
      </c>
      <c r="S822" s="16" t="s">
        <v>915</v>
      </c>
      <c r="T822" s="16" t="s">
        <v>1216</v>
      </c>
      <c r="U822" s="16" t="s">
        <v>1217</v>
      </c>
      <c r="V822" s="16" t="s">
        <v>916</v>
      </c>
      <c r="W822" s="16" t="s">
        <v>1217</v>
      </c>
      <c r="X822" s="16" t="s">
        <v>934</v>
      </c>
      <c r="Y822" s="16" t="s">
        <v>934</v>
      </c>
      <c r="Z822" s="16" t="s">
        <v>935</v>
      </c>
      <c r="DA822" s="405" t="s">
        <v>5</v>
      </c>
      <c r="DB822" s="405" t="s">
        <v>363</v>
      </c>
      <c r="DC822" s="406" t="s">
        <v>85</v>
      </c>
      <c r="DD822" s="405" t="s">
        <v>917</v>
      </c>
      <c r="DE822" s="405" t="s">
        <v>5</v>
      </c>
      <c r="DF822" s="406" t="s">
        <v>85</v>
      </c>
      <c r="DG822" s="407">
        <v>45856</v>
      </c>
      <c r="DH822" s="405" t="s">
        <v>4743</v>
      </c>
      <c r="DI822" s="406">
        <v>465455</v>
      </c>
      <c r="DJ822" s="408">
        <v>5</v>
      </c>
      <c r="DK822" s="405">
        <v>1</v>
      </c>
      <c r="DL822" s="82">
        <v>319.22000000000003</v>
      </c>
      <c r="DM822" s="409">
        <v>1.5961000000000001</v>
      </c>
      <c r="DN822" s="82" t="s">
        <v>85</v>
      </c>
      <c r="DO822" s="82" t="s">
        <v>85</v>
      </c>
      <c r="DP822" s="410" t="s">
        <v>85</v>
      </c>
    </row>
    <row r="823" spans="1:120" x14ac:dyDescent="0.25">
      <c r="A823" s="16" t="s">
        <v>4746</v>
      </c>
      <c r="B823" s="16" t="s">
        <v>4747</v>
      </c>
      <c r="C823" s="16" t="s">
        <v>4748</v>
      </c>
      <c r="D823" s="16" t="s">
        <v>4716</v>
      </c>
      <c r="E823" s="16" t="s">
        <v>4749</v>
      </c>
      <c r="F823" s="16" t="s">
        <v>4750</v>
      </c>
      <c r="G823" s="16" t="s">
        <v>4751</v>
      </c>
      <c r="H823" s="16" t="s">
        <v>4752</v>
      </c>
      <c r="I823" s="16" t="s">
        <v>1248</v>
      </c>
      <c r="J823" s="16" t="s">
        <v>995</v>
      </c>
      <c r="K823" s="16" t="s">
        <v>1249</v>
      </c>
      <c r="L823" s="16" t="s">
        <v>85</v>
      </c>
      <c r="M823" s="16" t="s">
        <v>1165</v>
      </c>
      <c r="N823" s="16" t="s">
        <v>914</v>
      </c>
      <c r="O823" s="16" t="s">
        <v>1166</v>
      </c>
      <c r="P823" s="16" t="s">
        <v>914</v>
      </c>
      <c r="Q823" s="16" t="s">
        <v>1166</v>
      </c>
      <c r="R823" s="16" t="s">
        <v>915</v>
      </c>
      <c r="S823" s="16" t="s">
        <v>915</v>
      </c>
      <c r="T823" s="16" t="s">
        <v>1167</v>
      </c>
      <c r="U823" s="16" t="s">
        <v>1168</v>
      </c>
      <c r="V823" s="16" t="s">
        <v>916</v>
      </c>
      <c r="W823" s="16" t="s">
        <v>1168</v>
      </c>
      <c r="X823" s="16" t="s">
        <v>934</v>
      </c>
      <c r="Y823" s="16" t="s">
        <v>934</v>
      </c>
      <c r="Z823" s="16" t="s">
        <v>935</v>
      </c>
      <c r="DA823" s="405" t="s">
        <v>5</v>
      </c>
      <c r="DB823" s="405" t="s">
        <v>363</v>
      </c>
      <c r="DC823" s="406" t="s">
        <v>85</v>
      </c>
      <c r="DD823" s="405" t="s">
        <v>917</v>
      </c>
      <c r="DE823" s="405" t="s">
        <v>5</v>
      </c>
      <c r="DF823" s="406" t="s">
        <v>85</v>
      </c>
      <c r="DG823" s="407">
        <v>45856</v>
      </c>
      <c r="DH823" s="405" t="s">
        <v>4749</v>
      </c>
      <c r="DI823" s="406">
        <v>465455</v>
      </c>
      <c r="DJ823" s="408">
        <v>5</v>
      </c>
      <c r="DK823" s="405">
        <v>1</v>
      </c>
      <c r="DL823" s="82">
        <v>468.28</v>
      </c>
      <c r="DM823" s="409">
        <v>2.3413999999999997</v>
      </c>
      <c r="DN823" s="82" t="s">
        <v>85</v>
      </c>
      <c r="DO823" s="82" t="s">
        <v>85</v>
      </c>
      <c r="DP823" s="410" t="s">
        <v>85</v>
      </c>
    </row>
    <row r="824" spans="1:120" x14ac:dyDescent="0.25">
      <c r="A824" s="16" t="s">
        <v>4753</v>
      </c>
      <c r="B824" s="16" t="s">
        <v>4754</v>
      </c>
      <c r="C824" s="16" t="s">
        <v>4755</v>
      </c>
      <c r="D824" s="16" t="s">
        <v>4716</v>
      </c>
      <c r="E824" s="16" t="s">
        <v>4756</v>
      </c>
      <c r="F824" s="16" t="s">
        <v>4757</v>
      </c>
      <c r="G824" s="16" t="s">
        <v>4758</v>
      </c>
      <c r="H824" s="16" t="s">
        <v>4759</v>
      </c>
      <c r="I824" s="16" t="s">
        <v>4760</v>
      </c>
      <c r="J824" s="16" t="s">
        <v>1123</v>
      </c>
      <c r="K824" s="16" t="s">
        <v>4761</v>
      </c>
      <c r="L824" s="16" t="s">
        <v>85</v>
      </c>
      <c r="M824" s="16" t="s">
        <v>1238</v>
      </c>
      <c r="N824" s="16" t="s">
        <v>914</v>
      </c>
      <c r="O824" s="16" t="s">
        <v>1239</v>
      </c>
      <c r="P824" s="16" t="s">
        <v>914</v>
      </c>
      <c r="Q824" s="16" t="s">
        <v>1239</v>
      </c>
      <c r="R824" s="16" t="s">
        <v>915</v>
      </c>
      <c r="S824" s="16" t="s">
        <v>915</v>
      </c>
      <c r="T824" s="16" t="s">
        <v>1238</v>
      </c>
      <c r="U824" s="16" t="s">
        <v>1240</v>
      </c>
      <c r="V824" s="16" t="s">
        <v>916</v>
      </c>
      <c r="W824" s="16" t="s">
        <v>1240</v>
      </c>
      <c r="X824" s="16" t="s">
        <v>934</v>
      </c>
      <c r="Y824" s="16" t="s">
        <v>934</v>
      </c>
      <c r="Z824" s="16" t="s">
        <v>935</v>
      </c>
      <c r="DA824" s="405" t="s">
        <v>5</v>
      </c>
      <c r="DB824" s="405" t="s">
        <v>363</v>
      </c>
      <c r="DC824" s="406" t="s">
        <v>85</v>
      </c>
      <c r="DD824" s="405" t="s">
        <v>917</v>
      </c>
      <c r="DE824" s="405" t="s">
        <v>5</v>
      </c>
      <c r="DF824" s="406" t="s">
        <v>85</v>
      </c>
      <c r="DG824" s="407">
        <v>45856</v>
      </c>
      <c r="DH824" s="405" t="s">
        <v>4756</v>
      </c>
      <c r="DI824" s="406">
        <v>465455</v>
      </c>
      <c r="DJ824" s="408">
        <v>5</v>
      </c>
      <c r="DK824" s="405">
        <v>1</v>
      </c>
      <c r="DL824" s="82">
        <v>383.16</v>
      </c>
      <c r="DM824" s="409">
        <v>1.9158000000000002</v>
      </c>
      <c r="DN824" s="82" t="s">
        <v>85</v>
      </c>
      <c r="DO824" s="82" t="s">
        <v>85</v>
      </c>
      <c r="DP824" s="410" t="s">
        <v>85</v>
      </c>
    </row>
    <row r="825" spans="1:120" x14ac:dyDescent="0.25">
      <c r="A825" s="16" t="s">
        <v>4762</v>
      </c>
      <c r="B825" s="16" t="s">
        <v>4763</v>
      </c>
      <c r="C825" s="16" t="s">
        <v>4764</v>
      </c>
      <c r="D825" s="16" t="s">
        <v>4716</v>
      </c>
      <c r="E825" s="16" t="s">
        <v>4765</v>
      </c>
      <c r="F825" s="16" t="s">
        <v>4766</v>
      </c>
      <c r="G825" s="16" t="s">
        <v>4767</v>
      </c>
      <c r="H825" s="16" t="s">
        <v>4766</v>
      </c>
      <c r="I825" s="16" t="s">
        <v>2721</v>
      </c>
      <c r="J825" s="16" t="s">
        <v>928</v>
      </c>
      <c r="K825" s="16" t="s">
        <v>2722</v>
      </c>
      <c r="L825" s="16" t="s">
        <v>85</v>
      </c>
      <c r="M825" s="16" t="s">
        <v>1322</v>
      </c>
      <c r="N825" s="16" t="s">
        <v>914</v>
      </c>
      <c r="O825" s="16" t="s">
        <v>1323</v>
      </c>
      <c r="P825" s="16" t="s">
        <v>914</v>
      </c>
      <c r="Q825" s="16" t="s">
        <v>1323</v>
      </c>
      <c r="R825" s="16" t="s">
        <v>915</v>
      </c>
      <c r="S825" s="16" t="s">
        <v>915</v>
      </c>
      <c r="T825" s="16" t="s">
        <v>1322</v>
      </c>
      <c r="U825" s="16" t="s">
        <v>1324</v>
      </c>
      <c r="V825" s="16" t="s">
        <v>916</v>
      </c>
      <c r="W825" s="16" t="s">
        <v>1324</v>
      </c>
      <c r="X825" s="16" t="s">
        <v>934</v>
      </c>
      <c r="Y825" s="16" t="s">
        <v>934</v>
      </c>
      <c r="Z825" s="16" t="s">
        <v>935</v>
      </c>
      <c r="DA825" s="405" t="s">
        <v>5</v>
      </c>
      <c r="DB825" s="405" t="s">
        <v>363</v>
      </c>
      <c r="DC825" s="406" t="s">
        <v>85</v>
      </c>
      <c r="DD825" s="405" t="s">
        <v>917</v>
      </c>
      <c r="DE825" s="405" t="s">
        <v>5</v>
      </c>
      <c r="DF825" s="406" t="s">
        <v>85</v>
      </c>
      <c r="DG825" s="407">
        <v>45856</v>
      </c>
      <c r="DH825" s="405" t="s">
        <v>4765</v>
      </c>
      <c r="DI825" s="406">
        <v>465455</v>
      </c>
      <c r="DJ825" s="408">
        <v>5</v>
      </c>
      <c r="DK825" s="405">
        <v>1</v>
      </c>
      <c r="DL825" s="82">
        <v>332.47</v>
      </c>
      <c r="DM825" s="409">
        <v>1.6623500000000002</v>
      </c>
      <c r="DN825" s="82" t="s">
        <v>85</v>
      </c>
      <c r="DO825" s="82" t="s">
        <v>85</v>
      </c>
      <c r="DP825" s="410" t="s">
        <v>85</v>
      </c>
    </row>
    <row r="826" spans="1:120" x14ac:dyDescent="0.25">
      <c r="A826" s="16" t="s">
        <v>4768</v>
      </c>
      <c r="B826" s="16" t="s">
        <v>4769</v>
      </c>
      <c r="C826" s="16" t="s">
        <v>4770</v>
      </c>
      <c r="D826" s="16" t="s">
        <v>4716</v>
      </c>
      <c r="E826" s="16" t="s">
        <v>4771</v>
      </c>
      <c r="F826" s="16" t="s">
        <v>4772</v>
      </c>
      <c r="G826" s="16" t="s">
        <v>4773</v>
      </c>
      <c r="H826" s="16" t="s">
        <v>4774</v>
      </c>
      <c r="I826" s="16" t="s">
        <v>1414</v>
      </c>
      <c r="J826" s="16" t="s">
        <v>1109</v>
      </c>
      <c r="K826" s="16" t="s">
        <v>1415</v>
      </c>
      <c r="L826" s="16" t="s">
        <v>85</v>
      </c>
      <c r="M826" s="16" t="s">
        <v>1311</v>
      </c>
      <c r="N826" s="16" t="s">
        <v>914</v>
      </c>
      <c r="O826" s="16" t="s">
        <v>1312</v>
      </c>
      <c r="P826" s="16" t="s">
        <v>914</v>
      </c>
      <c r="Q826" s="16" t="s">
        <v>1312</v>
      </c>
      <c r="R826" s="16" t="s">
        <v>915</v>
      </c>
      <c r="S826" s="16" t="s">
        <v>915</v>
      </c>
      <c r="T826" s="16" t="s">
        <v>1311</v>
      </c>
      <c r="U826" s="16" t="s">
        <v>1313</v>
      </c>
      <c r="V826" s="16" t="s">
        <v>916</v>
      </c>
      <c r="W826" s="16" t="s">
        <v>1313</v>
      </c>
      <c r="X826" s="16" t="s">
        <v>934</v>
      </c>
      <c r="Y826" s="16" t="s">
        <v>934</v>
      </c>
      <c r="Z826" s="16" t="s">
        <v>935</v>
      </c>
      <c r="DA826" s="405" t="s">
        <v>5</v>
      </c>
      <c r="DB826" s="405" t="s">
        <v>363</v>
      </c>
      <c r="DC826" s="406" t="s">
        <v>85</v>
      </c>
      <c r="DD826" s="405" t="s">
        <v>917</v>
      </c>
      <c r="DE826" s="405" t="s">
        <v>5</v>
      </c>
      <c r="DF826" s="406" t="s">
        <v>85</v>
      </c>
      <c r="DG826" s="407">
        <v>45856</v>
      </c>
      <c r="DH826" s="405" t="s">
        <v>4771</v>
      </c>
      <c r="DI826" s="406">
        <v>465455</v>
      </c>
      <c r="DJ826" s="408">
        <v>5</v>
      </c>
      <c r="DK826" s="405">
        <v>1</v>
      </c>
      <c r="DL826" s="82">
        <v>531.54</v>
      </c>
      <c r="DM826" s="409">
        <v>2.6576999999999997</v>
      </c>
      <c r="DN826" s="82" t="s">
        <v>85</v>
      </c>
      <c r="DO826" s="82" t="s">
        <v>85</v>
      </c>
      <c r="DP826" s="410" t="s">
        <v>85</v>
      </c>
    </row>
    <row r="827" spans="1:120" x14ac:dyDescent="0.25">
      <c r="A827" s="16" t="s">
        <v>4775</v>
      </c>
      <c r="B827" s="16" t="s">
        <v>4776</v>
      </c>
      <c r="C827" s="16" t="s">
        <v>4777</v>
      </c>
      <c r="D827" s="16" t="s">
        <v>4716</v>
      </c>
      <c r="E827" s="16" t="s">
        <v>4778</v>
      </c>
      <c r="F827" s="16" t="s">
        <v>4779</v>
      </c>
      <c r="G827" s="16" t="s">
        <v>4780</v>
      </c>
      <c r="H827" s="16" t="s">
        <v>4781</v>
      </c>
      <c r="I827" s="16" t="s">
        <v>994</v>
      </c>
      <c r="J827" s="16" t="s">
        <v>995</v>
      </c>
      <c r="K827" s="16" t="s">
        <v>996</v>
      </c>
      <c r="L827" s="16" t="s">
        <v>85</v>
      </c>
      <c r="M827" s="16" t="s">
        <v>3840</v>
      </c>
      <c r="N827" s="16" t="s">
        <v>914</v>
      </c>
      <c r="O827" s="16" t="s">
        <v>3841</v>
      </c>
      <c r="P827" s="16" t="s">
        <v>914</v>
      </c>
      <c r="Q827" s="16" t="s">
        <v>3841</v>
      </c>
      <c r="R827" s="16" t="s">
        <v>915</v>
      </c>
      <c r="S827" s="16" t="s">
        <v>915</v>
      </c>
      <c r="T827" s="16" t="s">
        <v>3840</v>
      </c>
      <c r="U827" s="16" t="s">
        <v>3842</v>
      </c>
      <c r="V827" s="16" t="s">
        <v>916</v>
      </c>
      <c r="W827" s="16" t="s">
        <v>3842</v>
      </c>
      <c r="X827" s="16" t="s">
        <v>934</v>
      </c>
      <c r="Y827" s="16" t="s">
        <v>934</v>
      </c>
      <c r="Z827" s="16" t="s">
        <v>935</v>
      </c>
      <c r="DA827" s="405" t="s">
        <v>5</v>
      </c>
      <c r="DB827" s="405" t="s">
        <v>363</v>
      </c>
      <c r="DC827" s="406" t="s">
        <v>85</v>
      </c>
      <c r="DD827" s="405" t="s">
        <v>917</v>
      </c>
      <c r="DE827" s="405" t="s">
        <v>5</v>
      </c>
      <c r="DF827" s="406" t="s">
        <v>85</v>
      </c>
      <c r="DG827" s="407">
        <v>45856</v>
      </c>
      <c r="DH827" s="405" t="s">
        <v>4778</v>
      </c>
      <c r="DI827" s="406">
        <v>465455</v>
      </c>
      <c r="DJ827" s="408">
        <v>5</v>
      </c>
      <c r="DK827" s="405">
        <v>1</v>
      </c>
      <c r="DL827" s="82">
        <v>433.17</v>
      </c>
      <c r="DM827" s="409">
        <v>2.1658500000000003</v>
      </c>
      <c r="DN827" s="82" t="s">
        <v>85</v>
      </c>
      <c r="DO827" s="82" t="s">
        <v>85</v>
      </c>
      <c r="DP827" s="410" t="s">
        <v>85</v>
      </c>
    </row>
    <row r="828" spans="1:120" x14ac:dyDescent="0.25">
      <c r="A828" s="16" t="s">
        <v>4782</v>
      </c>
      <c r="B828" s="16" t="s">
        <v>4783</v>
      </c>
      <c r="C828" s="16" t="s">
        <v>4784</v>
      </c>
      <c r="D828" s="16" t="s">
        <v>4716</v>
      </c>
      <c r="E828" s="16" t="s">
        <v>4785</v>
      </c>
      <c r="F828" s="16" t="s">
        <v>4786</v>
      </c>
      <c r="G828" s="16" t="s">
        <v>4787</v>
      </c>
      <c r="H828" s="16" t="s">
        <v>4788</v>
      </c>
      <c r="I828" s="16" t="s">
        <v>4789</v>
      </c>
      <c r="J828" s="16" t="s">
        <v>928</v>
      </c>
      <c r="K828" s="16" t="s">
        <v>4790</v>
      </c>
      <c r="L828" s="16" t="s">
        <v>85</v>
      </c>
      <c r="M828" s="16" t="s">
        <v>1322</v>
      </c>
      <c r="N828" s="16" t="s">
        <v>914</v>
      </c>
      <c r="O828" s="16" t="s">
        <v>1323</v>
      </c>
      <c r="P828" s="16" t="s">
        <v>914</v>
      </c>
      <c r="Q828" s="16" t="s">
        <v>1323</v>
      </c>
      <c r="R828" s="16" t="s">
        <v>915</v>
      </c>
      <c r="S828" s="16" t="s">
        <v>915</v>
      </c>
      <c r="T828" s="16" t="s">
        <v>1322</v>
      </c>
      <c r="U828" s="16" t="s">
        <v>1324</v>
      </c>
      <c r="V828" s="16" t="s">
        <v>916</v>
      </c>
      <c r="W828" s="16" t="s">
        <v>1324</v>
      </c>
      <c r="X828" s="16" t="s">
        <v>934</v>
      </c>
      <c r="Y828" s="16" t="s">
        <v>934</v>
      </c>
      <c r="Z828" s="16" t="s">
        <v>935</v>
      </c>
      <c r="DA828" s="405" t="s">
        <v>5</v>
      </c>
      <c r="DB828" s="405" t="s">
        <v>363</v>
      </c>
      <c r="DC828" s="406" t="s">
        <v>85</v>
      </c>
      <c r="DD828" s="405" t="s">
        <v>917</v>
      </c>
      <c r="DE828" s="405" t="s">
        <v>5</v>
      </c>
      <c r="DF828" s="406" t="s">
        <v>85</v>
      </c>
      <c r="DG828" s="407">
        <v>45856</v>
      </c>
      <c r="DH828" s="405" t="s">
        <v>4785</v>
      </c>
      <c r="DI828" s="406">
        <v>465455</v>
      </c>
      <c r="DJ828" s="408">
        <v>5</v>
      </c>
      <c r="DK828" s="405">
        <v>1</v>
      </c>
      <c r="DL828" s="82">
        <v>332.47</v>
      </c>
      <c r="DM828" s="409">
        <v>1.6623500000000002</v>
      </c>
      <c r="DN828" s="82" t="s">
        <v>85</v>
      </c>
      <c r="DO828" s="82" t="s">
        <v>85</v>
      </c>
      <c r="DP828" s="410" t="s">
        <v>85</v>
      </c>
    </row>
    <row r="829" spans="1:120" x14ac:dyDescent="0.25">
      <c r="A829" s="16" t="s">
        <v>4791</v>
      </c>
      <c r="B829" s="16" t="s">
        <v>4792</v>
      </c>
      <c r="C829" s="16" t="s">
        <v>4793</v>
      </c>
      <c r="D829" s="16" t="s">
        <v>4716</v>
      </c>
      <c r="E829" s="16" t="s">
        <v>4794</v>
      </c>
      <c r="F829" s="16" t="s">
        <v>4795</v>
      </c>
      <c r="G829" s="16" t="s">
        <v>4796</v>
      </c>
      <c r="H829" s="16" t="s">
        <v>4797</v>
      </c>
      <c r="I829" s="16" t="s">
        <v>2676</v>
      </c>
      <c r="J829" s="16" t="s">
        <v>943</v>
      </c>
      <c r="K829" s="16" t="s">
        <v>2677</v>
      </c>
      <c r="L829" s="16" t="s">
        <v>85</v>
      </c>
      <c r="M829" s="16" t="s">
        <v>984</v>
      </c>
      <c r="N829" s="16" t="s">
        <v>914</v>
      </c>
      <c r="O829" s="16" t="s">
        <v>985</v>
      </c>
      <c r="P829" s="16" t="s">
        <v>914</v>
      </c>
      <c r="Q829" s="16" t="s">
        <v>985</v>
      </c>
      <c r="R829" s="16" t="s">
        <v>915</v>
      </c>
      <c r="S829" s="16" t="s">
        <v>915</v>
      </c>
      <c r="T829" s="16" t="s">
        <v>986</v>
      </c>
      <c r="U829" s="16" t="s">
        <v>987</v>
      </c>
      <c r="V829" s="16" t="s">
        <v>916</v>
      </c>
      <c r="W829" s="16" t="s">
        <v>987</v>
      </c>
      <c r="X829" s="16" t="s">
        <v>934</v>
      </c>
      <c r="Y829" s="16" t="s">
        <v>934</v>
      </c>
      <c r="Z829" s="16" t="s">
        <v>935</v>
      </c>
      <c r="DA829" s="405" t="s">
        <v>5</v>
      </c>
      <c r="DB829" s="405" t="s">
        <v>363</v>
      </c>
      <c r="DC829" s="406" t="s">
        <v>85</v>
      </c>
      <c r="DD829" s="405" t="s">
        <v>917</v>
      </c>
      <c r="DE829" s="405" t="s">
        <v>5</v>
      </c>
      <c r="DF829" s="406" t="s">
        <v>85</v>
      </c>
      <c r="DG829" s="407">
        <v>45856</v>
      </c>
      <c r="DH829" s="405" t="s">
        <v>4794</v>
      </c>
      <c r="DI829" s="406">
        <v>465455</v>
      </c>
      <c r="DJ829" s="408">
        <v>5</v>
      </c>
      <c r="DK829" s="405">
        <v>1</v>
      </c>
      <c r="DL829" s="82">
        <v>340.55</v>
      </c>
      <c r="DM829" s="409">
        <v>1.70275</v>
      </c>
      <c r="DN829" s="82" t="s">
        <v>85</v>
      </c>
      <c r="DO829" s="82" t="s">
        <v>85</v>
      </c>
      <c r="DP829" s="410" t="s">
        <v>85</v>
      </c>
    </row>
    <row r="830" spans="1:120" x14ac:dyDescent="0.25">
      <c r="A830" s="16" t="s">
        <v>4798</v>
      </c>
      <c r="B830" s="16" t="s">
        <v>4799</v>
      </c>
      <c r="C830" s="16" t="s">
        <v>4800</v>
      </c>
      <c r="D830" s="16" t="s">
        <v>4716</v>
      </c>
      <c r="E830" s="16" t="s">
        <v>4801</v>
      </c>
      <c r="F830" s="16" t="s">
        <v>4802</v>
      </c>
      <c r="G830" s="16" t="s">
        <v>4803</v>
      </c>
      <c r="H830" s="16" t="s">
        <v>4804</v>
      </c>
      <c r="I830" s="16" t="s">
        <v>1765</v>
      </c>
      <c r="J830" s="16" t="s">
        <v>943</v>
      </c>
      <c r="K830" s="16" t="s">
        <v>1766</v>
      </c>
      <c r="L830" s="16" t="s">
        <v>85</v>
      </c>
      <c r="M830" s="16" t="s">
        <v>984</v>
      </c>
      <c r="N830" s="16" t="s">
        <v>914</v>
      </c>
      <c r="O830" s="16" t="s">
        <v>985</v>
      </c>
      <c r="P830" s="16" t="s">
        <v>914</v>
      </c>
      <c r="Q830" s="16" t="s">
        <v>985</v>
      </c>
      <c r="R830" s="16" t="s">
        <v>915</v>
      </c>
      <c r="S830" s="16" t="s">
        <v>915</v>
      </c>
      <c r="T830" s="16" t="s">
        <v>986</v>
      </c>
      <c r="U830" s="16" t="s">
        <v>987</v>
      </c>
      <c r="V830" s="16" t="s">
        <v>916</v>
      </c>
      <c r="W830" s="16" t="s">
        <v>987</v>
      </c>
      <c r="X830" s="16" t="s">
        <v>934</v>
      </c>
      <c r="Y830" s="16" t="s">
        <v>934</v>
      </c>
      <c r="Z830" s="16" t="s">
        <v>935</v>
      </c>
      <c r="DA830" s="405" t="s">
        <v>5</v>
      </c>
      <c r="DB830" s="405" t="s">
        <v>363</v>
      </c>
      <c r="DC830" s="406" t="s">
        <v>85</v>
      </c>
      <c r="DD830" s="405" t="s">
        <v>917</v>
      </c>
      <c r="DE830" s="405" t="s">
        <v>5</v>
      </c>
      <c r="DF830" s="406" t="s">
        <v>85</v>
      </c>
      <c r="DG830" s="407">
        <v>45856</v>
      </c>
      <c r="DH830" s="405" t="s">
        <v>4801</v>
      </c>
      <c r="DI830" s="406">
        <v>465455</v>
      </c>
      <c r="DJ830" s="408">
        <v>5</v>
      </c>
      <c r="DK830" s="405">
        <v>1</v>
      </c>
      <c r="DL830" s="82">
        <v>340.55</v>
      </c>
      <c r="DM830" s="409">
        <v>1.70275</v>
      </c>
      <c r="DN830" s="82" t="s">
        <v>85</v>
      </c>
      <c r="DO830" s="82" t="s">
        <v>85</v>
      </c>
      <c r="DP830" s="410" t="s">
        <v>85</v>
      </c>
    </row>
    <row r="831" spans="1:120" x14ac:dyDescent="0.25">
      <c r="A831" s="16" t="s">
        <v>4805</v>
      </c>
      <c r="B831" s="16" t="s">
        <v>4806</v>
      </c>
      <c r="C831" s="16" t="s">
        <v>4807</v>
      </c>
      <c r="D831" s="16" t="s">
        <v>4716</v>
      </c>
      <c r="E831" s="16" t="s">
        <v>4808</v>
      </c>
      <c r="F831" s="16" t="s">
        <v>4809</v>
      </c>
      <c r="G831" s="16" t="s">
        <v>4810</v>
      </c>
      <c r="H831" s="16" t="s">
        <v>4811</v>
      </c>
      <c r="I831" s="16" t="s">
        <v>2997</v>
      </c>
      <c r="J831" s="16" t="s">
        <v>943</v>
      </c>
      <c r="K831" s="16" t="s">
        <v>2998</v>
      </c>
      <c r="L831" s="16" t="s">
        <v>85</v>
      </c>
      <c r="M831" s="16" t="s">
        <v>984</v>
      </c>
      <c r="N831" s="16" t="s">
        <v>914</v>
      </c>
      <c r="O831" s="16" t="s">
        <v>985</v>
      </c>
      <c r="P831" s="16" t="s">
        <v>914</v>
      </c>
      <c r="Q831" s="16" t="s">
        <v>985</v>
      </c>
      <c r="R831" s="16" t="s">
        <v>915</v>
      </c>
      <c r="S831" s="16" t="s">
        <v>915</v>
      </c>
      <c r="T831" s="16" t="s">
        <v>986</v>
      </c>
      <c r="U831" s="16" t="s">
        <v>987</v>
      </c>
      <c r="V831" s="16" t="s">
        <v>916</v>
      </c>
      <c r="W831" s="16" t="s">
        <v>987</v>
      </c>
      <c r="X831" s="16" t="s">
        <v>934</v>
      </c>
      <c r="Y831" s="16" t="s">
        <v>934</v>
      </c>
      <c r="Z831" s="16" t="s">
        <v>935</v>
      </c>
      <c r="DA831" s="405" t="s">
        <v>5</v>
      </c>
      <c r="DB831" s="405" t="s">
        <v>363</v>
      </c>
      <c r="DC831" s="406" t="s">
        <v>85</v>
      </c>
      <c r="DD831" s="405" t="s">
        <v>917</v>
      </c>
      <c r="DE831" s="405" t="s">
        <v>5</v>
      </c>
      <c r="DF831" s="406" t="s">
        <v>85</v>
      </c>
      <c r="DG831" s="407">
        <v>45856</v>
      </c>
      <c r="DH831" s="405" t="s">
        <v>4808</v>
      </c>
      <c r="DI831" s="406">
        <v>465455</v>
      </c>
      <c r="DJ831" s="408">
        <v>5</v>
      </c>
      <c r="DK831" s="405">
        <v>1</v>
      </c>
      <c r="DL831" s="82">
        <v>340.55</v>
      </c>
      <c r="DM831" s="409">
        <v>1.70275</v>
      </c>
      <c r="DN831" s="82" t="s">
        <v>85</v>
      </c>
      <c r="DO831" s="82" t="s">
        <v>85</v>
      </c>
      <c r="DP831" s="410" t="s">
        <v>85</v>
      </c>
    </row>
    <row r="832" spans="1:120" x14ac:dyDescent="0.25">
      <c r="A832" s="16" t="s">
        <v>4812</v>
      </c>
      <c r="B832" s="16" t="s">
        <v>4813</v>
      </c>
      <c r="C832" s="16" t="s">
        <v>4814</v>
      </c>
      <c r="D832" s="16" t="s">
        <v>4716</v>
      </c>
      <c r="E832" s="16" t="s">
        <v>4815</v>
      </c>
      <c r="F832" s="16" t="s">
        <v>4816</v>
      </c>
      <c r="G832" s="16" t="s">
        <v>4817</v>
      </c>
      <c r="H832" s="16" t="s">
        <v>4816</v>
      </c>
      <c r="I832" s="16" t="s">
        <v>1970</v>
      </c>
      <c r="J832" s="16" t="s">
        <v>995</v>
      </c>
      <c r="K832" s="16" t="s">
        <v>1971</v>
      </c>
      <c r="L832" s="16" t="s">
        <v>85</v>
      </c>
      <c r="M832" s="16" t="s">
        <v>1165</v>
      </c>
      <c r="N832" s="16" t="s">
        <v>914</v>
      </c>
      <c r="O832" s="16" t="s">
        <v>1166</v>
      </c>
      <c r="P832" s="16" t="s">
        <v>914</v>
      </c>
      <c r="Q832" s="16" t="s">
        <v>1166</v>
      </c>
      <c r="R832" s="16" t="s">
        <v>915</v>
      </c>
      <c r="S832" s="16" t="s">
        <v>915</v>
      </c>
      <c r="T832" s="16" t="s">
        <v>1167</v>
      </c>
      <c r="U832" s="16" t="s">
        <v>1168</v>
      </c>
      <c r="V832" s="16" t="s">
        <v>916</v>
      </c>
      <c r="W832" s="16" t="s">
        <v>1168</v>
      </c>
      <c r="X832" s="16" t="s">
        <v>934</v>
      </c>
      <c r="Y832" s="16" t="s">
        <v>934</v>
      </c>
      <c r="Z832" s="16" t="s">
        <v>935</v>
      </c>
      <c r="DA832" s="405" t="s">
        <v>5</v>
      </c>
      <c r="DB832" s="405" t="s">
        <v>363</v>
      </c>
      <c r="DC832" s="406" t="s">
        <v>85</v>
      </c>
      <c r="DD832" s="405" t="s">
        <v>917</v>
      </c>
      <c r="DE832" s="405" t="s">
        <v>5</v>
      </c>
      <c r="DF832" s="406" t="s">
        <v>85</v>
      </c>
      <c r="DG832" s="407">
        <v>45856</v>
      </c>
      <c r="DH832" s="405" t="s">
        <v>4815</v>
      </c>
      <c r="DI832" s="406">
        <v>465455</v>
      </c>
      <c r="DJ832" s="408">
        <v>5</v>
      </c>
      <c r="DK832" s="405">
        <v>1</v>
      </c>
      <c r="DL832" s="82">
        <v>468.28</v>
      </c>
      <c r="DM832" s="409">
        <v>2.3413999999999997</v>
      </c>
      <c r="DN832" s="82" t="s">
        <v>85</v>
      </c>
      <c r="DO832" s="82" t="s">
        <v>85</v>
      </c>
      <c r="DP832" s="410" t="s">
        <v>85</v>
      </c>
    </row>
    <row r="833" spans="1:120" x14ac:dyDescent="0.25">
      <c r="A833" s="16" t="s">
        <v>4818</v>
      </c>
      <c r="B833" s="16" t="s">
        <v>4819</v>
      </c>
      <c r="C833" s="16" t="s">
        <v>4820</v>
      </c>
      <c r="D833" s="16" t="s">
        <v>4716</v>
      </c>
      <c r="E833" s="16" t="s">
        <v>4821</v>
      </c>
      <c r="F833" s="16" t="s">
        <v>4822</v>
      </c>
      <c r="G833" s="16" t="s">
        <v>4823</v>
      </c>
      <c r="H833" s="16" t="s">
        <v>4822</v>
      </c>
      <c r="I833" s="16" t="s">
        <v>1620</v>
      </c>
      <c r="J833" s="16" t="s">
        <v>943</v>
      </c>
      <c r="K833" s="16" t="s">
        <v>1621</v>
      </c>
      <c r="L833" s="16" t="s">
        <v>85</v>
      </c>
      <c r="M833" s="16" t="s">
        <v>984</v>
      </c>
      <c r="N833" s="16" t="s">
        <v>914</v>
      </c>
      <c r="O833" s="16" t="s">
        <v>985</v>
      </c>
      <c r="P833" s="16" t="s">
        <v>914</v>
      </c>
      <c r="Q833" s="16" t="s">
        <v>985</v>
      </c>
      <c r="R833" s="16" t="s">
        <v>915</v>
      </c>
      <c r="S833" s="16" t="s">
        <v>915</v>
      </c>
      <c r="T833" s="16" t="s">
        <v>986</v>
      </c>
      <c r="U833" s="16" t="s">
        <v>987</v>
      </c>
      <c r="V833" s="16" t="s">
        <v>916</v>
      </c>
      <c r="W833" s="16" t="s">
        <v>987</v>
      </c>
      <c r="X833" s="16" t="s">
        <v>934</v>
      </c>
      <c r="Y833" s="16" t="s">
        <v>934</v>
      </c>
      <c r="Z833" s="16" t="s">
        <v>935</v>
      </c>
      <c r="DA833" s="405" t="s">
        <v>5</v>
      </c>
      <c r="DB833" s="405" t="s">
        <v>363</v>
      </c>
      <c r="DC833" s="406" t="s">
        <v>85</v>
      </c>
      <c r="DD833" s="405" t="s">
        <v>917</v>
      </c>
      <c r="DE833" s="405" t="s">
        <v>5</v>
      </c>
      <c r="DF833" s="406" t="s">
        <v>85</v>
      </c>
      <c r="DG833" s="407">
        <v>45856</v>
      </c>
      <c r="DH833" s="405" t="s">
        <v>4821</v>
      </c>
      <c r="DI833" s="406">
        <v>465455</v>
      </c>
      <c r="DJ833" s="408">
        <v>5</v>
      </c>
      <c r="DK833" s="405">
        <v>1</v>
      </c>
      <c r="DL833" s="82">
        <v>340.55</v>
      </c>
      <c r="DM833" s="409">
        <v>1.70275</v>
      </c>
      <c r="DN833" s="82" t="s">
        <v>85</v>
      </c>
      <c r="DO833" s="82" t="s">
        <v>85</v>
      </c>
      <c r="DP833" s="410" t="s">
        <v>85</v>
      </c>
    </row>
    <row r="834" spans="1:120" x14ac:dyDescent="0.25">
      <c r="A834" s="16" t="s">
        <v>4824</v>
      </c>
      <c r="B834" s="16" t="s">
        <v>4825</v>
      </c>
      <c r="C834" s="16" t="s">
        <v>4826</v>
      </c>
      <c r="D834" s="16" t="s">
        <v>4716</v>
      </c>
      <c r="E834" s="16" t="s">
        <v>4827</v>
      </c>
      <c r="F834" s="16" t="s">
        <v>4828</v>
      </c>
      <c r="G834" s="16" t="s">
        <v>4829</v>
      </c>
      <c r="H834" s="16" t="s">
        <v>4830</v>
      </c>
      <c r="I834" s="16" t="s">
        <v>1448</v>
      </c>
      <c r="J834" s="16" t="s">
        <v>1036</v>
      </c>
      <c r="K834" s="16" t="s">
        <v>1449</v>
      </c>
      <c r="L834" s="16" t="s">
        <v>85</v>
      </c>
      <c r="M834" s="16" t="s">
        <v>1216</v>
      </c>
      <c r="N834" s="16" t="s">
        <v>914</v>
      </c>
      <c r="O834" s="16" t="s">
        <v>946</v>
      </c>
      <c r="P834" s="16" t="s">
        <v>914</v>
      </c>
      <c r="Q834" s="16" t="s">
        <v>946</v>
      </c>
      <c r="R834" s="16" t="s">
        <v>915</v>
      </c>
      <c r="S834" s="16" t="s">
        <v>915</v>
      </c>
      <c r="T834" s="16" t="s">
        <v>1216</v>
      </c>
      <c r="U834" s="16" t="s">
        <v>1217</v>
      </c>
      <c r="V834" s="16" t="s">
        <v>916</v>
      </c>
      <c r="W834" s="16" t="s">
        <v>1217</v>
      </c>
      <c r="X834" s="16" t="s">
        <v>934</v>
      </c>
      <c r="Y834" s="16" t="s">
        <v>934</v>
      </c>
      <c r="Z834" s="16" t="s">
        <v>935</v>
      </c>
      <c r="DA834" s="405" t="s">
        <v>5</v>
      </c>
      <c r="DB834" s="405" t="s">
        <v>363</v>
      </c>
      <c r="DC834" s="406" t="s">
        <v>85</v>
      </c>
      <c r="DD834" s="405" t="s">
        <v>917</v>
      </c>
      <c r="DE834" s="405" t="s">
        <v>5</v>
      </c>
      <c r="DF834" s="406" t="s">
        <v>85</v>
      </c>
      <c r="DG834" s="407">
        <v>45856</v>
      </c>
      <c r="DH834" s="405" t="s">
        <v>4827</v>
      </c>
      <c r="DI834" s="406">
        <v>465455</v>
      </c>
      <c r="DJ834" s="408">
        <v>5</v>
      </c>
      <c r="DK834" s="405">
        <v>1</v>
      </c>
      <c r="DL834" s="82">
        <v>319.22000000000003</v>
      </c>
      <c r="DM834" s="409">
        <v>1.5961000000000001</v>
      </c>
      <c r="DN834" s="82" t="s">
        <v>85</v>
      </c>
      <c r="DO834" s="82" t="s">
        <v>85</v>
      </c>
      <c r="DP834" s="410" t="s">
        <v>85</v>
      </c>
    </row>
    <row r="835" spans="1:120" x14ac:dyDescent="0.25">
      <c r="A835" s="16" t="s">
        <v>4831</v>
      </c>
      <c r="B835" s="16" t="s">
        <v>4832</v>
      </c>
      <c r="C835" s="16" t="s">
        <v>4833</v>
      </c>
      <c r="D835" s="16" t="s">
        <v>4716</v>
      </c>
      <c r="E835" s="16" t="s">
        <v>4834</v>
      </c>
      <c r="F835" s="16" t="s">
        <v>4835</v>
      </c>
      <c r="G835" s="16" t="s">
        <v>4836</v>
      </c>
      <c r="H835" s="16" t="s">
        <v>4837</v>
      </c>
      <c r="I835" s="16" t="s">
        <v>3202</v>
      </c>
      <c r="J835" s="16" t="s">
        <v>1847</v>
      </c>
      <c r="K835" s="16" t="s">
        <v>3203</v>
      </c>
      <c r="L835" s="16" t="s">
        <v>85</v>
      </c>
      <c r="M835" s="16" t="s">
        <v>1849</v>
      </c>
      <c r="N835" s="16" t="s">
        <v>914</v>
      </c>
      <c r="O835" s="16" t="s">
        <v>1850</v>
      </c>
      <c r="P835" s="16" t="s">
        <v>914</v>
      </c>
      <c r="Q835" s="16" t="s">
        <v>1850</v>
      </c>
      <c r="R835" s="16" t="s">
        <v>915</v>
      </c>
      <c r="S835" s="16" t="s">
        <v>915</v>
      </c>
      <c r="T835" s="16" t="s">
        <v>1851</v>
      </c>
      <c r="U835" s="16" t="s">
        <v>1852</v>
      </c>
      <c r="V835" s="16" t="s">
        <v>916</v>
      </c>
      <c r="W835" s="16" t="s">
        <v>1852</v>
      </c>
      <c r="X835" s="16" t="s">
        <v>934</v>
      </c>
      <c r="Y835" s="16" t="s">
        <v>934</v>
      </c>
      <c r="Z835" s="16" t="s">
        <v>935</v>
      </c>
      <c r="DA835" s="405" t="s">
        <v>5</v>
      </c>
      <c r="DB835" s="405" t="s">
        <v>363</v>
      </c>
      <c r="DC835" s="406" t="s">
        <v>85</v>
      </c>
      <c r="DD835" s="405" t="s">
        <v>917</v>
      </c>
      <c r="DE835" s="405" t="s">
        <v>5</v>
      </c>
      <c r="DF835" s="406" t="s">
        <v>85</v>
      </c>
      <c r="DG835" s="407">
        <v>45856</v>
      </c>
      <c r="DH835" s="405" t="s">
        <v>4834</v>
      </c>
      <c r="DI835" s="406">
        <v>465455</v>
      </c>
      <c r="DJ835" s="408">
        <v>5</v>
      </c>
      <c r="DK835" s="405">
        <v>1</v>
      </c>
      <c r="DL835" s="82">
        <v>447.02</v>
      </c>
      <c r="DM835" s="409">
        <v>2.2351000000000001</v>
      </c>
      <c r="DN835" s="82" t="s">
        <v>85</v>
      </c>
      <c r="DO835" s="82" t="s">
        <v>85</v>
      </c>
      <c r="DP835" s="410" t="s">
        <v>85</v>
      </c>
    </row>
    <row r="836" spans="1:120" x14ac:dyDescent="0.25">
      <c r="A836" s="16" t="s">
        <v>4838</v>
      </c>
      <c r="B836" s="16" t="s">
        <v>4839</v>
      </c>
      <c r="C836" s="16" t="s">
        <v>4840</v>
      </c>
      <c r="D836" s="16" t="s">
        <v>4716</v>
      </c>
      <c r="E836" s="16" t="s">
        <v>4841</v>
      </c>
      <c r="F836" s="16" t="s">
        <v>4842</v>
      </c>
      <c r="G836" s="16" t="s">
        <v>4843</v>
      </c>
      <c r="H836" s="16" t="s">
        <v>4844</v>
      </c>
      <c r="I836" s="16" t="s">
        <v>1017</v>
      </c>
      <c r="J836" s="16" t="s">
        <v>995</v>
      </c>
      <c r="K836" s="16" t="s">
        <v>1018</v>
      </c>
      <c r="L836" s="16" t="s">
        <v>85</v>
      </c>
      <c r="M836" s="16" t="s">
        <v>1165</v>
      </c>
      <c r="N836" s="16" t="s">
        <v>914</v>
      </c>
      <c r="O836" s="16" t="s">
        <v>1166</v>
      </c>
      <c r="P836" s="16" t="s">
        <v>914</v>
      </c>
      <c r="Q836" s="16" t="s">
        <v>1166</v>
      </c>
      <c r="R836" s="16" t="s">
        <v>915</v>
      </c>
      <c r="S836" s="16" t="s">
        <v>915</v>
      </c>
      <c r="T836" s="16" t="s">
        <v>1167</v>
      </c>
      <c r="U836" s="16" t="s">
        <v>1168</v>
      </c>
      <c r="V836" s="16" t="s">
        <v>916</v>
      </c>
      <c r="W836" s="16" t="s">
        <v>1168</v>
      </c>
      <c r="X836" s="16" t="s">
        <v>934</v>
      </c>
      <c r="Y836" s="16" t="s">
        <v>934</v>
      </c>
      <c r="Z836" s="16" t="s">
        <v>935</v>
      </c>
      <c r="DA836" s="405" t="s">
        <v>5</v>
      </c>
      <c r="DB836" s="405" t="s">
        <v>363</v>
      </c>
      <c r="DC836" s="406" t="s">
        <v>85</v>
      </c>
      <c r="DD836" s="405" t="s">
        <v>917</v>
      </c>
      <c r="DE836" s="405" t="s">
        <v>5</v>
      </c>
      <c r="DF836" s="406" t="s">
        <v>85</v>
      </c>
      <c r="DG836" s="407">
        <v>45856</v>
      </c>
      <c r="DH836" s="405" t="s">
        <v>4841</v>
      </c>
      <c r="DI836" s="406">
        <v>465455</v>
      </c>
      <c r="DJ836" s="408">
        <v>5</v>
      </c>
      <c r="DK836" s="405">
        <v>1</v>
      </c>
      <c r="DL836" s="82">
        <v>468.28</v>
      </c>
      <c r="DM836" s="409">
        <v>2.3413999999999997</v>
      </c>
      <c r="DN836" s="82" t="s">
        <v>85</v>
      </c>
      <c r="DO836" s="82" t="s">
        <v>85</v>
      </c>
      <c r="DP836" s="410" t="s">
        <v>85</v>
      </c>
    </row>
    <row r="837" spans="1:120" x14ac:dyDescent="0.25">
      <c r="A837" s="16" t="s">
        <v>4845</v>
      </c>
      <c r="B837" s="16" t="s">
        <v>4846</v>
      </c>
      <c r="C837" s="16" t="s">
        <v>4847</v>
      </c>
      <c r="D837" s="16" t="s">
        <v>4716</v>
      </c>
      <c r="E837" s="16" t="s">
        <v>4848</v>
      </c>
      <c r="F837" s="16" t="s">
        <v>4849</v>
      </c>
      <c r="G837" s="16" t="s">
        <v>4850</v>
      </c>
      <c r="H837" s="16" t="s">
        <v>4849</v>
      </c>
      <c r="I837" s="16" t="s">
        <v>3013</v>
      </c>
      <c r="J837" s="16" t="s">
        <v>943</v>
      </c>
      <c r="K837" s="16" t="s">
        <v>3014</v>
      </c>
      <c r="L837" s="16" t="s">
        <v>85</v>
      </c>
      <c r="M837" s="16" t="s">
        <v>984</v>
      </c>
      <c r="N837" s="16" t="s">
        <v>914</v>
      </c>
      <c r="O837" s="16" t="s">
        <v>985</v>
      </c>
      <c r="P837" s="16" t="s">
        <v>914</v>
      </c>
      <c r="Q837" s="16" t="s">
        <v>985</v>
      </c>
      <c r="R837" s="16" t="s">
        <v>915</v>
      </c>
      <c r="S837" s="16" t="s">
        <v>915</v>
      </c>
      <c r="T837" s="16" t="s">
        <v>986</v>
      </c>
      <c r="U837" s="16" t="s">
        <v>987</v>
      </c>
      <c r="V837" s="16" t="s">
        <v>916</v>
      </c>
      <c r="W837" s="16" t="s">
        <v>987</v>
      </c>
      <c r="X837" s="16" t="s">
        <v>934</v>
      </c>
      <c r="Y837" s="16" t="s">
        <v>934</v>
      </c>
      <c r="Z837" s="16" t="s">
        <v>935</v>
      </c>
      <c r="DA837" s="405" t="s">
        <v>5</v>
      </c>
      <c r="DB837" s="405" t="s">
        <v>363</v>
      </c>
      <c r="DC837" s="406" t="s">
        <v>85</v>
      </c>
      <c r="DD837" s="405" t="s">
        <v>917</v>
      </c>
      <c r="DE837" s="405" t="s">
        <v>5</v>
      </c>
      <c r="DF837" s="406" t="s">
        <v>85</v>
      </c>
      <c r="DG837" s="407">
        <v>45856</v>
      </c>
      <c r="DH837" s="405" t="s">
        <v>4848</v>
      </c>
      <c r="DI837" s="406">
        <v>465455</v>
      </c>
      <c r="DJ837" s="408">
        <v>5</v>
      </c>
      <c r="DK837" s="405">
        <v>1</v>
      </c>
      <c r="DL837" s="82">
        <v>340.55</v>
      </c>
      <c r="DM837" s="409">
        <v>1.70275</v>
      </c>
      <c r="DN837" s="82" t="s">
        <v>85</v>
      </c>
      <c r="DO837" s="82" t="s">
        <v>85</v>
      </c>
      <c r="DP837" s="410" t="s">
        <v>85</v>
      </c>
    </row>
    <row r="838" spans="1:120" x14ac:dyDescent="0.25">
      <c r="A838" s="16" t="s">
        <v>4851</v>
      </c>
      <c r="B838" s="16" t="s">
        <v>4852</v>
      </c>
      <c r="C838" s="16" t="s">
        <v>4853</v>
      </c>
      <c r="D838" s="16" t="s">
        <v>4716</v>
      </c>
      <c r="E838" s="16" t="s">
        <v>4854</v>
      </c>
      <c r="F838" s="16" t="s">
        <v>4855</v>
      </c>
      <c r="G838" s="16" t="s">
        <v>4856</v>
      </c>
      <c r="H838" s="16" t="s">
        <v>4857</v>
      </c>
      <c r="I838" s="16" t="s">
        <v>4858</v>
      </c>
      <c r="J838" s="16" t="s">
        <v>2600</v>
      </c>
      <c r="K838" s="16" t="s">
        <v>4859</v>
      </c>
      <c r="L838" s="16" t="s">
        <v>85</v>
      </c>
      <c r="M838" s="16" t="s">
        <v>1955</v>
      </c>
      <c r="N838" s="16" t="s">
        <v>914</v>
      </c>
      <c r="O838" s="16" t="s">
        <v>1039</v>
      </c>
      <c r="P838" s="16" t="s">
        <v>914</v>
      </c>
      <c r="Q838" s="16" t="s">
        <v>1039</v>
      </c>
      <c r="R838" s="16" t="s">
        <v>915</v>
      </c>
      <c r="S838" s="16" t="s">
        <v>915</v>
      </c>
      <c r="T838" s="16" t="s">
        <v>1955</v>
      </c>
      <c r="U838" s="16" t="s">
        <v>1956</v>
      </c>
      <c r="V838" s="16" t="s">
        <v>916</v>
      </c>
      <c r="W838" s="16" t="s">
        <v>1956</v>
      </c>
      <c r="X838" s="16" t="s">
        <v>934</v>
      </c>
      <c r="Y838" s="16" t="s">
        <v>934</v>
      </c>
      <c r="Z838" s="16" t="s">
        <v>935</v>
      </c>
      <c r="DA838" s="405" t="s">
        <v>5</v>
      </c>
      <c r="DB838" s="405" t="s">
        <v>363</v>
      </c>
      <c r="DC838" s="406" t="s">
        <v>85</v>
      </c>
      <c r="DD838" s="405" t="s">
        <v>917</v>
      </c>
      <c r="DE838" s="405" t="s">
        <v>5</v>
      </c>
      <c r="DF838" s="406" t="s">
        <v>85</v>
      </c>
      <c r="DG838" s="407">
        <v>45856</v>
      </c>
      <c r="DH838" s="405" t="s">
        <v>4854</v>
      </c>
      <c r="DI838" s="406">
        <v>465455</v>
      </c>
      <c r="DJ838" s="408">
        <v>5</v>
      </c>
      <c r="DK838" s="405">
        <v>1</v>
      </c>
      <c r="DL838" s="82">
        <v>311.2</v>
      </c>
      <c r="DM838" s="409">
        <v>1.556</v>
      </c>
      <c r="DN838" s="82" t="s">
        <v>85</v>
      </c>
      <c r="DO838" s="82" t="s">
        <v>85</v>
      </c>
      <c r="DP838" s="410" t="s">
        <v>85</v>
      </c>
    </row>
    <row r="839" spans="1:120" x14ac:dyDescent="0.25">
      <c r="A839" s="16" t="s">
        <v>4860</v>
      </c>
      <c r="B839" s="16" t="s">
        <v>4861</v>
      </c>
      <c r="C839" s="16" t="s">
        <v>4862</v>
      </c>
      <c r="D839" s="16" t="s">
        <v>4716</v>
      </c>
      <c r="E839" s="16" t="s">
        <v>4863</v>
      </c>
      <c r="F839" s="16" t="s">
        <v>4864</v>
      </c>
      <c r="G839" s="16" t="s">
        <v>4865</v>
      </c>
      <c r="H839" s="16" t="s">
        <v>4866</v>
      </c>
      <c r="I839" s="16" t="s">
        <v>1248</v>
      </c>
      <c r="J839" s="16" t="s">
        <v>995</v>
      </c>
      <c r="K839" s="16" t="s">
        <v>1249</v>
      </c>
      <c r="L839" s="16" t="s">
        <v>85</v>
      </c>
      <c r="M839" s="16" t="s">
        <v>1165</v>
      </c>
      <c r="N839" s="16" t="s">
        <v>914</v>
      </c>
      <c r="O839" s="16" t="s">
        <v>1166</v>
      </c>
      <c r="P839" s="16" t="s">
        <v>914</v>
      </c>
      <c r="Q839" s="16" t="s">
        <v>1166</v>
      </c>
      <c r="R839" s="16" t="s">
        <v>915</v>
      </c>
      <c r="S839" s="16" t="s">
        <v>915</v>
      </c>
      <c r="T839" s="16" t="s">
        <v>1167</v>
      </c>
      <c r="U839" s="16" t="s">
        <v>1168</v>
      </c>
      <c r="V839" s="16" t="s">
        <v>916</v>
      </c>
      <c r="W839" s="16" t="s">
        <v>1168</v>
      </c>
      <c r="X839" s="16" t="s">
        <v>934</v>
      </c>
      <c r="Y839" s="16" t="s">
        <v>934</v>
      </c>
      <c r="Z839" s="16" t="s">
        <v>935</v>
      </c>
      <c r="DA839" s="405" t="s">
        <v>5</v>
      </c>
      <c r="DB839" s="405" t="s">
        <v>363</v>
      </c>
      <c r="DC839" s="406" t="s">
        <v>85</v>
      </c>
      <c r="DD839" s="405" t="s">
        <v>917</v>
      </c>
      <c r="DE839" s="405" t="s">
        <v>5</v>
      </c>
      <c r="DF839" s="406" t="s">
        <v>85</v>
      </c>
      <c r="DG839" s="407">
        <v>45856</v>
      </c>
      <c r="DH839" s="405" t="s">
        <v>4863</v>
      </c>
      <c r="DI839" s="406">
        <v>465455</v>
      </c>
      <c r="DJ839" s="408">
        <v>5</v>
      </c>
      <c r="DK839" s="405">
        <v>1</v>
      </c>
      <c r="DL839" s="82">
        <v>468.28</v>
      </c>
      <c r="DM839" s="409">
        <v>2.3413999999999997</v>
      </c>
      <c r="DN839" s="82" t="s">
        <v>85</v>
      </c>
      <c r="DO839" s="82" t="s">
        <v>85</v>
      </c>
      <c r="DP839" s="410" t="s">
        <v>85</v>
      </c>
    </row>
    <row r="840" spans="1:120" x14ac:dyDescent="0.25">
      <c r="A840" s="16" t="s">
        <v>4867</v>
      </c>
      <c r="B840" s="16" t="s">
        <v>4868</v>
      </c>
      <c r="C840" s="16" t="s">
        <v>4869</v>
      </c>
      <c r="D840" s="16" t="s">
        <v>4716</v>
      </c>
      <c r="E840" s="16" t="s">
        <v>4870</v>
      </c>
      <c r="F840" s="16" t="s">
        <v>4871</v>
      </c>
      <c r="G840" s="16" t="s">
        <v>4872</v>
      </c>
      <c r="H840" s="16" t="s">
        <v>4873</v>
      </c>
      <c r="I840" s="16" t="s">
        <v>4874</v>
      </c>
      <c r="J840" s="16" t="s">
        <v>1509</v>
      </c>
      <c r="K840" s="16" t="s">
        <v>4875</v>
      </c>
      <c r="L840" s="16" t="s">
        <v>85</v>
      </c>
      <c r="M840" s="16" t="s">
        <v>1511</v>
      </c>
      <c r="N840" s="16" t="s">
        <v>914</v>
      </c>
      <c r="O840" s="16" t="s">
        <v>1512</v>
      </c>
      <c r="P840" s="16" t="s">
        <v>914</v>
      </c>
      <c r="Q840" s="16" t="s">
        <v>1512</v>
      </c>
      <c r="R840" s="16" t="s">
        <v>915</v>
      </c>
      <c r="S840" s="16" t="s">
        <v>915</v>
      </c>
      <c r="T840" s="16" t="s">
        <v>1511</v>
      </c>
      <c r="U840" s="16" t="s">
        <v>1513</v>
      </c>
      <c r="V840" s="16" t="s">
        <v>916</v>
      </c>
      <c r="W840" s="16" t="s">
        <v>1513</v>
      </c>
      <c r="X840" s="16" t="s">
        <v>934</v>
      </c>
      <c r="Y840" s="16" t="s">
        <v>934</v>
      </c>
      <c r="Z840" s="16" t="s">
        <v>935</v>
      </c>
      <c r="DA840" s="405" t="s">
        <v>5</v>
      </c>
      <c r="DB840" s="405" t="s">
        <v>363</v>
      </c>
      <c r="DC840" s="406" t="s">
        <v>85</v>
      </c>
      <c r="DD840" s="405" t="s">
        <v>917</v>
      </c>
      <c r="DE840" s="405" t="s">
        <v>5</v>
      </c>
      <c r="DF840" s="406" t="s">
        <v>85</v>
      </c>
      <c r="DG840" s="407">
        <v>45856</v>
      </c>
      <c r="DH840" s="405" t="s">
        <v>4870</v>
      </c>
      <c r="DI840" s="406">
        <v>465455</v>
      </c>
      <c r="DJ840" s="408">
        <v>5</v>
      </c>
      <c r="DK840" s="405">
        <v>1</v>
      </c>
      <c r="DL840" s="82">
        <v>526.82000000000005</v>
      </c>
      <c r="DM840" s="409">
        <v>2.6341000000000001</v>
      </c>
      <c r="DN840" s="82" t="s">
        <v>85</v>
      </c>
      <c r="DO840" s="82" t="s">
        <v>85</v>
      </c>
      <c r="DP840" s="410" t="s">
        <v>85</v>
      </c>
    </row>
    <row r="841" spans="1:120" x14ac:dyDescent="0.25">
      <c r="A841" s="16" t="s">
        <v>4876</v>
      </c>
      <c r="B841" s="16" t="s">
        <v>4877</v>
      </c>
      <c r="C841" s="16" t="s">
        <v>4878</v>
      </c>
      <c r="D841" s="16" t="s">
        <v>4716</v>
      </c>
      <c r="E841" s="16" t="s">
        <v>4879</v>
      </c>
      <c r="F841" s="16" t="s">
        <v>4880</v>
      </c>
      <c r="G841" s="16" t="s">
        <v>4881</v>
      </c>
      <c r="H841" s="16" t="s">
        <v>4882</v>
      </c>
      <c r="I841" s="16" t="s">
        <v>2271</v>
      </c>
      <c r="J841" s="16" t="s">
        <v>995</v>
      </c>
      <c r="K841" s="16" t="s">
        <v>2272</v>
      </c>
      <c r="L841" s="16" t="s">
        <v>85</v>
      </c>
      <c r="M841" s="16" t="s">
        <v>1165</v>
      </c>
      <c r="N841" s="16" t="s">
        <v>914</v>
      </c>
      <c r="O841" s="16" t="s">
        <v>1166</v>
      </c>
      <c r="P841" s="16" t="s">
        <v>914</v>
      </c>
      <c r="Q841" s="16" t="s">
        <v>1166</v>
      </c>
      <c r="R841" s="16" t="s">
        <v>915</v>
      </c>
      <c r="S841" s="16" t="s">
        <v>915</v>
      </c>
      <c r="T841" s="16" t="s">
        <v>1167</v>
      </c>
      <c r="U841" s="16" t="s">
        <v>1168</v>
      </c>
      <c r="V841" s="16" t="s">
        <v>916</v>
      </c>
      <c r="W841" s="16" t="s">
        <v>1168</v>
      </c>
      <c r="X841" s="16" t="s">
        <v>934</v>
      </c>
      <c r="Y841" s="16" t="s">
        <v>934</v>
      </c>
      <c r="Z841" s="16" t="s">
        <v>935</v>
      </c>
      <c r="DA841" s="405" t="s">
        <v>5</v>
      </c>
      <c r="DB841" s="405" t="s">
        <v>363</v>
      </c>
      <c r="DC841" s="406" t="s">
        <v>85</v>
      </c>
      <c r="DD841" s="405" t="s">
        <v>917</v>
      </c>
      <c r="DE841" s="405" t="s">
        <v>5</v>
      </c>
      <c r="DF841" s="406" t="s">
        <v>85</v>
      </c>
      <c r="DG841" s="407">
        <v>45856</v>
      </c>
      <c r="DH841" s="405" t="s">
        <v>4879</v>
      </c>
      <c r="DI841" s="406">
        <v>465455</v>
      </c>
      <c r="DJ841" s="408">
        <v>5</v>
      </c>
      <c r="DK841" s="405">
        <v>1</v>
      </c>
      <c r="DL841" s="82">
        <v>468.28</v>
      </c>
      <c r="DM841" s="409">
        <v>2.3413999999999997</v>
      </c>
      <c r="DN841" s="82" t="s">
        <v>85</v>
      </c>
      <c r="DO841" s="82" t="s">
        <v>85</v>
      </c>
      <c r="DP841" s="410" t="s">
        <v>85</v>
      </c>
    </row>
    <row r="842" spans="1:120" x14ac:dyDescent="0.25">
      <c r="A842" s="16" t="s">
        <v>4883</v>
      </c>
      <c r="B842" s="16" t="s">
        <v>4884</v>
      </c>
      <c r="C842" s="16" t="s">
        <v>4885</v>
      </c>
      <c r="D842" s="16" t="s">
        <v>4716</v>
      </c>
      <c r="E842" s="16" t="s">
        <v>4886</v>
      </c>
      <c r="F842" s="16" t="s">
        <v>4887</v>
      </c>
      <c r="G842" s="16" t="s">
        <v>4888</v>
      </c>
      <c r="H842" s="16" t="s">
        <v>4887</v>
      </c>
      <c r="I842" s="16" t="s">
        <v>1937</v>
      </c>
      <c r="J842" s="16" t="s">
        <v>1036</v>
      </c>
      <c r="K842" s="16" t="s">
        <v>1938</v>
      </c>
      <c r="L842" s="16" t="s">
        <v>85</v>
      </c>
      <c r="M842" s="16" t="s">
        <v>1216</v>
      </c>
      <c r="N842" s="16" t="s">
        <v>914</v>
      </c>
      <c r="O842" s="16" t="s">
        <v>946</v>
      </c>
      <c r="P842" s="16" t="s">
        <v>914</v>
      </c>
      <c r="Q842" s="16" t="s">
        <v>946</v>
      </c>
      <c r="R842" s="16" t="s">
        <v>915</v>
      </c>
      <c r="S842" s="16" t="s">
        <v>915</v>
      </c>
      <c r="T842" s="16" t="s">
        <v>1216</v>
      </c>
      <c r="U842" s="16" t="s">
        <v>1217</v>
      </c>
      <c r="V842" s="16" t="s">
        <v>916</v>
      </c>
      <c r="W842" s="16" t="s">
        <v>1217</v>
      </c>
      <c r="X842" s="16" t="s">
        <v>934</v>
      </c>
      <c r="Y842" s="16" t="s">
        <v>934</v>
      </c>
      <c r="Z842" s="16" t="s">
        <v>935</v>
      </c>
      <c r="DA842" s="405" t="s">
        <v>5</v>
      </c>
      <c r="DB842" s="405" t="s">
        <v>363</v>
      </c>
      <c r="DC842" s="406" t="s">
        <v>85</v>
      </c>
      <c r="DD842" s="405" t="s">
        <v>917</v>
      </c>
      <c r="DE842" s="405" t="s">
        <v>5</v>
      </c>
      <c r="DF842" s="406" t="s">
        <v>85</v>
      </c>
      <c r="DG842" s="407">
        <v>45856</v>
      </c>
      <c r="DH842" s="405" t="s">
        <v>4886</v>
      </c>
      <c r="DI842" s="406">
        <v>465455</v>
      </c>
      <c r="DJ842" s="408">
        <v>5</v>
      </c>
      <c r="DK842" s="405">
        <v>1</v>
      </c>
      <c r="DL842" s="82">
        <v>319.22000000000003</v>
      </c>
      <c r="DM842" s="409">
        <v>1.5961000000000001</v>
      </c>
      <c r="DN842" s="82" t="s">
        <v>85</v>
      </c>
      <c r="DO842" s="82" t="s">
        <v>85</v>
      </c>
      <c r="DP842" s="410" t="s">
        <v>85</v>
      </c>
    </row>
    <row r="843" spans="1:120" x14ac:dyDescent="0.25">
      <c r="A843" s="16" t="s">
        <v>4883</v>
      </c>
      <c r="B843" s="16" t="s">
        <v>4884</v>
      </c>
      <c r="C843" s="16" t="s">
        <v>4885</v>
      </c>
      <c r="D843" s="16" t="s">
        <v>4716</v>
      </c>
      <c r="E843" s="16" t="s">
        <v>4886</v>
      </c>
      <c r="F843" s="16" t="s">
        <v>4887</v>
      </c>
      <c r="G843" s="16" t="s">
        <v>4888</v>
      </c>
      <c r="H843" s="16" t="s">
        <v>4887</v>
      </c>
      <c r="I843" s="16" t="s">
        <v>1448</v>
      </c>
      <c r="J843" s="16" t="s">
        <v>1036</v>
      </c>
      <c r="K843" s="16" t="s">
        <v>1449</v>
      </c>
      <c r="L843" s="16" t="s">
        <v>85</v>
      </c>
      <c r="M843" s="16" t="s">
        <v>1216</v>
      </c>
      <c r="N843" s="16" t="s">
        <v>914</v>
      </c>
      <c r="O843" s="16" t="s">
        <v>946</v>
      </c>
      <c r="P843" s="16" t="s">
        <v>914</v>
      </c>
      <c r="Q843" s="16" t="s">
        <v>946</v>
      </c>
      <c r="R843" s="16" t="s">
        <v>915</v>
      </c>
      <c r="S843" s="16" t="s">
        <v>915</v>
      </c>
      <c r="T843" s="16" t="s">
        <v>1216</v>
      </c>
      <c r="U843" s="16" t="s">
        <v>1217</v>
      </c>
      <c r="V843" s="16" t="s">
        <v>916</v>
      </c>
      <c r="W843" s="16" t="s">
        <v>1217</v>
      </c>
      <c r="X843" s="16" t="s">
        <v>934</v>
      </c>
      <c r="Y843" s="16" t="s">
        <v>934</v>
      </c>
      <c r="Z843" s="16" t="s">
        <v>935</v>
      </c>
      <c r="DA843" s="405" t="s">
        <v>5</v>
      </c>
      <c r="DB843" s="405" t="s">
        <v>363</v>
      </c>
      <c r="DC843" s="406" t="s">
        <v>85</v>
      </c>
      <c r="DD843" s="405" t="s">
        <v>917</v>
      </c>
      <c r="DE843" s="405" t="s">
        <v>5</v>
      </c>
      <c r="DF843" s="406" t="s">
        <v>85</v>
      </c>
      <c r="DG843" s="407">
        <v>45856</v>
      </c>
      <c r="DH843" s="405" t="s">
        <v>4886</v>
      </c>
      <c r="DI843" s="406">
        <v>465455</v>
      </c>
      <c r="DJ843" s="408">
        <v>5</v>
      </c>
      <c r="DK843" s="405">
        <v>1</v>
      </c>
      <c r="DL843" s="82">
        <v>319.22000000000003</v>
      </c>
      <c r="DM843" s="409">
        <v>1.5961000000000001</v>
      </c>
      <c r="DN843" s="82" t="s">
        <v>85</v>
      </c>
      <c r="DO843" s="82" t="s">
        <v>85</v>
      </c>
      <c r="DP843" s="410" t="s">
        <v>85</v>
      </c>
    </row>
    <row r="844" spans="1:120" x14ac:dyDescent="0.25">
      <c r="A844" s="16" t="s">
        <v>4889</v>
      </c>
      <c r="B844" s="16" t="s">
        <v>4890</v>
      </c>
      <c r="C844" s="16" t="s">
        <v>4891</v>
      </c>
      <c r="D844" s="16" t="s">
        <v>4716</v>
      </c>
      <c r="E844" s="16" t="s">
        <v>4892</v>
      </c>
      <c r="F844" s="16" t="s">
        <v>4893</v>
      </c>
      <c r="G844" s="16" t="s">
        <v>4894</v>
      </c>
      <c r="H844" s="16" t="s">
        <v>4893</v>
      </c>
      <c r="I844" s="16" t="s">
        <v>1007</v>
      </c>
      <c r="J844" s="16" t="s">
        <v>928</v>
      </c>
      <c r="K844" s="16" t="s">
        <v>1008</v>
      </c>
      <c r="L844" s="16" t="s">
        <v>85</v>
      </c>
      <c r="M844" s="16" t="s">
        <v>1322</v>
      </c>
      <c r="N844" s="16" t="s">
        <v>914</v>
      </c>
      <c r="O844" s="16" t="s">
        <v>1323</v>
      </c>
      <c r="P844" s="16" t="s">
        <v>914</v>
      </c>
      <c r="Q844" s="16" t="s">
        <v>1323</v>
      </c>
      <c r="R844" s="16" t="s">
        <v>915</v>
      </c>
      <c r="S844" s="16" t="s">
        <v>915</v>
      </c>
      <c r="T844" s="16" t="s">
        <v>1322</v>
      </c>
      <c r="U844" s="16" t="s">
        <v>1324</v>
      </c>
      <c r="V844" s="16" t="s">
        <v>916</v>
      </c>
      <c r="W844" s="16" t="s">
        <v>1324</v>
      </c>
      <c r="X844" s="16" t="s">
        <v>934</v>
      </c>
      <c r="Y844" s="16" t="s">
        <v>934</v>
      </c>
      <c r="Z844" s="16" t="s">
        <v>935</v>
      </c>
      <c r="DA844" s="405" t="s">
        <v>5</v>
      </c>
      <c r="DB844" s="405" t="s">
        <v>363</v>
      </c>
      <c r="DC844" s="406" t="s">
        <v>85</v>
      </c>
      <c r="DD844" s="405" t="s">
        <v>917</v>
      </c>
      <c r="DE844" s="405" t="s">
        <v>5</v>
      </c>
      <c r="DF844" s="406" t="s">
        <v>85</v>
      </c>
      <c r="DG844" s="407">
        <v>45856</v>
      </c>
      <c r="DH844" s="405" t="s">
        <v>4892</v>
      </c>
      <c r="DI844" s="406">
        <v>465455</v>
      </c>
      <c r="DJ844" s="408">
        <v>5</v>
      </c>
      <c r="DK844" s="405">
        <v>1</v>
      </c>
      <c r="DL844" s="82">
        <v>332.47</v>
      </c>
      <c r="DM844" s="409">
        <v>1.6623500000000002</v>
      </c>
      <c r="DN844" s="82" t="s">
        <v>85</v>
      </c>
      <c r="DO844" s="82" t="s">
        <v>85</v>
      </c>
      <c r="DP844" s="410" t="s">
        <v>85</v>
      </c>
    </row>
    <row r="845" spans="1:120" x14ac:dyDescent="0.25">
      <c r="A845" s="16" t="s">
        <v>4895</v>
      </c>
      <c r="B845" s="16" t="s">
        <v>4896</v>
      </c>
      <c r="C845" s="16" t="s">
        <v>4897</v>
      </c>
      <c r="D845" s="16" t="s">
        <v>4716</v>
      </c>
      <c r="E845" s="16" t="s">
        <v>4898</v>
      </c>
      <c r="F845" s="16" t="s">
        <v>4899</v>
      </c>
      <c r="G845" s="16" t="s">
        <v>4900</v>
      </c>
      <c r="H845" s="16" t="s">
        <v>4901</v>
      </c>
      <c r="I845" s="16" t="s">
        <v>2839</v>
      </c>
      <c r="J845" s="16" t="s">
        <v>943</v>
      </c>
      <c r="K845" s="16" t="s">
        <v>2840</v>
      </c>
      <c r="L845" s="16" t="s">
        <v>85</v>
      </c>
      <c r="M845" s="16" t="s">
        <v>984</v>
      </c>
      <c r="N845" s="16" t="s">
        <v>914</v>
      </c>
      <c r="O845" s="16" t="s">
        <v>985</v>
      </c>
      <c r="P845" s="16" t="s">
        <v>914</v>
      </c>
      <c r="Q845" s="16" t="s">
        <v>985</v>
      </c>
      <c r="R845" s="16" t="s">
        <v>915</v>
      </c>
      <c r="S845" s="16" t="s">
        <v>915</v>
      </c>
      <c r="T845" s="16" t="s">
        <v>986</v>
      </c>
      <c r="U845" s="16" t="s">
        <v>987</v>
      </c>
      <c r="V845" s="16" t="s">
        <v>916</v>
      </c>
      <c r="W845" s="16" t="s">
        <v>987</v>
      </c>
      <c r="X845" s="16" t="s">
        <v>934</v>
      </c>
      <c r="Y845" s="16" t="s">
        <v>934</v>
      </c>
      <c r="Z845" s="16" t="s">
        <v>935</v>
      </c>
      <c r="DA845" s="405" t="s">
        <v>5</v>
      </c>
      <c r="DB845" s="405" t="s">
        <v>363</v>
      </c>
      <c r="DC845" s="406" t="s">
        <v>85</v>
      </c>
      <c r="DD845" s="405" t="s">
        <v>917</v>
      </c>
      <c r="DE845" s="405" t="s">
        <v>5</v>
      </c>
      <c r="DF845" s="406" t="s">
        <v>85</v>
      </c>
      <c r="DG845" s="407">
        <v>45856</v>
      </c>
      <c r="DH845" s="405" t="s">
        <v>4898</v>
      </c>
      <c r="DI845" s="406">
        <v>465455</v>
      </c>
      <c r="DJ845" s="408">
        <v>5</v>
      </c>
      <c r="DK845" s="405">
        <v>1</v>
      </c>
      <c r="DL845" s="82">
        <v>340.55</v>
      </c>
      <c r="DM845" s="409">
        <v>1.70275</v>
      </c>
      <c r="DN845" s="82" t="s">
        <v>85</v>
      </c>
      <c r="DO845" s="82" t="s">
        <v>85</v>
      </c>
      <c r="DP845" s="410" t="s">
        <v>85</v>
      </c>
    </row>
    <row r="846" spans="1:120" x14ac:dyDescent="0.25">
      <c r="A846" s="16" t="s">
        <v>4902</v>
      </c>
      <c r="B846" s="16" t="s">
        <v>4903</v>
      </c>
      <c r="C846" s="16" t="s">
        <v>4904</v>
      </c>
      <c r="D846" s="16" t="s">
        <v>4716</v>
      </c>
      <c r="E846" s="16" t="s">
        <v>4905</v>
      </c>
      <c r="F846" s="16" t="s">
        <v>4906</v>
      </c>
      <c r="G846" s="16" t="s">
        <v>4907</v>
      </c>
      <c r="H846" s="16" t="s">
        <v>4908</v>
      </c>
      <c r="I846" s="16" t="s">
        <v>2271</v>
      </c>
      <c r="J846" s="16" t="s">
        <v>995</v>
      </c>
      <c r="K846" s="16" t="s">
        <v>2272</v>
      </c>
      <c r="L846" s="16" t="s">
        <v>85</v>
      </c>
      <c r="M846" s="16" t="s">
        <v>1165</v>
      </c>
      <c r="N846" s="16" t="s">
        <v>914</v>
      </c>
      <c r="O846" s="16" t="s">
        <v>1166</v>
      </c>
      <c r="P846" s="16" t="s">
        <v>914</v>
      </c>
      <c r="Q846" s="16" t="s">
        <v>1166</v>
      </c>
      <c r="R846" s="16" t="s">
        <v>915</v>
      </c>
      <c r="S846" s="16" t="s">
        <v>915</v>
      </c>
      <c r="T846" s="16" t="s">
        <v>1167</v>
      </c>
      <c r="U846" s="16" t="s">
        <v>1168</v>
      </c>
      <c r="V846" s="16" t="s">
        <v>916</v>
      </c>
      <c r="W846" s="16" t="s">
        <v>1168</v>
      </c>
      <c r="X846" s="16" t="s">
        <v>934</v>
      </c>
      <c r="Y846" s="16" t="s">
        <v>934</v>
      </c>
      <c r="Z846" s="16" t="s">
        <v>935</v>
      </c>
      <c r="DA846" s="405" t="s">
        <v>5</v>
      </c>
      <c r="DB846" s="405" t="s">
        <v>363</v>
      </c>
      <c r="DC846" s="406" t="s">
        <v>85</v>
      </c>
      <c r="DD846" s="405" t="s">
        <v>917</v>
      </c>
      <c r="DE846" s="405" t="s">
        <v>5</v>
      </c>
      <c r="DF846" s="406" t="s">
        <v>85</v>
      </c>
      <c r="DG846" s="407">
        <v>45856</v>
      </c>
      <c r="DH846" s="405" t="s">
        <v>4905</v>
      </c>
      <c r="DI846" s="406">
        <v>465455</v>
      </c>
      <c r="DJ846" s="408">
        <v>5</v>
      </c>
      <c r="DK846" s="405">
        <v>1</v>
      </c>
      <c r="DL846" s="82">
        <v>468.28</v>
      </c>
      <c r="DM846" s="409">
        <v>2.3413999999999997</v>
      </c>
      <c r="DN846" s="82" t="s">
        <v>85</v>
      </c>
      <c r="DO846" s="82" t="s">
        <v>85</v>
      </c>
      <c r="DP846" s="410" t="s">
        <v>85</v>
      </c>
    </row>
    <row r="847" spans="1:120" x14ac:dyDescent="0.25">
      <c r="A847" s="16" t="s">
        <v>4909</v>
      </c>
      <c r="B847" s="16" t="s">
        <v>4910</v>
      </c>
      <c r="C847" s="16" t="s">
        <v>4911</v>
      </c>
      <c r="D847" s="16" t="s">
        <v>4716</v>
      </c>
      <c r="E847" s="16" t="s">
        <v>4912</v>
      </c>
      <c r="F847" s="16" t="s">
        <v>4913</v>
      </c>
      <c r="G847" s="16" t="s">
        <v>4914</v>
      </c>
      <c r="H847" s="16" t="s">
        <v>4913</v>
      </c>
      <c r="I847" s="16" t="s">
        <v>4915</v>
      </c>
      <c r="J847" s="16" t="s">
        <v>2369</v>
      </c>
      <c r="K847" s="16" t="s">
        <v>4916</v>
      </c>
      <c r="L847" s="16" t="s">
        <v>85</v>
      </c>
      <c r="M847" s="16" t="s">
        <v>1955</v>
      </c>
      <c r="N847" s="16" t="s">
        <v>914</v>
      </c>
      <c r="O847" s="16" t="s">
        <v>1039</v>
      </c>
      <c r="P847" s="16" t="s">
        <v>914</v>
      </c>
      <c r="Q847" s="16" t="s">
        <v>1039</v>
      </c>
      <c r="R847" s="16" t="s">
        <v>915</v>
      </c>
      <c r="S847" s="16" t="s">
        <v>915</v>
      </c>
      <c r="T847" s="16" t="s">
        <v>1955</v>
      </c>
      <c r="U847" s="16" t="s">
        <v>1956</v>
      </c>
      <c r="V847" s="16" t="s">
        <v>916</v>
      </c>
      <c r="W847" s="16" t="s">
        <v>1956</v>
      </c>
      <c r="X847" s="16" t="s">
        <v>934</v>
      </c>
      <c r="Y847" s="16" t="s">
        <v>934</v>
      </c>
      <c r="Z847" s="16" t="s">
        <v>935</v>
      </c>
      <c r="DA847" s="405" t="s">
        <v>5</v>
      </c>
      <c r="DB847" s="405" t="s">
        <v>363</v>
      </c>
      <c r="DC847" s="406" t="s">
        <v>85</v>
      </c>
      <c r="DD847" s="405" t="s">
        <v>917</v>
      </c>
      <c r="DE847" s="405" t="s">
        <v>5</v>
      </c>
      <c r="DF847" s="406" t="s">
        <v>85</v>
      </c>
      <c r="DG847" s="407">
        <v>45856</v>
      </c>
      <c r="DH847" s="405" t="s">
        <v>4912</v>
      </c>
      <c r="DI847" s="406">
        <v>465455</v>
      </c>
      <c r="DJ847" s="408">
        <v>5</v>
      </c>
      <c r="DK847" s="405">
        <v>1</v>
      </c>
      <c r="DL847" s="82">
        <v>311.2</v>
      </c>
      <c r="DM847" s="409">
        <v>1.556</v>
      </c>
      <c r="DN847" s="82" t="s">
        <v>85</v>
      </c>
      <c r="DO847" s="82" t="s">
        <v>85</v>
      </c>
      <c r="DP847" s="410" t="s">
        <v>85</v>
      </c>
    </row>
    <row r="848" spans="1:120" x14ac:dyDescent="0.25">
      <c r="A848" s="16" t="s">
        <v>4917</v>
      </c>
      <c r="B848" s="16" t="s">
        <v>4918</v>
      </c>
      <c r="C848" s="16" t="s">
        <v>4919</v>
      </c>
      <c r="D848" s="16" t="s">
        <v>4716</v>
      </c>
      <c r="E848" s="16" t="s">
        <v>4920</v>
      </c>
      <c r="F848" s="16" t="s">
        <v>4921</v>
      </c>
      <c r="G848" s="16" t="s">
        <v>4922</v>
      </c>
      <c r="H848" s="16" t="s">
        <v>4921</v>
      </c>
      <c r="I848" s="16" t="s">
        <v>1163</v>
      </c>
      <c r="J848" s="16" t="s">
        <v>995</v>
      </c>
      <c r="K848" s="16" t="s">
        <v>1164</v>
      </c>
      <c r="L848" s="16" t="s">
        <v>85</v>
      </c>
      <c r="M848" s="16" t="s">
        <v>1165</v>
      </c>
      <c r="N848" s="16" t="s">
        <v>914</v>
      </c>
      <c r="O848" s="16" t="s">
        <v>1166</v>
      </c>
      <c r="P848" s="16" t="s">
        <v>914</v>
      </c>
      <c r="Q848" s="16" t="s">
        <v>1166</v>
      </c>
      <c r="R848" s="16" t="s">
        <v>915</v>
      </c>
      <c r="S848" s="16" t="s">
        <v>915</v>
      </c>
      <c r="T848" s="16" t="s">
        <v>1167</v>
      </c>
      <c r="U848" s="16" t="s">
        <v>1168</v>
      </c>
      <c r="V848" s="16" t="s">
        <v>916</v>
      </c>
      <c r="W848" s="16" t="s">
        <v>1168</v>
      </c>
      <c r="X848" s="16" t="s">
        <v>934</v>
      </c>
      <c r="Y848" s="16" t="s">
        <v>934</v>
      </c>
      <c r="Z848" s="16" t="s">
        <v>935</v>
      </c>
      <c r="DA848" s="405" t="s">
        <v>5</v>
      </c>
      <c r="DB848" s="405" t="s">
        <v>363</v>
      </c>
      <c r="DC848" s="406" t="s">
        <v>85</v>
      </c>
      <c r="DD848" s="405" t="s">
        <v>917</v>
      </c>
      <c r="DE848" s="405" t="s">
        <v>5</v>
      </c>
      <c r="DF848" s="406" t="s">
        <v>85</v>
      </c>
      <c r="DG848" s="407">
        <v>45856</v>
      </c>
      <c r="DH848" s="405" t="s">
        <v>4920</v>
      </c>
      <c r="DI848" s="406">
        <v>465455</v>
      </c>
      <c r="DJ848" s="408">
        <v>5</v>
      </c>
      <c r="DK848" s="405">
        <v>1</v>
      </c>
      <c r="DL848" s="82">
        <v>468.28</v>
      </c>
      <c r="DM848" s="409">
        <v>2.3413999999999997</v>
      </c>
      <c r="DN848" s="82" t="s">
        <v>85</v>
      </c>
      <c r="DO848" s="82" t="s">
        <v>85</v>
      </c>
      <c r="DP848" s="410" t="s">
        <v>85</v>
      </c>
    </row>
    <row r="849" spans="1:120" x14ac:dyDescent="0.25">
      <c r="A849" s="16" t="s">
        <v>4923</v>
      </c>
      <c r="B849" s="16" t="s">
        <v>4924</v>
      </c>
      <c r="C849" s="16" t="s">
        <v>4925</v>
      </c>
      <c r="D849" s="16" t="s">
        <v>4716</v>
      </c>
      <c r="E849" s="16" t="s">
        <v>4926</v>
      </c>
      <c r="F849" s="16" t="s">
        <v>4927</v>
      </c>
      <c r="G849" s="16" t="s">
        <v>4928</v>
      </c>
      <c r="H849" s="16" t="s">
        <v>4927</v>
      </c>
      <c r="I849" s="16" t="s">
        <v>1638</v>
      </c>
      <c r="J849" s="16" t="s">
        <v>943</v>
      </c>
      <c r="K849" s="16" t="s">
        <v>1639</v>
      </c>
      <c r="L849" s="16" t="s">
        <v>85</v>
      </c>
      <c r="M849" s="16" t="s">
        <v>984</v>
      </c>
      <c r="N849" s="16" t="s">
        <v>914</v>
      </c>
      <c r="O849" s="16" t="s">
        <v>985</v>
      </c>
      <c r="P849" s="16" t="s">
        <v>914</v>
      </c>
      <c r="Q849" s="16" t="s">
        <v>985</v>
      </c>
      <c r="R849" s="16" t="s">
        <v>915</v>
      </c>
      <c r="S849" s="16" t="s">
        <v>915</v>
      </c>
      <c r="T849" s="16" t="s">
        <v>986</v>
      </c>
      <c r="U849" s="16" t="s">
        <v>987</v>
      </c>
      <c r="V849" s="16" t="s">
        <v>916</v>
      </c>
      <c r="W849" s="16" t="s">
        <v>987</v>
      </c>
      <c r="X849" s="16" t="s">
        <v>934</v>
      </c>
      <c r="Y849" s="16" t="s">
        <v>934</v>
      </c>
      <c r="Z849" s="16" t="s">
        <v>935</v>
      </c>
      <c r="DA849" s="405" t="s">
        <v>5</v>
      </c>
      <c r="DB849" s="405" t="s">
        <v>363</v>
      </c>
      <c r="DC849" s="406" t="s">
        <v>85</v>
      </c>
      <c r="DD849" s="405" t="s">
        <v>917</v>
      </c>
      <c r="DE849" s="405" t="s">
        <v>5</v>
      </c>
      <c r="DF849" s="406" t="s">
        <v>85</v>
      </c>
      <c r="DG849" s="407">
        <v>45856</v>
      </c>
      <c r="DH849" s="405" t="s">
        <v>4926</v>
      </c>
      <c r="DI849" s="406">
        <v>465455</v>
      </c>
      <c r="DJ849" s="408">
        <v>5</v>
      </c>
      <c r="DK849" s="405">
        <v>1</v>
      </c>
      <c r="DL849" s="82">
        <v>340.55</v>
      </c>
      <c r="DM849" s="409">
        <v>1.70275</v>
      </c>
      <c r="DN849" s="82" t="s">
        <v>85</v>
      </c>
      <c r="DO849" s="82" t="s">
        <v>85</v>
      </c>
      <c r="DP849" s="410" t="s">
        <v>85</v>
      </c>
    </row>
    <row r="850" spans="1:120" x14ac:dyDescent="0.25">
      <c r="A850" s="16" t="s">
        <v>4929</v>
      </c>
      <c r="B850" s="16" t="s">
        <v>4930</v>
      </c>
      <c r="C850" s="16" t="s">
        <v>4931</v>
      </c>
      <c r="D850" s="16" t="s">
        <v>4716</v>
      </c>
      <c r="E850" s="16" t="s">
        <v>4932</v>
      </c>
      <c r="F850" s="16" t="s">
        <v>4933</v>
      </c>
      <c r="G850" s="16" t="s">
        <v>4934</v>
      </c>
      <c r="H850" s="16" t="s">
        <v>4933</v>
      </c>
      <c r="I850" s="16" t="s">
        <v>2898</v>
      </c>
      <c r="J850" s="16" t="s">
        <v>943</v>
      </c>
      <c r="K850" s="16" t="s">
        <v>2899</v>
      </c>
      <c r="L850" s="16" t="s">
        <v>85</v>
      </c>
      <c r="M850" s="16" t="s">
        <v>984</v>
      </c>
      <c r="N850" s="16" t="s">
        <v>914</v>
      </c>
      <c r="O850" s="16" t="s">
        <v>985</v>
      </c>
      <c r="P850" s="16" t="s">
        <v>914</v>
      </c>
      <c r="Q850" s="16" t="s">
        <v>985</v>
      </c>
      <c r="R850" s="16" t="s">
        <v>915</v>
      </c>
      <c r="S850" s="16" t="s">
        <v>915</v>
      </c>
      <c r="T850" s="16" t="s">
        <v>986</v>
      </c>
      <c r="U850" s="16" t="s">
        <v>987</v>
      </c>
      <c r="V850" s="16" t="s">
        <v>916</v>
      </c>
      <c r="W850" s="16" t="s">
        <v>987</v>
      </c>
      <c r="X850" s="16" t="s">
        <v>934</v>
      </c>
      <c r="Y850" s="16" t="s">
        <v>934</v>
      </c>
      <c r="Z850" s="16" t="s">
        <v>935</v>
      </c>
      <c r="DA850" s="405" t="s">
        <v>5</v>
      </c>
      <c r="DB850" s="405" t="s">
        <v>363</v>
      </c>
      <c r="DC850" s="406" t="s">
        <v>85</v>
      </c>
      <c r="DD850" s="405" t="s">
        <v>917</v>
      </c>
      <c r="DE850" s="405" t="s">
        <v>5</v>
      </c>
      <c r="DF850" s="406" t="s">
        <v>85</v>
      </c>
      <c r="DG850" s="407">
        <v>45856</v>
      </c>
      <c r="DH850" s="405" t="s">
        <v>4932</v>
      </c>
      <c r="DI850" s="406">
        <v>465455</v>
      </c>
      <c r="DJ850" s="408">
        <v>5</v>
      </c>
      <c r="DK850" s="405">
        <v>1</v>
      </c>
      <c r="DL850" s="82">
        <v>340.55</v>
      </c>
      <c r="DM850" s="409">
        <v>1.70275</v>
      </c>
      <c r="DN850" s="82" t="s">
        <v>85</v>
      </c>
      <c r="DO850" s="82" t="s">
        <v>85</v>
      </c>
      <c r="DP850" s="410" t="s">
        <v>85</v>
      </c>
    </row>
    <row r="851" spans="1:120" x14ac:dyDescent="0.25">
      <c r="A851" s="16" t="s">
        <v>4935</v>
      </c>
      <c r="B851" s="16" t="s">
        <v>4936</v>
      </c>
      <c r="C851" s="16" t="s">
        <v>4937</v>
      </c>
      <c r="D851" s="16" t="s">
        <v>4716</v>
      </c>
      <c r="E851" s="16" t="s">
        <v>4938</v>
      </c>
      <c r="F851" s="16" t="s">
        <v>4939</v>
      </c>
      <c r="G851" s="16" t="s">
        <v>4940</v>
      </c>
      <c r="H851" s="16" t="s">
        <v>4941</v>
      </c>
      <c r="I851" s="16" t="s">
        <v>2118</v>
      </c>
      <c r="J851" s="16" t="s">
        <v>928</v>
      </c>
      <c r="K851" s="16" t="s">
        <v>2119</v>
      </c>
      <c r="L851" s="16" t="s">
        <v>85</v>
      </c>
      <c r="M851" s="16" t="s">
        <v>1322</v>
      </c>
      <c r="N851" s="16" t="s">
        <v>914</v>
      </c>
      <c r="O851" s="16" t="s">
        <v>1323</v>
      </c>
      <c r="P851" s="16" t="s">
        <v>914</v>
      </c>
      <c r="Q851" s="16" t="s">
        <v>1323</v>
      </c>
      <c r="R851" s="16" t="s">
        <v>915</v>
      </c>
      <c r="S851" s="16" t="s">
        <v>915</v>
      </c>
      <c r="T851" s="16" t="s">
        <v>1322</v>
      </c>
      <c r="U851" s="16" t="s">
        <v>1324</v>
      </c>
      <c r="V851" s="16" t="s">
        <v>916</v>
      </c>
      <c r="W851" s="16" t="s">
        <v>1324</v>
      </c>
      <c r="X851" s="16" t="s">
        <v>934</v>
      </c>
      <c r="Y851" s="16" t="s">
        <v>934</v>
      </c>
      <c r="Z851" s="16" t="s">
        <v>935</v>
      </c>
      <c r="DA851" s="405" t="s">
        <v>5</v>
      </c>
      <c r="DB851" s="405" t="s">
        <v>363</v>
      </c>
      <c r="DC851" s="406" t="s">
        <v>85</v>
      </c>
      <c r="DD851" s="405" t="s">
        <v>917</v>
      </c>
      <c r="DE851" s="405" t="s">
        <v>5</v>
      </c>
      <c r="DF851" s="406" t="s">
        <v>85</v>
      </c>
      <c r="DG851" s="407">
        <v>45856</v>
      </c>
      <c r="DH851" s="405" t="s">
        <v>4938</v>
      </c>
      <c r="DI851" s="406">
        <v>465455</v>
      </c>
      <c r="DJ851" s="408">
        <v>5</v>
      </c>
      <c r="DK851" s="405">
        <v>1</v>
      </c>
      <c r="DL851" s="82">
        <v>332.47</v>
      </c>
      <c r="DM851" s="409">
        <v>1.6623500000000002</v>
      </c>
      <c r="DN851" s="82" t="s">
        <v>85</v>
      </c>
      <c r="DO851" s="82" t="s">
        <v>85</v>
      </c>
      <c r="DP851" s="410" t="s">
        <v>85</v>
      </c>
    </row>
    <row r="852" spans="1:120" x14ac:dyDescent="0.25">
      <c r="A852" s="16" t="s">
        <v>4942</v>
      </c>
      <c r="B852" s="16" t="s">
        <v>4943</v>
      </c>
      <c r="C852" s="16" t="s">
        <v>4944</v>
      </c>
      <c r="D852" s="16" t="s">
        <v>4716</v>
      </c>
      <c r="E852" s="16" t="s">
        <v>4945</v>
      </c>
      <c r="F852" s="16" t="s">
        <v>4946</v>
      </c>
      <c r="G852" s="16" t="s">
        <v>4947</v>
      </c>
      <c r="H852" s="16" t="s">
        <v>4948</v>
      </c>
      <c r="I852" s="16" t="s">
        <v>3041</v>
      </c>
      <c r="J852" s="16" t="s">
        <v>928</v>
      </c>
      <c r="K852" s="16" t="s">
        <v>3042</v>
      </c>
      <c r="L852" s="16" t="s">
        <v>85</v>
      </c>
      <c r="M852" s="16" t="s">
        <v>1322</v>
      </c>
      <c r="N852" s="16" t="s">
        <v>914</v>
      </c>
      <c r="O852" s="16" t="s">
        <v>1323</v>
      </c>
      <c r="P852" s="16" t="s">
        <v>914</v>
      </c>
      <c r="Q852" s="16" t="s">
        <v>1323</v>
      </c>
      <c r="R852" s="16" t="s">
        <v>915</v>
      </c>
      <c r="S852" s="16" t="s">
        <v>915</v>
      </c>
      <c r="T852" s="16" t="s">
        <v>1322</v>
      </c>
      <c r="U852" s="16" t="s">
        <v>1324</v>
      </c>
      <c r="V852" s="16" t="s">
        <v>916</v>
      </c>
      <c r="W852" s="16" t="s">
        <v>1324</v>
      </c>
      <c r="X852" s="16" t="s">
        <v>934</v>
      </c>
      <c r="Y852" s="16" t="s">
        <v>934</v>
      </c>
      <c r="Z852" s="16" t="s">
        <v>935</v>
      </c>
      <c r="DA852" s="405" t="s">
        <v>5</v>
      </c>
      <c r="DB852" s="405" t="s">
        <v>363</v>
      </c>
      <c r="DC852" s="406" t="s">
        <v>85</v>
      </c>
      <c r="DD852" s="405" t="s">
        <v>917</v>
      </c>
      <c r="DE852" s="405" t="s">
        <v>5</v>
      </c>
      <c r="DF852" s="406" t="s">
        <v>85</v>
      </c>
      <c r="DG852" s="407">
        <v>45856</v>
      </c>
      <c r="DH852" s="405" t="s">
        <v>4945</v>
      </c>
      <c r="DI852" s="406">
        <v>465455</v>
      </c>
      <c r="DJ852" s="408">
        <v>5</v>
      </c>
      <c r="DK852" s="405">
        <v>1</v>
      </c>
      <c r="DL852" s="82">
        <v>332.47</v>
      </c>
      <c r="DM852" s="409">
        <v>1.6623500000000002</v>
      </c>
      <c r="DN852" s="82" t="s">
        <v>85</v>
      </c>
      <c r="DO852" s="82" t="s">
        <v>85</v>
      </c>
      <c r="DP852" s="410" t="s">
        <v>85</v>
      </c>
    </row>
    <row r="853" spans="1:120" x14ac:dyDescent="0.25">
      <c r="A853" s="16" t="s">
        <v>4949</v>
      </c>
      <c r="B853" s="16" t="s">
        <v>4950</v>
      </c>
      <c r="C853" s="16" t="s">
        <v>4951</v>
      </c>
      <c r="D853" s="16" t="s">
        <v>4716</v>
      </c>
      <c r="E853" s="16" t="s">
        <v>4952</v>
      </c>
      <c r="F853" s="16" t="s">
        <v>4953</v>
      </c>
      <c r="G853" s="16" t="s">
        <v>4954</v>
      </c>
      <c r="H853" s="16" t="s">
        <v>4953</v>
      </c>
      <c r="I853" s="16" t="s">
        <v>1017</v>
      </c>
      <c r="J853" s="16" t="s">
        <v>995</v>
      </c>
      <c r="K853" s="16" t="s">
        <v>1018</v>
      </c>
      <c r="L853" s="16" t="s">
        <v>85</v>
      </c>
      <c r="M853" s="16" t="s">
        <v>1165</v>
      </c>
      <c r="N853" s="16" t="s">
        <v>914</v>
      </c>
      <c r="O853" s="16" t="s">
        <v>1166</v>
      </c>
      <c r="P853" s="16" t="s">
        <v>914</v>
      </c>
      <c r="Q853" s="16" t="s">
        <v>1166</v>
      </c>
      <c r="R853" s="16" t="s">
        <v>915</v>
      </c>
      <c r="S853" s="16" t="s">
        <v>915</v>
      </c>
      <c r="T853" s="16" t="s">
        <v>1167</v>
      </c>
      <c r="U853" s="16" t="s">
        <v>1168</v>
      </c>
      <c r="V853" s="16" t="s">
        <v>916</v>
      </c>
      <c r="W853" s="16" t="s">
        <v>1168</v>
      </c>
      <c r="X853" s="16" t="s">
        <v>934</v>
      </c>
      <c r="Y853" s="16" t="s">
        <v>934</v>
      </c>
      <c r="Z853" s="16" t="s">
        <v>935</v>
      </c>
      <c r="DA853" s="405" t="s">
        <v>5</v>
      </c>
      <c r="DB853" s="405" t="s">
        <v>363</v>
      </c>
      <c r="DC853" s="406" t="s">
        <v>85</v>
      </c>
      <c r="DD853" s="405" t="s">
        <v>917</v>
      </c>
      <c r="DE853" s="405" t="s">
        <v>5</v>
      </c>
      <c r="DF853" s="406" t="s">
        <v>85</v>
      </c>
      <c r="DG853" s="407">
        <v>45856</v>
      </c>
      <c r="DH853" s="405" t="s">
        <v>4952</v>
      </c>
      <c r="DI853" s="406">
        <v>465455</v>
      </c>
      <c r="DJ853" s="408">
        <v>5</v>
      </c>
      <c r="DK853" s="405">
        <v>1</v>
      </c>
      <c r="DL853" s="82">
        <v>468.28</v>
      </c>
      <c r="DM853" s="409">
        <v>2.3413999999999997</v>
      </c>
      <c r="DN853" s="82" t="s">
        <v>85</v>
      </c>
      <c r="DO853" s="82" t="s">
        <v>85</v>
      </c>
      <c r="DP853" s="410" t="s">
        <v>85</v>
      </c>
    </row>
    <row r="854" spans="1:120" x14ac:dyDescent="0.25">
      <c r="A854" s="16" t="s">
        <v>4949</v>
      </c>
      <c r="B854" s="16" t="s">
        <v>4950</v>
      </c>
      <c r="C854" s="16" t="s">
        <v>4951</v>
      </c>
      <c r="D854" s="16" t="s">
        <v>4716</v>
      </c>
      <c r="E854" s="16" t="s">
        <v>4952</v>
      </c>
      <c r="F854" s="16" t="s">
        <v>4953</v>
      </c>
      <c r="G854" s="16" t="s">
        <v>4954</v>
      </c>
      <c r="H854" s="16" t="s">
        <v>4953</v>
      </c>
      <c r="I854" s="16" t="s">
        <v>2876</v>
      </c>
      <c r="J854" s="16" t="s">
        <v>995</v>
      </c>
      <c r="K854" s="16" t="s">
        <v>2877</v>
      </c>
      <c r="L854" s="16" t="s">
        <v>85</v>
      </c>
      <c r="M854" s="16" t="s">
        <v>1165</v>
      </c>
      <c r="N854" s="16" t="s">
        <v>914</v>
      </c>
      <c r="O854" s="16" t="s">
        <v>1166</v>
      </c>
      <c r="P854" s="16" t="s">
        <v>914</v>
      </c>
      <c r="Q854" s="16" t="s">
        <v>1166</v>
      </c>
      <c r="R854" s="16" t="s">
        <v>915</v>
      </c>
      <c r="S854" s="16" t="s">
        <v>915</v>
      </c>
      <c r="T854" s="16" t="s">
        <v>1167</v>
      </c>
      <c r="U854" s="16" t="s">
        <v>1168</v>
      </c>
      <c r="V854" s="16" t="s">
        <v>916</v>
      </c>
      <c r="W854" s="16" t="s">
        <v>1168</v>
      </c>
      <c r="X854" s="16" t="s">
        <v>934</v>
      </c>
      <c r="Y854" s="16" t="s">
        <v>934</v>
      </c>
      <c r="Z854" s="16" t="s">
        <v>935</v>
      </c>
      <c r="DA854" s="405" t="s">
        <v>5</v>
      </c>
      <c r="DB854" s="405" t="s">
        <v>363</v>
      </c>
      <c r="DC854" s="406" t="s">
        <v>85</v>
      </c>
      <c r="DD854" s="405" t="s">
        <v>917</v>
      </c>
      <c r="DE854" s="405" t="s">
        <v>5</v>
      </c>
      <c r="DF854" s="406" t="s">
        <v>85</v>
      </c>
      <c r="DG854" s="407">
        <v>45856</v>
      </c>
      <c r="DH854" s="405" t="s">
        <v>4952</v>
      </c>
      <c r="DI854" s="406">
        <v>465455</v>
      </c>
      <c r="DJ854" s="408">
        <v>5</v>
      </c>
      <c r="DK854" s="405">
        <v>1</v>
      </c>
      <c r="DL854" s="82">
        <v>468.28</v>
      </c>
      <c r="DM854" s="409">
        <v>2.3413999999999997</v>
      </c>
      <c r="DN854" s="82" t="s">
        <v>85</v>
      </c>
      <c r="DO854" s="82" t="s">
        <v>85</v>
      </c>
      <c r="DP854" s="410" t="s">
        <v>85</v>
      </c>
    </row>
    <row r="855" spans="1:120" x14ac:dyDescent="0.25">
      <c r="A855" s="16" t="s">
        <v>4955</v>
      </c>
      <c r="B855" s="16" t="s">
        <v>4956</v>
      </c>
      <c r="C855" s="16" t="s">
        <v>4957</v>
      </c>
      <c r="D855" s="16" t="s">
        <v>4716</v>
      </c>
      <c r="E855" s="16" t="s">
        <v>4958</v>
      </c>
      <c r="F855" s="16" t="s">
        <v>4959</v>
      </c>
      <c r="G855" s="16" t="s">
        <v>4960</v>
      </c>
      <c r="H855" s="16" t="s">
        <v>4959</v>
      </c>
      <c r="I855" s="16" t="s">
        <v>1090</v>
      </c>
      <c r="J855" s="16" t="s">
        <v>943</v>
      </c>
      <c r="K855" s="16" t="s">
        <v>1091</v>
      </c>
      <c r="L855" s="16" t="s">
        <v>85</v>
      </c>
      <c r="M855" s="16" t="s">
        <v>984</v>
      </c>
      <c r="N855" s="16" t="s">
        <v>914</v>
      </c>
      <c r="O855" s="16" t="s">
        <v>985</v>
      </c>
      <c r="P855" s="16" t="s">
        <v>914</v>
      </c>
      <c r="Q855" s="16" t="s">
        <v>985</v>
      </c>
      <c r="R855" s="16" t="s">
        <v>915</v>
      </c>
      <c r="S855" s="16" t="s">
        <v>915</v>
      </c>
      <c r="T855" s="16" t="s">
        <v>986</v>
      </c>
      <c r="U855" s="16" t="s">
        <v>987</v>
      </c>
      <c r="V855" s="16" t="s">
        <v>916</v>
      </c>
      <c r="W855" s="16" t="s">
        <v>987</v>
      </c>
      <c r="X855" s="16" t="s">
        <v>934</v>
      </c>
      <c r="Y855" s="16" t="s">
        <v>934</v>
      </c>
      <c r="Z855" s="16" t="s">
        <v>935</v>
      </c>
      <c r="DA855" s="405" t="s">
        <v>5</v>
      </c>
      <c r="DB855" s="405" t="s">
        <v>363</v>
      </c>
      <c r="DC855" s="406" t="s">
        <v>85</v>
      </c>
      <c r="DD855" s="405" t="s">
        <v>917</v>
      </c>
      <c r="DE855" s="405" t="s">
        <v>5</v>
      </c>
      <c r="DF855" s="406" t="s">
        <v>85</v>
      </c>
      <c r="DG855" s="407">
        <v>45856</v>
      </c>
      <c r="DH855" s="405" t="s">
        <v>4958</v>
      </c>
      <c r="DI855" s="406">
        <v>465455</v>
      </c>
      <c r="DJ855" s="408">
        <v>5</v>
      </c>
      <c r="DK855" s="405">
        <v>1</v>
      </c>
      <c r="DL855" s="82">
        <v>340.55</v>
      </c>
      <c r="DM855" s="409">
        <v>1.70275</v>
      </c>
      <c r="DN855" s="82" t="s">
        <v>85</v>
      </c>
      <c r="DO855" s="82" t="s">
        <v>85</v>
      </c>
      <c r="DP855" s="410" t="s">
        <v>85</v>
      </c>
    </row>
    <row r="856" spans="1:120" x14ac:dyDescent="0.25">
      <c r="A856" s="16" t="s">
        <v>4386</v>
      </c>
      <c r="B856" s="16" t="s">
        <v>4387</v>
      </c>
      <c r="C856" s="16" t="s">
        <v>4388</v>
      </c>
      <c r="D856" s="16" t="s">
        <v>4389</v>
      </c>
      <c r="E856" s="16" t="s">
        <v>4390</v>
      </c>
      <c r="F856" s="16" t="s">
        <v>4391</v>
      </c>
      <c r="G856" s="16" t="s">
        <v>4392</v>
      </c>
      <c r="H856" s="16" t="s">
        <v>4393</v>
      </c>
      <c r="I856" s="16" t="s">
        <v>2271</v>
      </c>
      <c r="J856" s="16" t="s">
        <v>995</v>
      </c>
      <c r="K856" s="16" t="s">
        <v>2272</v>
      </c>
      <c r="L856" s="16" t="s">
        <v>85</v>
      </c>
      <c r="M856" s="16" t="s">
        <v>1165</v>
      </c>
      <c r="N856" s="16" t="s">
        <v>914</v>
      </c>
      <c r="O856" s="16" t="s">
        <v>1166</v>
      </c>
      <c r="P856" s="16" t="s">
        <v>914</v>
      </c>
      <c r="Q856" s="16" t="s">
        <v>1166</v>
      </c>
      <c r="R856" s="16" t="s">
        <v>915</v>
      </c>
      <c r="S856" s="16" t="s">
        <v>915</v>
      </c>
      <c r="T856" s="16" t="s">
        <v>1167</v>
      </c>
      <c r="U856" s="16" t="s">
        <v>1168</v>
      </c>
      <c r="V856" s="16" t="s">
        <v>916</v>
      </c>
      <c r="W856" s="16" t="s">
        <v>1168</v>
      </c>
      <c r="X856" s="16" t="s">
        <v>934</v>
      </c>
      <c r="Y856" s="16" t="s">
        <v>934</v>
      </c>
      <c r="Z856" s="16" t="s">
        <v>935</v>
      </c>
      <c r="DA856" s="405" t="s">
        <v>5</v>
      </c>
      <c r="DB856" s="405" t="s">
        <v>363</v>
      </c>
      <c r="DC856" s="406" t="s">
        <v>85</v>
      </c>
      <c r="DD856" s="405" t="s">
        <v>917</v>
      </c>
      <c r="DE856" s="405" t="s">
        <v>5</v>
      </c>
      <c r="DF856" s="406" t="s">
        <v>85</v>
      </c>
      <c r="DG856" s="407">
        <v>45857</v>
      </c>
      <c r="DH856" s="405" t="s">
        <v>4390</v>
      </c>
      <c r="DI856" s="406">
        <v>465455</v>
      </c>
      <c r="DJ856" s="408">
        <v>5</v>
      </c>
      <c r="DK856" s="405">
        <v>1</v>
      </c>
      <c r="DL856" s="82">
        <v>468.28</v>
      </c>
      <c r="DM856" s="409">
        <v>2.3413999999999997</v>
      </c>
      <c r="DN856" s="82" t="s">
        <v>85</v>
      </c>
      <c r="DO856" s="82" t="s">
        <v>85</v>
      </c>
      <c r="DP856" s="410" t="s">
        <v>85</v>
      </c>
    </row>
    <row r="857" spans="1:120" x14ac:dyDescent="0.25">
      <c r="A857" s="16" t="s">
        <v>4394</v>
      </c>
      <c r="B857" s="16" t="s">
        <v>4395</v>
      </c>
      <c r="C857" s="16" t="s">
        <v>4396</v>
      </c>
      <c r="D857" s="16" t="s">
        <v>4389</v>
      </c>
      <c r="E857" s="16" t="s">
        <v>4397</v>
      </c>
      <c r="F857" s="16" t="s">
        <v>4398</v>
      </c>
      <c r="G857" s="16" t="s">
        <v>4399</v>
      </c>
      <c r="H857" s="16" t="s">
        <v>4398</v>
      </c>
      <c r="I857" s="16" t="s">
        <v>2661</v>
      </c>
      <c r="J857" s="16" t="s">
        <v>943</v>
      </c>
      <c r="K857" s="16" t="s">
        <v>2662</v>
      </c>
      <c r="L857" s="16" t="s">
        <v>85</v>
      </c>
      <c r="M857" s="16" t="s">
        <v>984</v>
      </c>
      <c r="N857" s="16" t="s">
        <v>914</v>
      </c>
      <c r="O857" s="16" t="s">
        <v>985</v>
      </c>
      <c r="P857" s="16" t="s">
        <v>914</v>
      </c>
      <c r="Q857" s="16" t="s">
        <v>985</v>
      </c>
      <c r="R857" s="16" t="s">
        <v>915</v>
      </c>
      <c r="S857" s="16" t="s">
        <v>915</v>
      </c>
      <c r="T857" s="16" t="s">
        <v>986</v>
      </c>
      <c r="U857" s="16" t="s">
        <v>987</v>
      </c>
      <c r="V857" s="16" t="s">
        <v>916</v>
      </c>
      <c r="W857" s="16" t="s">
        <v>987</v>
      </c>
      <c r="X857" s="16" t="s">
        <v>934</v>
      </c>
      <c r="Y857" s="16" t="s">
        <v>934</v>
      </c>
      <c r="Z857" s="16" t="s">
        <v>935</v>
      </c>
      <c r="DA857" s="405" t="s">
        <v>5</v>
      </c>
      <c r="DB857" s="405" t="s">
        <v>363</v>
      </c>
      <c r="DC857" s="406" t="s">
        <v>85</v>
      </c>
      <c r="DD857" s="405" t="s">
        <v>917</v>
      </c>
      <c r="DE857" s="405" t="s">
        <v>5</v>
      </c>
      <c r="DF857" s="406" t="s">
        <v>85</v>
      </c>
      <c r="DG857" s="407">
        <v>45857</v>
      </c>
      <c r="DH857" s="405" t="s">
        <v>4397</v>
      </c>
      <c r="DI857" s="406">
        <v>465455</v>
      </c>
      <c r="DJ857" s="408">
        <v>5</v>
      </c>
      <c r="DK857" s="405">
        <v>1</v>
      </c>
      <c r="DL857" s="82">
        <v>340.55</v>
      </c>
      <c r="DM857" s="409">
        <v>1.70275</v>
      </c>
      <c r="DN857" s="82" t="s">
        <v>85</v>
      </c>
      <c r="DO857" s="82" t="s">
        <v>85</v>
      </c>
      <c r="DP857" s="410" t="s">
        <v>85</v>
      </c>
    </row>
    <row r="858" spans="1:120" x14ac:dyDescent="0.25">
      <c r="A858" s="16" t="s">
        <v>4394</v>
      </c>
      <c r="B858" s="16" t="s">
        <v>4395</v>
      </c>
      <c r="C858" s="16" t="s">
        <v>4396</v>
      </c>
      <c r="D858" s="16" t="s">
        <v>4389</v>
      </c>
      <c r="E858" s="16" t="s">
        <v>4397</v>
      </c>
      <c r="F858" s="16" t="s">
        <v>4398</v>
      </c>
      <c r="G858" s="16" t="s">
        <v>4399</v>
      </c>
      <c r="H858" s="16" t="s">
        <v>4398</v>
      </c>
      <c r="I858" s="16" t="s">
        <v>2958</v>
      </c>
      <c r="J858" s="16" t="s">
        <v>943</v>
      </c>
      <c r="K858" s="16" t="s">
        <v>2959</v>
      </c>
      <c r="L858" s="16" t="s">
        <v>85</v>
      </c>
      <c r="M858" s="16" t="s">
        <v>984</v>
      </c>
      <c r="N858" s="16" t="s">
        <v>914</v>
      </c>
      <c r="O858" s="16" t="s">
        <v>985</v>
      </c>
      <c r="P858" s="16" t="s">
        <v>914</v>
      </c>
      <c r="Q858" s="16" t="s">
        <v>985</v>
      </c>
      <c r="R858" s="16" t="s">
        <v>915</v>
      </c>
      <c r="S858" s="16" t="s">
        <v>915</v>
      </c>
      <c r="T858" s="16" t="s">
        <v>986</v>
      </c>
      <c r="U858" s="16" t="s">
        <v>987</v>
      </c>
      <c r="V858" s="16" t="s">
        <v>916</v>
      </c>
      <c r="W858" s="16" t="s">
        <v>987</v>
      </c>
      <c r="X858" s="16" t="s">
        <v>934</v>
      </c>
      <c r="Y858" s="16" t="s">
        <v>934</v>
      </c>
      <c r="Z858" s="16" t="s">
        <v>935</v>
      </c>
      <c r="DA858" s="405" t="s">
        <v>5</v>
      </c>
      <c r="DB858" s="405" t="s">
        <v>363</v>
      </c>
      <c r="DC858" s="406" t="s">
        <v>85</v>
      </c>
      <c r="DD858" s="405" t="s">
        <v>917</v>
      </c>
      <c r="DE858" s="405" t="s">
        <v>5</v>
      </c>
      <c r="DF858" s="406" t="s">
        <v>85</v>
      </c>
      <c r="DG858" s="407">
        <v>45857</v>
      </c>
      <c r="DH858" s="405" t="s">
        <v>4397</v>
      </c>
      <c r="DI858" s="406">
        <v>465455</v>
      </c>
      <c r="DJ858" s="408">
        <v>5</v>
      </c>
      <c r="DK858" s="405">
        <v>1</v>
      </c>
      <c r="DL858" s="82">
        <v>340.55</v>
      </c>
      <c r="DM858" s="409">
        <v>1.70275</v>
      </c>
      <c r="DN858" s="82" t="s">
        <v>85</v>
      </c>
      <c r="DO858" s="82" t="s">
        <v>85</v>
      </c>
      <c r="DP858" s="410" t="s">
        <v>85</v>
      </c>
    </row>
    <row r="859" spans="1:120" x14ac:dyDescent="0.25">
      <c r="A859" s="16" t="s">
        <v>4400</v>
      </c>
      <c r="B859" s="16" t="s">
        <v>4401</v>
      </c>
      <c r="C859" s="16" t="s">
        <v>4402</v>
      </c>
      <c r="D859" s="16" t="s">
        <v>4389</v>
      </c>
      <c r="E859" s="16" t="s">
        <v>4403</v>
      </c>
      <c r="F859" s="16" t="s">
        <v>4404</v>
      </c>
      <c r="G859" s="16" t="s">
        <v>4405</v>
      </c>
      <c r="H859" s="16" t="s">
        <v>4406</v>
      </c>
      <c r="I859" s="16" t="s">
        <v>1287</v>
      </c>
      <c r="J859" s="16" t="s">
        <v>943</v>
      </c>
      <c r="K859" s="16" t="s">
        <v>1288</v>
      </c>
      <c r="L859" s="16" t="s">
        <v>85</v>
      </c>
      <c r="M859" s="16" t="s">
        <v>984</v>
      </c>
      <c r="N859" s="16" t="s">
        <v>914</v>
      </c>
      <c r="O859" s="16" t="s">
        <v>985</v>
      </c>
      <c r="P859" s="16" t="s">
        <v>914</v>
      </c>
      <c r="Q859" s="16" t="s">
        <v>985</v>
      </c>
      <c r="R859" s="16" t="s">
        <v>915</v>
      </c>
      <c r="S859" s="16" t="s">
        <v>915</v>
      </c>
      <c r="T859" s="16" t="s">
        <v>986</v>
      </c>
      <c r="U859" s="16" t="s">
        <v>987</v>
      </c>
      <c r="V859" s="16" t="s">
        <v>916</v>
      </c>
      <c r="W859" s="16" t="s">
        <v>987</v>
      </c>
      <c r="X859" s="16" t="s">
        <v>934</v>
      </c>
      <c r="Y859" s="16" t="s">
        <v>934</v>
      </c>
      <c r="Z859" s="16" t="s">
        <v>935</v>
      </c>
      <c r="DA859" s="405" t="s">
        <v>5</v>
      </c>
      <c r="DB859" s="405" t="s">
        <v>363</v>
      </c>
      <c r="DC859" s="406" t="s">
        <v>85</v>
      </c>
      <c r="DD859" s="405" t="s">
        <v>917</v>
      </c>
      <c r="DE859" s="405" t="s">
        <v>5</v>
      </c>
      <c r="DF859" s="406" t="s">
        <v>85</v>
      </c>
      <c r="DG859" s="407">
        <v>45857</v>
      </c>
      <c r="DH859" s="405" t="s">
        <v>4403</v>
      </c>
      <c r="DI859" s="406">
        <v>465455</v>
      </c>
      <c r="DJ859" s="408">
        <v>5</v>
      </c>
      <c r="DK859" s="405">
        <v>1</v>
      </c>
      <c r="DL859" s="82">
        <v>340.55</v>
      </c>
      <c r="DM859" s="409">
        <v>1.70275</v>
      </c>
      <c r="DN859" s="82" t="s">
        <v>85</v>
      </c>
      <c r="DO859" s="82" t="s">
        <v>85</v>
      </c>
      <c r="DP859" s="410" t="s">
        <v>85</v>
      </c>
    </row>
    <row r="860" spans="1:120" x14ac:dyDescent="0.25">
      <c r="A860" s="16" t="s">
        <v>4407</v>
      </c>
      <c r="B860" s="16" t="s">
        <v>4408</v>
      </c>
      <c r="C860" s="16" t="s">
        <v>4409</v>
      </c>
      <c r="D860" s="16" t="s">
        <v>4389</v>
      </c>
      <c r="E860" s="16" t="s">
        <v>4410</v>
      </c>
      <c r="F860" s="16" t="s">
        <v>4411</v>
      </c>
      <c r="G860" s="16" t="s">
        <v>4412</v>
      </c>
      <c r="H860" s="16" t="s">
        <v>4411</v>
      </c>
      <c r="I860" s="16" t="s">
        <v>4413</v>
      </c>
      <c r="J860" s="16" t="s">
        <v>1847</v>
      </c>
      <c r="K860" s="16" t="s">
        <v>4414</v>
      </c>
      <c r="L860" s="16" t="s">
        <v>85</v>
      </c>
      <c r="M860" s="16" t="s">
        <v>1849</v>
      </c>
      <c r="N860" s="16" t="s">
        <v>914</v>
      </c>
      <c r="O860" s="16" t="s">
        <v>1850</v>
      </c>
      <c r="P860" s="16" t="s">
        <v>914</v>
      </c>
      <c r="Q860" s="16" t="s">
        <v>1850</v>
      </c>
      <c r="R860" s="16" t="s">
        <v>915</v>
      </c>
      <c r="S860" s="16" t="s">
        <v>915</v>
      </c>
      <c r="T860" s="16" t="s">
        <v>1851</v>
      </c>
      <c r="U860" s="16" t="s">
        <v>1852</v>
      </c>
      <c r="V860" s="16" t="s">
        <v>916</v>
      </c>
      <c r="W860" s="16" t="s">
        <v>1852</v>
      </c>
      <c r="X860" s="16" t="s">
        <v>934</v>
      </c>
      <c r="Y860" s="16" t="s">
        <v>934</v>
      </c>
      <c r="Z860" s="16" t="s">
        <v>935</v>
      </c>
      <c r="DA860" s="405" t="s">
        <v>5</v>
      </c>
      <c r="DB860" s="405" t="s">
        <v>363</v>
      </c>
      <c r="DC860" s="406" t="s">
        <v>85</v>
      </c>
      <c r="DD860" s="405" t="s">
        <v>917</v>
      </c>
      <c r="DE860" s="405" t="s">
        <v>5</v>
      </c>
      <c r="DF860" s="406" t="s">
        <v>85</v>
      </c>
      <c r="DG860" s="407">
        <v>45857</v>
      </c>
      <c r="DH860" s="405" t="s">
        <v>4410</v>
      </c>
      <c r="DI860" s="406">
        <v>465455</v>
      </c>
      <c r="DJ860" s="408">
        <v>5</v>
      </c>
      <c r="DK860" s="405">
        <v>1</v>
      </c>
      <c r="DL860" s="82">
        <v>447.02</v>
      </c>
      <c r="DM860" s="409">
        <v>2.2351000000000001</v>
      </c>
      <c r="DN860" s="82" t="s">
        <v>85</v>
      </c>
      <c r="DO860" s="82" t="s">
        <v>85</v>
      </c>
      <c r="DP860" s="410" t="s">
        <v>85</v>
      </c>
    </row>
    <row r="861" spans="1:120" x14ac:dyDescent="0.25">
      <c r="A861" s="16" t="s">
        <v>4415</v>
      </c>
      <c r="B861" s="16" t="s">
        <v>4416</v>
      </c>
      <c r="C861" s="16" t="s">
        <v>4417</v>
      </c>
      <c r="D861" s="16" t="s">
        <v>4389</v>
      </c>
      <c r="E861" s="16" t="s">
        <v>4418</v>
      </c>
      <c r="F861" s="16" t="s">
        <v>4419</v>
      </c>
      <c r="G861" s="16" t="s">
        <v>4420</v>
      </c>
      <c r="H861" s="16" t="s">
        <v>4419</v>
      </c>
      <c r="I861" s="16" t="s">
        <v>1448</v>
      </c>
      <c r="J861" s="16" t="s">
        <v>1036</v>
      </c>
      <c r="K861" s="16" t="s">
        <v>1449</v>
      </c>
      <c r="L861" s="16" t="s">
        <v>85</v>
      </c>
      <c r="M861" s="16" t="s">
        <v>1216</v>
      </c>
      <c r="N861" s="16" t="s">
        <v>914</v>
      </c>
      <c r="O861" s="16" t="s">
        <v>946</v>
      </c>
      <c r="P861" s="16" t="s">
        <v>914</v>
      </c>
      <c r="Q861" s="16" t="s">
        <v>946</v>
      </c>
      <c r="R861" s="16" t="s">
        <v>915</v>
      </c>
      <c r="S861" s="16" t="s">
        <v>915</v>
      </c>
      <c r="T861" s="16" t="s">
        <v>1216</v>
      </c>
      <c r="U861" s="16" t="s">
        <v>1217</v>
      </c>
      <c r="V861" s="16" t="s">
        <v>916</v>
      </c>
      <c r="W861" s="16" t="s">
        <v>1217</v>
      </c>
      <c r="X861" s="16" t="s">
        <v>934</v>
      </c>
      <c r="Y861" s="16" t="s">
        <v>934</v>
      </c>
      <c r="Z861" s="16" t="s">
        <v>935</v>
      </c>
      <c r="DA861" s="405" t="s">
        <v>5</v>
      </c>
      <c r="DB861" s="405" t="s">
        <v>363</v>
      </c>
      <c r="DC861" s="406" t="s">
        <v>85</v>
      </c>
      <c r="DD861" s="405" t="s">
        <v>917</v>
      </c>
      <c r="DE861" s="405" t="s">
        <v>5</v>
      </c>
      <c r="DF861" s="406" t="s">
        <v>85</v>
      </c>
      <c r="DG861" s="407">
        <v>45857</v>
      </c>
      <c r="DH861" s="405" t="s">
        <v>4418</v>
      </c>
      <c r="DI861" s="406">
        <v>465455</v>
      </c>
      <c r="DJ861" s="408">
        <v>5</v>
      </c>
      <c r="DK861" s="405">
        <v>1</v>
      </c>
      <c r="DL861" s="82">
        <v>319.22000000000003</v>
      </c>
      <c r="DM861" s="409">
        <v>1.5961000000000001</v>
      </c>
      <c r="DN861" s="82" t="s">
        <v>85</v>
      </c>
      <c r="DO861" s="82" t="s">
        <v>85</v>
      </c>
      <c r="DP861" s="410" t="s">
        <v>85</v>
      </c>
    </row>
    <row r="862" spans="1:120" x14ac:dyDescent="0.25">
      <c r="A862" s="16" t="s">
        <v>4421</v>
      </c>
      <c r="B862" s="16" t="s">
        <v>4422</v>
      </c>
      <c r="C862" s="16" t="s">
        <v>4423</v>
      </c>
      <c r="D862" s="16" t="s">
        <v>4389</v>
      </c>
      <c r="E862" s="16" t="s">
        <v>4424</v>
      </c>
      <c r="F862" s="16" t="s">
        <v>4425</v>
      </c>
      <c r="G862" s="16" t="s">
        <v>4426</v>
      </c>
      <c r="H862" s="16" t="s">
        <v>4427</v>
      </c>
      <c r="I862" s="16" t="s">
        <v>1099</v>
      </c>
      <c r="J862" s="16" t="s">
        <v>943</v>
      </c>
      <c r="K862" s="16" t="s">
        <v>1100</v>
      </c>
      <c r="L862" s="16" t="s">
        <v>85</v>
      </c>
      <c r="M862" s="16" t="s">
        <v>984</v>
      </c>
      <c r="N862" s="16" t="s">
        <v>914</v>
      </c>
      <c r="O862" s="16" t="s">
        <v>985</v>
      </c>
      <c r="P862" s="16" t="s">
        <v>914</v>
      </c>
      <c r="Q862" s="16" t="s">
        <v>985</v>
      </c>
      <c r="R862" s="16" t="s">
        <v>915</v>
      </c>
      <c r="S862" s="16" t="s">
        <v>915</v>
      </c>
      <c r="T862" s="16" t="s">
        <v>986</v>
      </c>
      <c r="U862" s="16" t="s">
        <v>987</v>
      </c>
      <c r="V862" s="16" t="s">
        <v>916</v>
      </c>
      <c r="W862" s="16" t="s">
        <v>987</v>
      </c>
      <c r="X862" s="16" t="s">
        <v>934</v>
      </c>
      <c r="Y862" s="16" t="s">
        <v>934</v>
      </c>
      <c r="Z862" s="16" t="s">
        <v>935</v>
      </c>
      <c r="DA862" s="405" t="s">
        <v>5</v>
      </c>
      <c r="DB862" s="405" t="s">
        <v>363</v>
      </c>
      <c r="DC862" s="406" t="s">
        <v>85</v>
      </c>
      <c r="DD862" s="405" t="s">
        <v>917</v>
      </c>
      <c r="DE862" s="405" t="s">
        <v>5</v>
      </c>
      <c r="DF862" s="406" t="s">
        <v>85</v>
      </c>
      <c r="DG862" s="407">
        <v>45857</v>
      </c>
      <c r="DH862" s="405" t="s">
        <v>4424</v>
      </c>
      <c r="DI862" s="406">
        <v>465455</v>
      </c>
      <c r="DJ862" s="408">
        <v>5</v>
      </c>
      <c r="DK862" s="405">
        <v>1</v>
      </c>
      <c r="DL862" s="82">
        <v>340.55</v>
      </c>
      <c r="DM862" s="409">
        <v>1.70275</v>
      </c>
      <c r="DN862" s="82" t="s">
        <v>85</v>
      </c>
      <c r="DO862" s="82" t="s">
        <v>85</v>
      </c>
      <c r="DP862" s="410" t="s">
        <v>85</v>
      </c>
    </row>
    <row r="863" spans="1:120" x14ac:dyDescent="0.25">
      <c r="A863" s="16" t="s">
        <v>4428</v>
      </c>
      <c r="B863" s="16" t="s">
        <v>4429</v>
      </c>
      <c r="C863" s="16" t="s">
        <v>4430</v>
      </c>
      <c r="D863" s="16" t="s">
        <v>4389</v>
      </c>
      <c r="E863" s="16" t="s">
        <v>4431</v>
      </c>
      <c r="F863" s="16" t="s">
        <v>4432</v>
      </c>
      <c r="G863" s="16" t="s">
        <v>4433</v>
      </c>
      <c r="H863" s="16" t="s">
        <v>4432</v>
      </c>
      <c r="I863" s="16" t="s">
        <v>3013</v>
      </c>
      <c r="J863" s="16" t="s">
        <v>943</v>
      </c>
      <c r="K863" s="16" t="s">
        <v>3014</v>
      </c>
      <c r="L863" s="16" t="s">
        <v>85</v>
      </c>
      <c r="M863" s="16" t="s">
        <v>984</v>
      </c>
      <c r="N863" s="16" t="s">
        <v>914</v>
      </c>
      <c r="O863" s="16" t="s">
        <v>985</v>
      </c>
      <c r="P863" s="16" t="s">
        <v>914</v>
      </c>
      <c r="Q863" s="16" t="s">
        <v>985</v>
      </c>
      <c r="R863" s="16" t="s">
        <v>915</v>
      </c>
      <c r="S863" s="16" t="s">
        <v>915</v>
      </c>
      <c r="T863" s="16" t="s">
        <v>986</v>
      </c>
      <c r="U863" s="16" t="s">
        <v>987</v>
      </c>
      <c r="V863" s="16" t="s">
        <v>916</v>
      </c>
      <c r="W863" s="16" t="s">
        <v>987</v>
      </c>
      <c r="X863" s="16" t="s">
        <v>934</v>
      </c>
      <c r="Y863" s="16" t="s">
        <v>934</v>
      </c>
      <c r="Z863" s="16" t="s">
        <v>935</v>
      </c>
      <c r="DA863" s="405" t="s">
        <v>5</v>
      </c>
      <c r="DB863" s="405" t="s">
        <v>363</v>
      </c>
      <c r="DC863" s="406" t="s">
        <v>85</v>
      </c>
      <c r="DD863" s="405" t="s">
        <v>917</v>
      </c>
      <c r="DE863" s="405" t="s">
        <v>5</v>
      </c>
      <c r="DF863" s="406" t="s">
        <v>85</v>
      </c>
      <c r="DG863" s="407">
        <v>45857</v>
      </c>
      <c r="DH863" s="405" t="s">
        <v>4431</v>
      </c>
      <c r="DI863" s="406">
        <v>465455</v>
      </c>
      <c r="DJ863" s="408">
        <v>5</v>
      </c>
      <c r="DK863" s="405">
        <v>1</v>
      </c>
      <c r="DL863" s="82">
        <v>340.55</v>
      </c>
      <c r="DM863" s="409">
        <v>1.70275</v>
      </c>
      <c r="DN863" s="82" t="s">
        <v>85</v>
      </c>
      <c r="DO863" s="82" t="s">
        <v>85</v>
      </c>
      <c r="DP863" s="410" t="s">
        <v>85</v>
      </c>
    </row>
    <row r="864" spans="1:120" x14ac:dyDescent="0.25">
      <c r="A864" s="16" t="s">
        <v>4434</v>
      </c>
      <c r="B864" s="16" t="s">
        <v>4435</v>
      </c>
      <c r="C864" s="16" t="s">
        <v>4436</v>
      </c>
      <c r="D864" s="16" t="s">
        <v>4389</v>
      </c>
      <c r="E864" s="16" t="s">
        <v>4437</v>
      </c>
      <c r="F864" s="16" t="s">
        <v>4438</v>
      </c>
      <c r="G864" s="16" t="s">
        <v>4439</v>
      </c>
      <c r="H864" s="16" t="s">
        <v>4438</v>
      </c>
      <c r="I864" s="16" t="s">
        <v>4440</v>
      </c>
      <c r="J864" s="16" t="s">
        <v>1359</v>
      </c>
      <c r="K864" s="16" t="s">
        <v>4441</v>
      </c>
      <c r="L864" s="16" t="s">
        <v>85</v>
      </c>
      <c r="M864" s="16" t="s">
        <v>1350</v>
      </c>
      <c r="N864" s="16" t="s">
        <v>914</v>
      </c>
      <c r="O864" s="16" t="s">
        <v>1351</v>
      </c>
      <c r="P864" s="16" t="s">
        <v>914</v>
      </c>
      <c r="Q864" s="16" t="s">
        <v>1351</v>
      </c>
      <c r="R864" s="16" t="s">
        <v>915</v>
      </c>
      <c r="S864" s="16" t="s">
        <v>915</v>
      </c>
      <c r="T864" s="16" t="s">
        <v>1352</v>
      </c>
      <c r="U864" s="16" t="s">
        <v>1353</v>
      </c>
      <c r="V864" s="16" t="s">
        <v>916</v>
      </c>
      <c r="W864" s="16" t="s">
        <v>1353</v>
      </c>
      <c r="X864" s="16" t="s">
        <v>934</v>
      </c>
      <c r="Y864" s="16" t="s">
        <v>934</v>
      </c>
      <c r="Z864" s="16" t="s">
        <v>935</v>
      </c>
      <c r="DA864" s="405" t="s">
        <v>5</v>
      </c>
      <c r="DB864" s="405" t="s">
        <v>363</v>
      </c>
      <c r="DC864" s="406" t="s">
        <v>85</v>
      </c>
      <c r="DD864" s="405" t="s">
        <v>917</v>
      </c>
      <c r="DE864" s="405" t="s">
        <v>5</v>
      </c>
      <c r="DF864" s="406" t="s">
        <v>85</v>
      </c>
      <c r="DG864" s="407">
        <v>45857</v>
      </c>
      <c r="DH864" s="405" t="s">
        <v>4437</v>
      </c>
      <c r="DI864" s="406">
        <v>465455</v>
      </c>
      <c r="DJ864" s="408">
        <v>5</v>
      </c>
      <c r="DK864" s="405">
        <v>1</v>
      </c>
      <c r="DL864" s="82">
        <v>303.3</v>
      </c>
      <c r="DM864" s="409">
        <v>1.5165000000000002</v>
      </c>
      <c r="DN864" s="82" t="s">
        <v>85</v>
      </c>
      <c r="DO864" s="82" t="s">
        <v>85</v>
      </c>
      <c r="DP864" s="410" t="s">
        <v>85</v>
      </c>
    </row>
    <row r="865" spans="1:120" x14ac:dyDescent="0.25">
      <c r="A865" s="16" t="s">
        <v>4442</v>
      </c>
      <c r="B865" s="16" t="s">
        <v>4443</v>
      </c>
      <c r="C865" s="16" t="s">
        <v>4444</v>
      </c>
      <c r="D865" s="16" t="s">
        <v>4389</v>
      </c>
      <c r="E865" s="16" t="s">
        <v>4445</v>
      </c>
      <c r="F865" s="16" t="s">
        <v>4446</v>
      </c>
      <c r="G865" s="16" t="s">
        <v>4447</v>
      </c>
      <c r="H865" s="16" t="s">
        <v>4446</v>
      </c>
      <c r="I865" s="16" t="s">
        <v>2232</v>
      </c>
      <c r="J865" s="16" t="s">
        <v>1123</v>
      </c>
      <c r="K865" s="16" t="s">
        <v>2233</v>
      </c>
      <c r="L865" s="16" t="s">
        <v>85</v>
      </c>
      <c r="M865" s="16" t="s">
        <v>1238</v>
      </c>
      <c r="N865" s="16" t="s">
        <v>914</v>
      </c>
      <c r="O865" s="16" t="s">
        <v>1239</v>
      </c>
      <c r="P865" s="16" t="s">
        <v>914</v>
      </c>
      <c r="Q865" s="16" t="s">
        <v>1239</v>
      </c>
      <c r="R865" s="16" t="s">
        <v>915</v>
      </c>
      <c r="S865" s="16" t="s">
        <v>915</v>
      </c>
      <c r="T865" s="16" t="s">
        <v>1238</v>
      </c>
      <c r="U865" s="16" t="s">
        <v>1240</v>
      </c>
      <c r="V865" s="16" t="s">
        <v>916</v>
      </c>
      <c r="W865" s="16" t="s">
        <v>1240</v>
      </c>
      <c r="X865" s="16" t="s">
        <v>934</v>
      </c>
      <c r="Y865" s="16" t="s">
        <v>934</v>
      </c>
      <c r="Z865" s="16" t="s">
        <v>935</v>
      </c>
      <c r="DA865" s="405" t="s">
        <v>5</v>
      </c>
      <c r="DB865" s="405" t="s">
        <v>363</v>
      </c>
      <c r="DC865" s="406" t="s">
        <v>85</v>
      </c>
      <c r="DD865" s="405" t="s">
        <v>917</v>
      </c>
      <c r="DE865" s="405" t="s">
        <v>5</v>
      </c>
      <c r="DF865" s="406" t="s">
        <v>85</v>
      </c>
      <c r="DG865" s="407">
        <v>45857</v>
      </c>
      <c r="DH865" s="405" t="s">
        <v>4445</v>
      </c>
      <c r="DI865" s="406">
        <v>465455</v>
      </c>
      <c r="DJ865" s="408">
        <v>5</v>
      </c>
      <c r="DK865" s="405">
        <v>1</v>
      </c>
      <c r="DL865" s="82">
        <v>383.16</v>
      </c>
      <c r="DM865" s="409">
        <v>1.9158000000000002</v>
      </c>
      <c r="DN865" s="82" t="s">
        <v>85</v>
      </c>
      <c r="DO865" s="82" t="s">
        <v>85</v>
      </c>
      <c r="DP865" s="410" t="s">
        <v>85</v>
      </c>
    </row>
    <row r="866" spans="1:120" x14ac:dyDescent="0.25">
      <c r="A866" s="16" t="s">
        <v>4448</v>
      </c>
      <c r="B866" s="16" t="s">
        <v>4449</v>
      </c>
      <c r="C866" s="16" t="s">
        <v>4450</v>
      </c>
      <c r="D866" s="16" t="s">
        <v>4389</v>
      </c>
      <c r="E866" s="16" t="s">
        <v>4451</v>
      </c>
      <c r="F866" s="16" t="s">
        <v>4452</v>
      </c>
      <c r="G866" s="16" t="s">
        <v>4453</v>
      </c>
      <c r="H866" s="16" t="s">
        <v>4452</v>
      </c>
      <c r="I866" s="16" t="s">
        <v>2056</v>
      </c>
      <c r="J866" s="16" t="s">
        <v>943</v>
      </c>
      <c r="K866" s="16" t="s">
        <v>2057</v>
      </c>
      <c r="L866" s="16" t="s">
        <v>85</v>
      </c>
      <c r="M866" s="16" t="s">
        <v>1152</v>
      </c>
      <c r="N866" s="16" t="s">
        <v>914</v>
      </c>
      <c r="O866" s="16" t="s">
        <v>1153</v>
      </c>
      <c r="P866" s="16" t="s">
        <v>914</v>
      </c>
      <c r="Q866" s="16" t="s">
        <v>1153</v>
      </c>
      <c r="R866" s="16" t="s">
        <v>915</v>
      </c>
      <c r="S866" s="16" t="s">
        <v>915</v>
      </c>
      <c r="T866" s="16" t="s">
        <v>1154</v>
      </c>
      <c r="U866" s="16" t="s">
        <v>1155</v>
      </c>
      <c r="V866" s="16" t="s">
        <v>916</v>
      </c>
      <c r="W866" s="16" t="s">
        <v>1155</v>
      </c>
      <c r="X866" s="16" t="s">
        <v>934</v>
      </c>
      <c r="Y866" s="16" t="s">
        <v>934</v>
      </c>
      <c r="Z866" s="16" t="s">
        <v>935</v>
      </c>
      <c r="DA866" s="405" t="s">
        <v>5</v>
      </c>
      <c r="DB866" s="405" t="s">
        <v>363</v>
      </c>
      <c r="DC866" s="406" t="s">
        <v>85</v>
      </c>
      <c r="DD866" s="405" t="s">
        <v>917</v>
      </c>
      <c r="DE866" s="405" t="s">
        <v>5</v>
      </c>
      <c r="DF866" s="406" t="s">
        <v>85</v>
      </c>
      <c r="DG866" s="407">
        <v>45857</v>
      </c>
      <c r="DH866" s="405" t="s">
        <v>4451</v>
      </c>
      <c r="DI866" s="406">
        <v>465455</v>
      </c>
      <c r="DJ866" s="408">
        <v>5</v>
      </c>
      <c r="DK866" s="405">
        <v>1</v>
      </c>
      <c r="DL866" s="82">
        <v>308.62</v>
      </c>
      <c r="DM866" s="409">
        <v>1.5431000000000001</v>
      </c>
      <c r="DN866" s="82" t="s">
        <v>85</v>
      </c>
      <c r="DO866" s="82" t="s">
        <v>85</v>
      </c>
      <c r="DP866" s="410" t="s">
        <v>85</v>
      </c>
    </row>
    <row r="867" spans="1:120" x14ac:dyDescent="0.25">
      <c r="A867" s="16" t="s">
        <v>4454</v>
      </c>
      <c r="B867" s="16" t="s">
        <v>4455</v>
      </c>
      <c r="C867" s="16" t="s">
        <v>4456</v>
      </c>
      <c r="D867" s="16" t="s">
        <v>4389</v>
      </c>
      <c r="E867" s="16" t="s">
        <v>4457</v>
      </c>
      <c r="F867" s="16" t="s">
        <v>4458</v>
      </c>
      <c r="G867" s="16" t="s">
        <v>4459</v>
      </c>
      <c r="H867" s="16" t="s">
        <v>4458</v>
      </c>
      <c r="I867" s="16" t="s">
        <v>1163</v>
      </c>
      <c r="J867" s="16" t="s">
        <v>995</v>
      </c>
      <c r="K867" s="16" t="s">
        <v>1164</v>
      </c>
      <c r="L867" s="16" t="s">
        <v>85</v>
      </c>
      <c r="M867" s="16" t="s">
        <v>1165</v>
      </c>
      <c r="N867" s="16" t="s">
        <v>914</v>
      </c>
      <c r="O867" s="16" t="s">
        <v>1166</v>
      </c>
      <c r="P867" s="16" t="s">
        <v>914</v>
      </c>
      <c r="Q867" s="16" t="s">
        <v>1166</v>
      </c>
      <c r="R867" s="16" t="s">
        <v>915</v>
      </c>
      <c r="S867" s="16" t="s">
        <v>915</v>
      </c>
      <c r="T867" s="16" t="s">
        <v>1167</v>
      </c>
      <c r="U867" s="16" t="s">
        <v>1168</v>
      </c>
      <c r="V867" s="16" t="s">
        <v>916</v>
      </c>
      <c r="W867" s="16" t="s">
        <v>1168</v>
      </c>
      <c r="X867" s="16" t="s">
        <v>934</v>
      </c>
      <c r="Y867" s="16" t="s">
        <v>934</v>
      </c>
      <c r="Z867" s="16" t="s">
        <v>935</v>
      </c>
      <c r="DA867" s="405" t="s">
        <v>5</v>
      </c>
      <c r="DB867" s="405" t="s">
        <v>363</v>
      </c>
      <c r="DC867" s="406" t="s">
        <v>85</v>
      </c>
      <c r="DD867" s="405" t="s">
        <v>917</v>
      </c>
      <c r="DE867" s="405" t="s">
        <v>5</v>
      </c>
      <c r="DF867" s="406" t="s">
        <v>85</v>
      </c>
      <c r="DG867" s="407">
        <v>45857</v>
      </c>
      <c r="DH867" s="405" t="s">
        <v>4457</v>
      </c>
      <c r="DI867" s="406">
        <v>465455</v>
      </c>
      <c r="DJ867" s="408">
        <v>5</v>
      </c>
      <c r="DK867" s="405">
        <v>1</v>
      </c>
      <c r="DL867" s="82">
        <v>468.28</v>
      </c>
      <c r="DM867" s="409">
        <v>2.3413999999999997</v>
      </c>
      <c r="DN867" s="82" t="s">
        <v>85</v>
      </c>
      <c r="DO867" s="82" t="s">
        <v>85</v>
      </c>
      <c r="DP867" s="410" t="s">
        <v>85</v>
      </c>
    </row>
    <row r="868" spans="1:120" x14ac:dyDescent="0.25">
      <c r="A868" s="16" t="s">
        <v>4454</v>
      </c>
      <c r="B868" s="16" t="s">
        <v>4455</v>
      </c>
      <c r="C868" s="16" t="s">
        <v>4456</v>
      </c>
      <c r="D868" s="16" t="s">
        <v>4389</v>
      </c>
      <c r="E868" s="16" t="s">
        <v>4457</v>
      </c>
      <c r="F868" s="16" t="s">
        <v>4458</v>
      </c>
      <c r="G868" s="16" t="s">
        <v>4459</v>
      </c>
      <c r="H868" s="16" t="s">
        <v>4458</v>
      </c>
      <c r="I868" s="16" t="s">
        <v>994</v>
      </c>
      <c r="J868" s="16" t="s">
        <v>995</v>
      </c>
      <c r="K868" s="16" t="s">
        <v>996</v>
      </c>
      <c r="L868" s="16" t="s">
        <v>85</v>
      </c>
      <c r="M868" s="16" t="s">
        <v>1165</v>
      </c>
      <c r="N868" s="16" t="s">
        <v>914</v>
      </c>
      <c r="O868" s="16" t="s">
        <v>1166</v>
      </c>
      <c r="P868" s="16" t="s">
        <v>914</v>
      </c>
      <c r="Q868" s="16" t="s">
        <v>1166</v>
      </c>
      <c r="R868" s="16" t="s">
        <v>915</v>
      </c>
      <c r="S868" s="16" t="s">
        <v>915</v>
      </c>
      <c r="T868" s="16" t="s">
        <v>1167</v>
      </c>
      <c r="U868" s="16" t="s">
        <v>1168</v>
      </c>
      <c r="V868" s="16" t="s">
        <v>916</v>
      </c>
      <c r="W868" s="16" t="s">
        <v>1168</v>
      </c>
      <c r="X868" s="16" t="s">
        <v>934</v>
      </c>
      <c r="Y868" s="16" t="s">
        <v>934</v>
      </c>
      <c r="Z868" s="16" t="s">
        <v>935</v>
      </c>
      <c r="DA868" s="405" t="s">
        <v>5</v>
      </c>
      <c r="DB868" s="405" t="s">
        <v>363</v>
      </c>
      <c r="DC868" s="406" t="s">
        <v>85</v>
      </c>
      <c r="DD868" s="405" t="s">
        <v>917</v>
      </c>
      <c r="DE868" s="405" t="s">
        <v>5</v>
      </c>
      <c r="DF868" s="406" t="s">
        <v>85</v>
      </c>
      <c r="DG868" s="407">
        <v>45857</v>
      </c>
      <c r="DH868" s="405" t="s">
        <v>4457</v>
      </c>
      <c r="DI868" s="406">
        <v>465455</v>
      </c>
      <c r="DJ868" s="408">
        <v>5</v>
      </c>
      <c r="DK868" s="405">
        <v>1</v>
      </c>
      <c r="DL868" s="82">
        <v>468.28</v>
      </c>
      <c r="DM868" s="409">
        <v>2.3413999999999997</v>
      </c>
      <c r="DN868" s="82" t="s">
        <v>85</v>
      </c>
      <c r="DO868" s="82" t="s">
        <v>85</v>
      </c>
      <c r="DP868" s="410" t="s">
        <v>85</v>
      </c>
    </row>
    <row r="869" spans="1:120" x14ac:dyDescent="0.25">
      <c r="A869" s="16" t="s">
        <v>4460</v>
      </c>
      <c r="B869" s="16" t="s">
        <v>4461</v>
      </c>
      <c r="C869" s="16" t="s">
        <v>4462</v>
      </c>
      <c r="D869" s="16" t="s">
        <v>4389</v>
      </c>
      <c r="E869" s="16" t="s">
        <v>4463</v>
      </c>
      <c r="F869" s="16" t="s">
        <v>4464</v>
      </c>
      <c r="G869" s="16" t="s">
        <v>4465</v>
      </c>
      <c r="H869" s="16" t="s">
        <v>4464</v>
      </c>
      <c r="I869" s="16" t="s">
        <v>1066</v>
      </c>
      <c r="J869" s="16" t="s">
        <v>943</v>
      </c>
      <c r="K869" s="16" t="s">
        <v>1067</v>
      </c>
      <c r="L869" s="16" t="s">
        <v>85</v>
      </c>
      <c r="M869" s="16" t="s">
        <v>984</v>
      </c>
      <c r="N869" s="16" t="s">
        <v>914</v>
      </c>
      <c r="O869" s="16" t="s">
        <v>985</v>
      </c>
      <c r="P869" s="16" t="s">
        <v>914</v>
      </c>
      <c r="Q869" s="16" t="s">
        <v>985</v>
      </c>
      <c r="R869" s="16" t="s">
        <v>915</v>
      </c>
      <c r="S869" s="16" t="s">
        <v>915</v>
      </c>
      <c r="T869" s="16" t="s">
        <v>986</v>
      </c>
      <c r="U869" s="16" t="s">
        <v>987</v>
      </c>
      <c r="V869" s="16" t="s">
        <v>916</v>
      </c>
      <c r="W869" s="16" t="s">
        <v>987</v>
      </c>
      <c r="X869" s="16" t="s">
        <v>934</v>
      </c>
      <c r="Y869" s="16" t="s">
        <v>934</v>
      </c>
      <c r="Z869" s="16" t="s">
        <v>935</v>
      </c>
      <c r="DA869" s="405" t="s">
        <v>5</v>
      </c>
      <c r="DB869" s="405" t="s">
        <v>363</v>
      </c>
      <c r="DC869" s="406" t="s">
        <v>85</v>
      </c>
      <c r="DD869" s="405" t="s">
        <v>917</v>
      </c>
      <c r="DE869" s="405" t="s">
        <v>5</v>
      </c>
      <c r="DF869" s="406" t="s">
        <v>85</v>
      </c>
      <c r="DG869" s="407">
        <v>45857</v>
      </c>
      <c r="DH869" s="405" t="s">
        <v>4463</v>
      </c>
      <c r="DI869" s="406">
        <v>465455</v>
      </c>
      <c r="DJ869" s="408">
        <v>5</v>
      </c>
      <c r="DK869" s="405">
        <v>1</v>
      </c>
      <c r="DL869" s="82">
        <v>340.55</v>
      </c>
      <c r="DM869" s="409">
        <v>1.70275</v>
      </c>
      <c r="DN869" s="82" t="s">
        <v>85</v>
      </c>
      <c r="DO869" s="82" t="s">
        <v>85</v>
      </c>
      <c r="DP869" s="410" t="s">
        <v>85</v>
      </c>
    </row>
    <row r="870" spans="1:120" x14ac:dyDescent="0.25">
      <c r="A870" s="16" t="s">
        <v>4466</v>
      </c>
      <c r="B870" s="16" t="s">
        <v>4467</v>
      </c>
      <c r="C870" s="16" t="s">
        <v>4468</v>
      </c>
      <c r="D870" s="16" t="s">
        <v>4389</v>
      </c>
      <c r="E870" s="16" t="s">
        <v>4469</v>
      </c>
      <c r="F870" s="16" t="s">
        <v>4470</v>
      </c>
      <c r="G870" s="16" t="s">
        <v>4471</v>
      </c>
      <c r="H870" s="16" t="s">
        <v>4472</v>
      </c>
      <c r="I870" s="16" t="s">
        <v>3164</v>
      </c>
      <c r="J870" s="16" t="s">
        <v>995</v>
      </c>
      <c r="K870" s="16" t="s">
        <v>3165</v>
      </c>
      <c r="L870" s="16" t="s">
        <v>85</v>
      </c>
      <c r="M870" s="16" t="s">
        <v>1165</v>
      </c>
      <c r="N870" s="16" t="s">
        <v>914</v>
      </c>
      <c r="O870" s="16" t="s">
        <v>1166</v>
      </c>
      <c r="P870" s="16" t="s">
        <v>914</v>
      </c>
      <c r="Q870" s="16" t="s">
        <v>1166</v>
      </c>
      <c r="R870" s="16" t="s">
        <v>915</v>
      </c>
      <c r="S870" s="16" t="s">
        <v>915</v>
      </c>
      <c r="T870" s="16" t="s">
        <v>1167</v>
      </c>
      <c r="U870" s="16" t="s">
        <v>1168</v>
      </c>
      <c r="V870" s="16" t="s">
        <v>916</v>
      </c>
      <c r="W870" s="16" t="s">
        <v>1168</v>
      </c>
      <c r="X870" s="16" t="s">
        <v>934</v>
      </c>
      <c r="Y870" s="16" t="s">
        <v>934</v>
      </c>
      <c r="Z870" s="16" t="s">
        <v>935</v>
      </c>
      <c r="DA870" s="405" t="s">
        <v>5</v>
      </c>
      <c r="DB870" s="405" t="s">
        <v>363</v>
      </c>
      <c r="DC870" s="406" t="s">
        <v>85</v>
      </c>
      <c r="DD870" s="405" t="s">
        <v>917</v>
      </c>
      <c r="DE870" s="405" t="s">
        <v>5</v>
      </c>
      <c r="DF870" s="406" t="s">
        <v>85</v>
      </c>
      <c r="DG870" s="407">
        <v>45857</v>
      </c>
      <c r="DH870" s="405" t="s">
        <v>4469</v>
      </c>
      <c r="DI870" s="406">
        <v>465455</v>
      </c>
      <c r="DJ870" s="408">
        <v>5</v>
      </c>
      <c r="DK870" s="405">
        <v>1</v>
      </c>
      <c r="DL870" s="82">
        <v>468.28</v>
      </c>
      <c r="DM870" s="409">
        <v>2.3413999999999997</v>
      </c>
      <c r="DN870" s="82" t="s">
        <v>85</v>
      </c>
      <c r="DO870" s="82" t="s">
        <v>85</v>
      </c>
      <c r="DP870" s="410" t="s">
        <v>85</v>
      </c>
    </row>
    <row r="871" spans="1:120" x14ac:dyDescent="0.25">
      <c r="A871" s="16" t="s">
        <v>4473</v>
      </c>
      <c r="B871" s="16" t="s">
        <v>4474</v>
      </c>
      <c r="C871" s="16" t="s">
        <v>4475</v>
      </c>
      <c r="D871" s="16" t="s">
        <v>4389</v>
      </c>
      <c r="E871" s="16" t="s">
        <v>4476</v>
      </c>
      <c r="F871" s="16" t="s">
        <v>4477</v>
      </c>
      <c r="G871" s="16" t="s">
        <v>4478</v>
      </c>
      <c r="H871" s="16" t="s">
        <v>4477</v>
      </c>
      <c r="I871" s="16" t="s">
        <v>4479</v>
      </c>
      <c r="J871" s="16" t="s">
        <v>1123</v>
      </c>
      <c r="K871" s="16" t="s">
        <v>4480</v>
      </c>
      <c r="L871" s="16" t="s">
        <v>85</v>
      </c>
      <c r="M871" s="16" t="s">
        <v>1238</v>
      </c>
      <c r="N871" s="16" t="s">
        <v>914</v>
      </c>
      <c r="O871" s="16" t="s">
        <v>1239</v>
      </c>
      <c r="P871" s="16" t="s">
        <v>914</v>
      </c>
      <c r="Q871" s="16" t="s">
        <v>1239</v>
      </c>
      <c r="R871" s="16" t="s">
        <v>915</v>
      </c>
      <c r="S871" s="16" t="s">
        <v>915</v>
      </c>
      <c r="T871" s="16" t="s">
        <v>1238</v>
      </c>
      <c r="U871" s="16" t="s">
        <v>1240</v>
      </c>
      <c r="V871" s="16" t="s">
        <v>916</v>
      </c>
      <c r="W871" s="16" t="s">
        <v>1240</v>
      </c>
      <c r="X871" s="16" t="s">
        <v>934</v>
      </c>
      <c r="Y871" s="16" t="s">
        <v>934</v>
      </c>
      <c r="Z871" s="16" t="s">
        <v>935</v>
      </c>
      <c r="DA871" s="405" t="s">
        <v>5</v>
      </c>
      <c r="DB871" s="405" t="s">
        <v>363</v>
      </c>
      <c r="DC871" s="406" t="s">
        <v>85</v>
      </c>
      <c r="DD871" s="405" t="s">
        <v>917</v>
      </c>
      <c r="DE871" s="405" t="s">
        <v>5</v>
      </c>
      <c r="DF871" s="406" t="s">
        <v>85</v>
      </c>
      <c r="DG871" s="407">
        <v>45857</v>
      </c>
      <c r="DH871" s="405" t="s">
        <v>4476</v>
      </c>
      <c r="DI871" s="406">
        <v>465455</v>
      </c>
      <c r="DJ871" s="408">
        <v>5</v>
      </c>
      <c r="DK871" s="405">
        <v>1</v>
      </c>
      <c r="DL871" s="82">
        <v>383.16</v>
      </c>
      <c r="DM871" s="409">
        <v>1.9158000000000002</v>
      </c>
      <c r="DN871" s="82" t="s">
        <v>85</v>
      </c>
      <c r="DO871" s="82" t="s">
        <v>85</v>
      </c>
      <c r="DP871" s="410" t="s">
        <v>85</v>
      </c>
    </row>
    <row r="872" spans="1:120" x14ac:dyDescent="0.25">
      <c r="A872" s="16" t="s">
        <v>4481</v>
      </c>
      <c r="B872" s="16" t="s">
        <v>4482</v>
      </c>
      <c r="C872" s="16" t="s">
        <v>4483</v>
      </c>
      <c r="D872" s="16" t="s">
        <v>4389</v>
      </c>
      <c r="E872" s="16" t="s">
        <v>4484</v>
      </c>
      <c r="F872" s="16" t="s">
        <v>4485</v>
      </c>
      <c r="G872" s="16" t="s">
        <v>4486</v>
      </c>
      <c r="H872" s="16" t="s">
        <v>4487</v>
      </c>
      <c r="I872" s="16" t="s">
        <v>4488</v>
      </c>
      <c r="J872" s="16" t="s">
        <v>956</v>
      </c>
      <c r="K872" s="16" t="s">
        <v>4489</v>
      </c>
      <c r="L872" s="16" t="s">
        <v>85</v>
      </c>
      <c r="M872" s="16" t="s">
        <v>1396</v>
      </c>
      <c r="N872" s="16" t="s">
        <v>914</v>
      </c>
      <c r="O872" s="16" t="s">
        <v>1397</v>
      </c>
      <c r="P872" s="16" t="s">
        <v>914</v>
      </c>
      <c r="Q872" s="16" t="s">
        <v>1397</v>
      </c>
      <c r="R872" s="16" t="s">
        <v>915</v>
      </c>
      <c r="S872" s="16" t="s">
        <v>915</v>
      </c>
      <c r="T872" s="16" t="s">
        <v>1396</v>
      </c>
      <c r="U872" s="16" t="s">
        <v>1398</v>
      </c>
      <c r="V872" s="16" t="s">
        <v>916</v>
      </c>
      <c r="W872" s="16" t="s">
        <v>1398</v>
      </c>
      <c r="X872" s="16" t="s">
        <v>934</v>
      </c>
      <c r="Y872" s="16" t="s">
        <v>934</v>
      </c>
      <c r="Z872" s="16" t="s">
        <v>935</v>
      </c>
      <c r="DA872" s="405" t="s">
        <v>5</v>
      </c>
      <c r="DB872" s="405" t="s">
        <v>363</v>
      </c>
      <c r="DC872" s="406" t="s">
        <v>85</v>
      </c>
      <c r="DD872" s="405" t="s">
        <v>917</v>
      </c>
      <c r="DE872" s="405" t="s">
        <v>5</v>
      </c>
      <c r="DF872" s="406" t="s">
        <v>85</v>
      </c>
      <c r="DG872" s="407">
        <v>45857</v>
      </c>
      <c r="DH872" s="405" t="s">
        <v>4484</v>
      </c>
      <c r="DI872" s="406">
        <v>465455</v>
      </c>
      <c r="DJ872" s="408">
        <v>5</v>
      </c>
      <c r="DK872" s="405">
        <v>1</v>
      </c>
      <c r="DL872" s="82">
        <v>265.92</v>
      </c>
      <c r="DM872" s="409">
        <v>1.3296000000000001</v>
      </c>
      <c r="DN872" s="82" t="s">
        <v>85</v>
      </c>
      <c r="DO872" s="82" t="s">
        <v>85</v>
      </c>
      <c r="DP872" s="410" t="s">
        <v>85</v>
      </c>
    </row>
    <row r="873" spans="1:120" x14ac:dyDescent="0.25">
      <c r="A873" s="16" t="s">
        <v>4481</v>
      </c>
      <c r="B873" s="16" t="s">
        <v>4482</v>
      </c>
      <c r="C873" s="16" t="s">
        <v>4483</v>
      </c>
      <c r="D873" s="16" t="s">
        <v>4389</v>
      </c>
      <c r="E873" s="16" t="s">
        <v>4484</v>
      </c>
      <c r="F873" s="16" t="s">
        <v>4485</v>
      </c>
      <c r="G873" s="16" t="s">
        <v>4486</v>
      </c>
      <c r="H873" s="16" t="s">
        <v>4487</v>
      </c>
      <c r="I873" s="16" t="s">
        <v>4490</v>
      </c>
      <c r="J873" s="16" t="s">
        <v>956</v>
      </c>
      <c r="K873" s="16" t="s">
        <v>4491</v>
      </c>
      <c r="L873" s="16" t="s">
        <v>85</v>
      </c>
      <c r="M873" s="16" t="s">
        <v>1396</v>
      </c>
      <c r="N873" s="16" t="s">
        <v>914</v>
      </c>
      <c r="O873" s="16" t="s">
        <v>1397</v>
      </c>
      <c r="P873" s="16" t="s">
        <v>914</v>
      </c>
      <c r="Q873" s="16" t="s">
        <v>1397</v>
      </c>
      <c r="R873" s="16" t="s">
        <v>915</v>
      </c>
      <c r="S873" s="16" t="s">
        <v>915</v>
      </c>
      <c r="T873" s="16" t="s">
        <v>1396</v>
      </c>
      <c r="U873" s="16" t="s">
        <v>1398</v>
      </c>
      <c r="V873" s="16" t="s">
        <v>916</v>
      </c>
      <c r="W873" s="16" t="s">
        <v>1398</v>
      </c>
      <c r="X873" s="16" t="s">
        <v>934</v>
      </c>
      <c r="Y873" s="16" t="s">
        <v>934</v>
      </c>
      <c r="Z873" s="16" t="s">
        <v>935</v>
      </c>
      <c r="DA873" s="405" t="s">
        <v>5</v>
      </c>
      <c r="DB873" s="405" t="s">
        <v>363</v>
      </c>
      <c r="DC873" s="406" t="s">
        <v>85</v>
      </c>
      <c r="DD873" s="405" t="s">
        <v>917</v>
      </c>
      <c r="DE873" s="405" t="s">
        <v>5</v>
      </c>
      <c r="DF873" s="406" t="s">
        <v>85</v>
      </c>
      <c r="DG873" s="407">
        <v>45857</v>
      </c>
      <c r="DH873" s="405" t="s">
        <v>4484</v>
      </c>
      <c r="DI873" s="406">
        <v>465455</v>
      </c>
      <c r="DJ873" s="408">
        <v>5</v>
      </c>
      <c r="DK873" s="405">
        <v>1</v>
      </c>
      <c r="DL873" s="82">
        <v>265.92</v>
      </c>
      <c r="DM873" s="409">
        <v>1.3296000000000001</v>
      </c>
      <c r="DN873" s="82" t="s">
        <v>85</v>
      </c>
      <c r="DO873" s="82" t="s">
        <v>85</v>
      </c>
      <c r="DP873" s="410" t="s">
        <v>85</v>
      </c>
    </row>
    <row r="874" spans="1:120" x14ac:dyDescent="0.25">
      <c r="A874" s="16" t="s">
        <v>4481</v>
      </c>
      <c r="B874" s="16" t="s">
        <v>4482</v>
      </c>
      <c r="C874" s="16" t="s">
        <v>4483</v>
      </c>
      <c r="D874" s="16" t="s">
        <v>4389</v>
      </c>
      <c r="E874" s="16" t="s">
        <v>4484</v>
      </c>
      <c r="F874" s="16" t="s">
        <v>4485</v>
      </c>
      <c r="G874" s="16" t="s">
        <v>4486</v>
      </c>
      <c r="H874" s="16" t="s">
        <v>4487</v>
      </c>
      <c r="I874" s="16" t="s">
        <v>4492</v>
      </c>
      <c r="J874" s="16" t="s">
        <v>956</v>
      </c>
      <c r="K874" s="16" t="s">
        <v>4493</v>
      </c>
      <c r="L874" s="16" t="s">
        <v>85</v>
      </c>
      <c r="M874" s="16" t="s">
        <v>1396</v>
      </c>
      <c r="N874" s="16" t="s">
        <v>914</v>
      </c>
      <c r="O874" s="16" t="s">
        <v>1397</v>
      </c>
      <c r="P874" s="16" t="s">
        <v>914</v>
      </c>
      <c r="Q874" s="16" t="s">
        <v>1397</v>
      </c>
      <c r="R874" s="16" t="s">
        <v>915</v>
      </c>
      <c r="S874" s="16" t="s">
        <v>915</v>
      </c>
      <c r="T874" s="16" t="s">
        <v>1396</v>
      </c>
      <c r="U874" s="16" t="s">
        <v>1398</v>
      </c>
      <c r="V874" s="16" t="s">
        <v>916</v>
      </c>
      <c r="W874" s="16" t="s">
        <v>1398</v>
      </c>
      <c r="X874" s="16" t="s">
        <v>934</v>
      </c>
      <c r="Y874" s="16" t="s">
        <v>934</v>
      </c>
      <c r="Z874" s="16" t="s">
        <v>935</v>
      </c>
      <c r="DA874" s="405" t="s">
        <v>5</v>
      </c>
      <c r="DB874" s="405" t="s">
        <v>363</v>
      </c>
      <c r="DC874" s="406" t="s">
        <v>85</v>
      </c>
      <c r="DD874" s="405" t="s">
        <v>917</v>
      </c>
      <c r="DE874" s="405" t="s">
        <v>5</v>
      </c>
      <c r="DF874" s="406" t="s">
        <v>85</v>
      </c>
      <c r="DG874" s="407">
        <v>45857</v>
      </c>
      <c r="DH874" s="405" t="s">
        <v>4484</v>
      </c>
      <c r="DI874" s="406">
        <v>465455</v>
      </c>
      <c r="DJ874" s="408">
        <v>5</v>
      </c>
      <c r="DK874" s="405">
        <v>1</v>
      </c>
      <c r="DL874" s="82">
        <v>265.92</v>
      </c>
      <c r="DM874" s="409">
        <v>1.3296000000000001</v>
      </c>
      <c r="DN874" s="82" t="s">
        <v>85</v>
      </c>
      <c r="DO874" s="82" t="s">
        <v>85</v>
      </c>
      <c r="DP874" s="410" t="s">
        <v>85</v>
      </c>
    </row>
    <row r="875" spans="1:120" x14ac:dyDescent="0.25">
      <c r="A875" s="16" t="s">
        <v>4494</v>
      </c>
      <c r="B875" s="16" t="s">
        <v>4495</v>
      </c>
      <c r="C875" s="16" t="s">
        <v>4496</v>
      </c>
      <c r="D875" s="16" t="s">
        <v>4389</v>
      </c>
      <c r="E875" s="16" t="s">
        <v>4497</v>
      </c>
      <c r="F875" s="16" t="s">
        <v>4498</v>
      </c>
      <c r="G875" s="16" t="s">
        <v>4499</v>
      </c>
      <c r="H875" s="16" t="s">
        <v>4498</v>
      </c>
      <c r="I875" s="16" t="s">
        <v>4500</v>
      </c>
      <c r="J875" s="16" t="s">
        <v>928</v>
      </c>
      <c r="K875" s="16" t="s">
        <v>4501</v>
      </c>
      <c r="L875" s="16" t="s">
        <v>85</v>
      </c>
      <c r="M875" s="16" t="s">
        <v>1322</v>
      </c>
      <c r="N875" s="16" t="s">
        <v>914</v>
      </c>
      <c r="O875" s="16" t="s">
        <v>1323</v>
      </c>
      <c r="P875" s="16" t="s">
        <v>914</v>
      </c>
      <c r="Q875" s="16" t="s">
        <v>1323</v>
      </c>
      <c r="R875" s="16" t="s">
        <v>915</v>
      </c>
      <c r="S875" s="16" t="s">
        <v>915</v>
      </c>
      <c r="T875" s="16" t="s">
        <v>1322</v>
      </c>
      <c r="U875" s="16" t="s">
        <v>1324</v>
      </c>
      <c r="V875" s="16" t="s">
        <v>916</v>
      </c>
      <c r="W875" s="16" t="s">
        <v>1324</v>
      </c>
      <c r="X875" s="16" t="s">
        <v>934</v>
      </c>
      <c r="Y875" s="16" t="s">
        <v>934</v>
      </c>
      <c r="Z875" s="16" t="s">
        <v>935</v>
      </c>
      <c r="DA875" s="405" t="s">
        <v>5</v>
      </c>
      <c r="DB875" s="405" t="s">
        <v>363</v>
      </c>
      <c r="DC875" s="406" t="s">
        <v>85</v>
      </c>
      <c r="DD875" s="405" t="s">
        <v>917</v>
      </c>
      <c r="DE875" s="405" t="s">
        <v>5</v>
      </c>
      <c r="DF875" s="406" t="s">
        <v>85</v>
      </c>
      <c r="DG875" s="407">
        <v>45857</v>
      </c>
      <c r="DH875" s="405" t="s">
        <v>4497</v>
      </c>
      <c r="DI875" s="406">
        <v>465455</v>
      </c>
      <c r="DJ875" s="408">
        <v>5</v>
      </c>
      <c r="DK875" s="405">
        <v>1</v>
      </c>
      <c r="DL875" s="82">
        <v>332.47</v>
      </c>
      <c r="DM875" s="409">
        <v>1.6623500000000002</v>
      </c>
      <c r="DN875" s="82" t="s">
        <v>85</v>
      </c>
      <c r="DO875" s="82" t="s">
        <v>85</v>
      </c>
      <c r="DP875" s="410" t="s">
        <v>85</v>
      </c>
    </row>
    <row r="876" spans="1:120" x14ac:dyDescent="0.25">
      <c r="A876" s="16" t="s">
        <v>4502</v>
      </c>
      <c r="B876" s="16" t="s">
        <v>4503</v>
      </c>
      <c r="C876" s="16" t="s">
        <v>4504</v>
      </c>
      <c r="D876" s="16" t="s">
        <v>4389</v>
      </c>
      <c r="E876" s="16" t="s">
        <v>4505</v>
      </c>
      <c r="F876" s="16" t="s">
        <v>4506</v>
      </c>
      <c r="G876" s="16" t="s">
        <v>4507</v>
      </c>
      <c r="H876" s="16" t="s">
        <v>4508</v>
      </c>
      <c r="I876" s="16" t="s">
        <v>1099</v>
      </c>
      <c r="J876" s="16" t="s">
        <v>943</v>
      </c>
      <c r="K876" s="16" t="s">
        <v>1100</v>
      </c>
      <c r="L876" s="16" t="s">
        <v>85</v>
      </c>
      <c r="M876" s="16" t="s">
        <v>984</v>
      </c>
      <c r="N876" s="16" t="s">
        <v>914</v>
      </c>
      <c r="O876" s="16" t="s">
        <v>985</v>
      </c>
      <c r="P876" s="16" t="s">
        <v>914</v>
      </c>
      <c r="Q876" s="16" t="s">
        <v>985</v>
      </c>
      <c r="R876" s="16" t="s">
        <v>915</v>
      </c>
      <c r="S876" s="16" t="s">
        <v>915</v>
      </c>
      <c r="T876" s="16" t="s">
        <v>986</v>
      </c>
      <c r="U876" s="16" t="s">
        <v>987</v>
      </c>
      <c r="V876" s="16" t="s">
        <v>916</v>
      </c>
      <c r="W876" s="16" t="s">
        <v>987</v>
      </c>
      <c r="X876" s="16" t="s">
        <v>934</v>
      </c>
      <c r="Y876" s="16" t="s">
        <v>934</v>
      </c>
      <c r="Z876" s="16" t="s">
        <v>935</v>
      </c>
      <c r="DA876" s="405" t="s">
        <v>5</v>
      </c>
      <c r="DB876" s="405" t="s">
        <v>363</v>
      </c>
      <c r="DC876" s="406" t="s">
        <v>85</v>
      </c>
      <c r="DD876" s="405" t="s">
        <v>917</v>
      </c>
      <c r="DE876" s="405" t="s">
        <v>5</v>
      </c>
      <c r="DF876" s="406" t="s">
        <v>85</v>
      </c>
      <c r="DG876" s="407">
        <v>45857</v>
      </c>
      <c r="DH876" s="405" t="s">
        <v>4505</v>
      </c>
      <c r="DI876" s="406">
        <v>465455</v>
      </c>
      <c r="DJ876" s="408">
        <v>5</v>
      </c>
      <c r="DK876" s="405">
        <v>1</v>
      </c>
      <c r="DL876" s="82">
        <v>340.55</v>
      </c>
      <c r="DM876" s="409">
        <v>1.70275</v>
      </c>
      <c r="DN876" s="82" t="s">
        <v>85</v>
      </c>
      <c r="DO876" s="82" t="s">
        <v>85</v>
      </c>
      <c r="DP876" s="410" t="s">
        <v>85</v>
      </c>
    </row>
    <row r="877" spans="1:120" x14ac:dyDescent="0.25">
      <c r="A877" s="16" t="s">
        <v>4502</v>
      </c>
      <c r="B877" s="16" t="s">
        <v>4503</v>
      </c>
      <c r="C877" s="16" t="s">
        <v>4504</v>
      </c>
      <c r="D877" s="16" t="s">
        <v>4389</v>
      </c>
      <c r="E877" s="16" t="s">
        <v>4505</v>
      </c>
      <c r="F877" s="16" t="s">
        <v>4506</v>
      </c>
      <c r="G877" s="16" t="s">
        <v>4507</v>
      </c>
      <c r="H877" s="16" t="s">
        <v>4508</v>
      </c>
      <c r="I877" s="16" t="s">
        <v>1287</v>
      </c>
      <c r="J877" s="16" t="s">
        <v>943</v>
      </c>
      <c r="K877" s="16" t="s">
        <v>1288</v>
      </c>
      <c r="L877" s="16" t="s">
        <v>85</v>
      </c>
      <c r="M877" s="16" t="s">
        <v>984</v>
      </c>
      <c r="N877" s="16" t="s">
        <v>914</v>
      </c>
      <c r="O877" s="16" t="s">
        <v>985</v>
      </c>
      <c r="P877" s="16" t="s">
        <v>914</v>
      </c>
      <c r="Q877" s="16" t="s">
        <v>985</v>
      </c>
      <c r="R877" s="16" t="s">
        <v>915</v>
      </c>
      <c r="S877" s="16" t="s">
        <v>915</v>
      </c>
      <c r="T877" s="16" t="s">
        <v>986</v>
      </c>
      <c r="U877" s="16" t="s">
        <v>987</v>
      </c>
      <c r="V877" s="16" t="s">
        <v>916</v>
      </c>
      <c r="W877" s="16" t="s">
        <v>987</v>
      </c>
      <c r="X877" s="16" t="s">
        <v>934</v>
      </c>
      <c r="Y877" s="16" t="s">
        <v>934</v>
      </c>
      <c r="Z877" s="16" t="s">
        <v>935</v>
      </c>
      <c r="DA877" s="405" t="s">
        <v>5</v>
      </c>
      <c r="DB877" s="405" t="s">
        <v>363</v>
      </c>
      <c r="DC877" s="406" t="s">
        <v>85</v>
      </c>
      <c r="DD877" s="405" t="s">
        <v>917</v>
      </c>
      <c r="DE877" s="405" t="s">
        <v>5</v>
      </c>
      <c r="DF877" s="406" t="s">
        <v>85</v>
      </c>
      <c r="DG877" s="407">
        <v>45857</v>
      </c>
      <c r="DH877" s="405" t="s">
        <v>4505</v>
      </c>
      <c r="DI877" s="406">
        <v>465455</v>
      </c>
      <c r="DJ877" s="408">
        <v>5</v>
      </c>
      <c r="DK877" s="405">
        <v>1</v>
      </c>
      <c r="DL877" s="82">
        <v>340.55</v>
      </c>
      <c r="DM877" s="409">
        <v>1.70275</v>
      </c>
      <c r="DN877" s="82" t="s">
        <v>85</v>
      </c>
      <c r="DO877" s="82" t="s">
        <v>85</v>
      </c>
      <c r="DP877" s="410" t="s">
        <v>85</v>
      </c>
    </row>
    <row r="878" spans="1:120" x14ac:dyDescent="0.25">
      <c r="A878" s="16" t="s">
        <v>4509</v>
      </c>
      <c r="B878" s="16" t="s">
        <v>4510</v>
      </c>
      <c r="C878" s="16" t="s">
        <v>4511</v>
      </c>
      <c r="D878" s="16" t="s">
        <v>4389</v>
      </c>
      <c r="E878" s="16" t="s">
        <v>4512</v>
      </c>
      <c r="F878" s="16" t="s">
        <v>4513</v>
      </c>
      <c r="G878" s="16" t="s">
        <v>4514</v>
      </c>
      <c r="H878" s="16" t="s">
        <v>4515</v>
      </c>
      <c r="I878" s="16" t="s">
        <v>1456</v>
      </c>
      <c r="J878" s="16" t="s">
        <v>928</v>
      </c>
      <c r="K878" s="16" t="s">
        <v>1457</v>
      </c>
      <c r="L878" s="16" t="s">
        <v>85</v>
      </c>
      <c r="M878" s="16" t="s">
        <v>1322</v>
      </c>
      <c r="N878" s="16" t="s">
        <v>914</v>
      </c>
      <c r="O878" s="16" t="s">
        <v>1323</v>
      </c>
      <c r="P878" s="16" t="s">
        <v>914</v>
      </c>
      <c r="Q878" s="16" t="s">
        <v>1323</v>
      </c>
      <c r="R878" s="16" t="s">
        <v>915</v>
      </c>
      <c r="S878" s="16" t="s">
        <v>915</v>
      </c>
      <c r="T878" s="16" t="s">
        <v>1322</v>
      </c>
      <c r="U878" s="16" t="s">
        <v>1324</v>
      </c>
      <c r="V878" s="16" t="s">
        <v>916</v>
      </c>
      <c r="W878" s="16" t="s">
        <v>1324</v>
      </c>
      <c r="X878" s="16" t="s">
        <v>934</v>
      </c>
      <c r="Y878" s="16" t="s">
        <v>934</v>
      </c>
      <c r="Z878" s="16" t="s">
        <v>935</v>
      </c>
      <c r="DA878" s="405" t="s">
        <v>5</v>
      </c>
      <c r="DB878" s="405" t="s">
        <v>363</v>
      </c>
      <c r="DC878" s="406" t="s">
        <v>85</v>
      </c>
      <c r="DD878" s="405" t="s">
        <v>917</v>
      </c>
      <c r="DE878" s="405" t="s">
        <v>5</v>
      </c>
      <c r="DF878" s="406" t="s">
        <v>85</v>
      </c>
      <c r="DG878" s="407">
        <v>45857</v>
      </c>
      <c r="DH878" s="405" t="s">
        <v>4512</v>
      </c>
      <c r="DI878" s="406">
        <v>465455</v>
      </c>
      <c r="DJ878" s="408">
        <v>5</v>
      </c>
      <c r="DK878" s="405">
        <v>1</v>
      </c>
      <c r="DL878" s="82">
        <v>332.47</v>
      </c>
      <c r="DM878" s="409">
        <v>1.6623500000000002</v>
      </c>
      <c r="DN878" s="82" t="s">
        <v>85</v>
      </c>
      <c r="DO878" s="82" t="s">
        <v>85</v>
      </c>
      <c r="DP878" s="410" t="s">
        <v>85</v>
      </c>
    </row>
    <row r="879" spans="1:120" x14ac:dyDescent="0.25">
      <c r="A879" s="16" t="s">
        <v>4516</v>
      </c>
      <c r="B879" s="16" t="s">
        <v>4517</v>
      </c>
      <c r="C879" s="16" t="s">
        <v>4518</v>
      </c>
      <c r="D879" s="16" t="s">
        <v>4389</v>
      </c>
      <c r="E879" s="16" t="s">
        <v>4519</v>
      </c>
      <c r="F879" s="16" t="s">
        <v>4520</v>
      </c>
      <c r="G879" s="16" t="s">
        <v>4521</v>
      </c>
      <c r="H879" s="16" t="s">
        <v>4522</v>
      </c>
      <c r="I879" s="16" t="s">
        <v>1781</v>
      </c>
      <c r="J879" s="16" t="s">
        <v>995</v>
      </c>
      <c r="K879" s="16" t="s">
        <v>1782</v>
      </c>
      <c r="L879" s="16" t="s">
        <v>85</v>
      </c>
      <c r="M879" s="16" t="s">
        <v>1165</v>
      </c>
      <c r="N879" s="16" t="s">
        <v>914</v>
      </c>
      <c r="O879" s="16" t="s">
        <v>1166</v>
      </c>
      <c r="P879" s="16" t="s">
        <v>914</v>
      </c>
      <c r="Q879" s="16" t="s">
        <v>1166</v>
      </c>
      <c r="R879" s="16" t="s">
        <v>915</v>
      </c>
      <c r="S879" s="16" t="s">
        <v>915</v>
      </c>
      <c r="T879" s="16" t="s">
        <v>1167</v>
      </c>
      <c r="U879" s="16" t="s">
        <v>1168</v>
      </c>
      <c r="V879" s="16" t="s">
        <v>916</v>
      </c>
      <c r="W879" s="16" t="s">
        <v>1168</v>
      </c>
      <c r="X879" s="16" t="s">
        <v>934</v>
      </c>
      <c r="Y879" s="16" t="s">
        <v>934</v>
      </c>
      <c r="Z879" s="16" t="s">
        <v>935</v>
      </c>
      <c r="DA879" s="405" t="s">
        <v>5</v>
      </c>
      <c r="DB879" s="405" t="s">
        <v>363</v>
      </c>
      <c r="DC879" s="406" t="s">
        <v>85</v>
      </c>
      <c r="DD879" s="405" t="s">
        <v>917</v>
      </c>
      <c r="DE879" s="405" t="s">
        <v>5</v>
      </c>
      <c r="DF879" s="406" t="s">
        <v>85</v>
      </c>
      <c r="DG879" s="407">
        <v>45857</v>
      </c>
      <c r="DH879" s="405" t="s">
        <v>4519</v>
      </c>
      <c r="DI879" s="406">
        <v>465455</v>
      </c>
      <c r="DJ879" s="408">
        <v>5</v>
      </c>
      <c r="DK879" s="405">
        <v>1</v>
      </c>
      <c r="DL879" s="82">
        <v>468.28</v>
      </c>
      <c r="DM879" s="409">
        <v>2.3413999999999997</v>
      </c>
      <c r="DN879" s="82" t="s">
        <v>85</v>
      </c>
      <c r="DO879" s="82" t="s">
        <v>85</v>
      </c>
      <c r="DP879" s="410" t="s">
        <v>85</v>
      </c>
    </row>
    <row r="880" spans="1:120" x14ac:dyDescent="0.25">
      <c r="A880" s="16" t="s">
        <v>4523</v>
      </c>
      <c r="B880" s="16" t="s">
        <v>4524</v>
      </c>
      <c r="C880" s="16" t="s">
        <v>4525</v>
      </c>
      <c r="D880" s="16" t="s">
        <v>4389</v>
      </c>
      <c r="E880" s="16" t="s">
        <v>4526</v>
      </c>
      <c r="F880" s="16" t="s">
        <v>4527</v>
      </c>
      <c r="G880" s="16" t="s">
        <v>4528</v>
      </c>
      <c r="H880" s="16" t="s">
        <v>4529</v>
      </c>
      <c r="I880" s="16" t="s">
        <v>1269</v>
      </c>
      <c r="J880" s="16" t="s">
        <v>943</v>
      </c>
      <c r="K880" s="16" t="s">
        <v>1270</v>
      </c>
      <c r="L880" s="16" t="s">
        <v>85</v>
      </c>
      <c r="M880" s="16" t="s">
        <v>984</v>
      </c>
      <c r="N880" s="16" t="s">
        <v>914</v>
      </c>
      <c r="O880" s="16" t="s">
        <v>985</v>
      </c>
      <c r="P880" s="16" t="s">
        <v>914</v>
      </c>
      <c r="Q880" s="16" t="s">
        <v>985</v>
      </c>
      <c r="R880" s="16" t="s">
        <v>915</v>
      </c>
      <c r="S880" s="16" t="s">
        <v>915</v>
      </c>
      <c r="T880" s="16" t="s">
        <v>986</v>
      </c>
      <c r="U880" s="16" t="s">
        <v>987</v>
      </c>
      <c r="V880" s="16" t="s">
        <v>916</v>
      </c>
      <c r="W880" s="16" t="s">
        <v>987</v>
      </c>
      <c r="X880" s="16" t="s">
        <v>934</v>
      </c>
      <c r="Y880" s="16" t="s">
        <v>934</v>
      </c>
      <c r="Z880" s="16" t="s">
        <v>935</v>
      </c>
      <c r="DA880" s="405" t="s">
        <v>5</v>
      </c>
      <c r="DB880" s="405" t="s">
        <v>363</v>
      </c>
      <c r="DC880" s="406" t="s">
        <v>85</v>
      </c>
      <c r="DD880" s="405" t="s">
        <v>917</v>
      </c>
      <c r="DE880" s="405" t="s">
        <v>5</v>
      </c>
      <c r="DF880" s="406" t="s">
        <v>85</v>
      </c>
      <c r="DG880" s="407">
        <v>45857</v>
      </c>
      <c r="DH880" s="405" t="s">
        <v>4526</v>
      </c>
      <c r="DI880" s="406">
        <v>465455</v>
      </c>
      <c r="DJ880" s="408">
        <v>5</v>
      </c>
      <c r="DK880" s="405">
        <v>1</v>
      </c>
      <c r="DL880" s="82">
        <v>340.55</v>
      </c>
      <c r="DM880" s="409">
        <v>1.70275</v>
      </c>
      <c r="DN880" s="82" t="s">
        <v>85</v>
      </c>
      <c r="DO880" s="82" t="s">
        <v>85</v>
      </c>
      <c r="DP880" s="410" t="s">
        <v>85</v>
      </c>
    </row>
    <row r="881" spans="1:120" x14ac:dyDescent="0.25">
      <c r="A881" s="16" t="s">
        <v>4523</v>
      </c>
      <c r="B881" s="16" t="s">
        <v>4524</v>
      </c>
      <c r="C881" s="16" t="s">
        <v>4525</v>
      </c>
      <c r="D881" s="16" t="s">
        <v>4389</v>
      </c>
      <c r="E881" s="16" t="s">
        <v>4526</v>
      </c>
      <c r="F881" s="16" t="s">
        <v>4527</v>
      </c>
      <c r="G881" s="16" t="s">
        <v>4528</v>
      </c>
      <c r="H881" s="16" t="s">
        <v>4529</v>
      </c>
      <c r="I881" s="16" t="s">
        <v>4273</v>
      </c>
      <c r="J881" s="16" t="s">
        <v>943</v>
      </c>
      <c r="K881" s="16" t="s">
        <v>4274</v>
      </c>
      <c r="L881" s="16" t="s">
        <v>85</v>
      </c>
      <c r="M881" s="16" t="s">
        <v>984</v>
      </c>
      <c r="N881" s="16" t="s">
        <v>914</v>
      </c>
      <c r="O881" s="16" t="s">
        <v>985</v>
      </c>
      <c r="P881" s="16" t="s">
        <v>914</v>
      </c>
      <c r="Q881" s="16" t="s">
        <v>985</v>
      </c>
      <c r="R881" s="16" t="s">
        <v>915</v>
      </c>
      <c r="S881" s="16" t="s">
        <v>915</v>
      </c>
      <c r="T881" s="16" t="s">
        <v>986</v>
      </c>
      <c r="U881" s="16" t="s">
        <v>987</v>
      </c>
      <c r="V881" s="16" t="s">
        <v>916</v>
      </c>
      <c r="W881" s="16" t="s">
        <v>987</v>
      </c>
      <c r="X881" s="16" t="s">
        <v>934</v>
      </c>
      <c r="Y881" s="16" t="s">
        <v>934</v>
      </c>
      <c r="Z881" s="16" t="s">
        <v>935</v>
      </c>
      <c r="DA881" s="405" t="s">
        <v>5</v>
      </c>
      <c r="DB881" s="405" t="s">
        <v>363</v>
      </c>
      <c r="DC881" s="406" t="s">
        <v>85</v>
      </c>
      <c r="DD881" s="405" t="s">
        <v>917</v>
      </c>
      <c r="DE881" s="405" t="s">
        <v>5</v>
      </c>
      <c r="DF881" s="406" t="s">
        <v>85</v>
      </c>
      <c r="DG881" s="407">
        <v>45857</v>
      </c>
      <c r="DH881" s="405" t="s">
        <v>4526</v>
      </c>
      <c r="DI881" s="406">
        <v>465455</v>
      </c>
      <c r="DJ881" s="408">
        <v>5</v>
      </c>
      <c r="DK881" s="405">
        <v>1</v>
      </c>
      <c r="DL881" s="82">
        <v>340.55</v>
      </c>
      <c r="DM881" s="409">
        <v>1.70275</v>
      </c>
      <c r="DN881" s="82" t="s">
        <v>85</v>
      </c>
      <c r="DO881" s="82" t="s">
        <v>85</v>
      </c>
      <c r="DP881" s="410" t="s">
        <v>85</v>
      </c>
    </row>
    <row r="882" spans="1:120" x14ac:dyDescent="0.25">
      <c r="A882" s="16" t="s">
        <v>4530</v>
      </c>
      <c r="B882" s="16" t="s">
        <v>4531</v>
      </c>
      <c r="C882" s="16" t="s">
        <v>4532</v>
      </c>
      <c r="D882" s="16" t="s">
        <v>4389</v>
      </c>
      <c r="E882" s="16" t="s">
        <v>4533</v>
      </c>
      <c r="F882" s="16" t="s">
        <v>4534</v>
      </c>
      <c r="G882" s="16" t="s">
        <v>4535</v>
      </c>
      <c r="H882" s="16" t="s">
        <v>4536</v>
      </c>
      <c r="I882" s="16" t="s">
        <v>1057</v>
      </c>
      <c r="J882" s="16" t="s">
        <v>943</v>
      </c>
      <c r="K882" s="16" t="s">
        <v>1058</v>
      </c>
      <c r="L882" s="16" t="s">
        <v>85</v>
      </c>
      <c r="M882" s="16" t="s">
        <v>984</v>
      </c>
      <c r="N882" s="16" t="s">
        <v>914</v>
      </c>
      <c r="O882" s="16" t="s">
        <v>985</v>
      </c>
      <c r="P882" s="16" t="s">
        <v>914</v>
      </c>
      <c r="Q882" s="16" t="s">
        <v>985</v>
      </c>
      <c r="R882" s="16" t="s">
        <v>915</v>
      </c>
      <c r="S882" s="16" t="s">
        <v>915</v>
      </c>
      <c r="T882" s="16" t="s">
        <v>986</v>
      </c>
      <c r="U882" s="16" t="s">
        <v>987</v>
      </c>
      <c r="V882" s="16" t="s">
        <v>916</v>
      </c>
      <c r="W882" s="16" t="s">
        <v>987</v>
      </c>
      <c r="X882" s="16" t="s">
        <v>934</v>
      </c>
      <c r="Y882" s="16" t="s">
        <v>934</v>
      </c>
      <c r="Z882" s="16" t="s">
        <v>935</v>
      </c>
      <c r="DA882" s="405" t="s">
        <v>5</v>
      </c>
      <c r="DB882" s="405" t="s">
        <v>363</v>
      </c>
      <c r="DC882" s="406" t="s">
        <v>85</v>
      </c>
      <c r="DD882" s="405" t="s">
        <v>917</v>
      </c>
      <c r="DE882" s="405" t="s">
        <v>5</v>
      </c>
      <c r="DF882" s="406" t="s">
        <v>85</v>
      </c>
      <c r="DG882" s="407">
        <v>45857</v>
      </c>
      <c r="DH882" s="405" t="s">
        <v>4533</v>
      </c>
      <c r="DI882" s="406">
        <v>465455</v>
      </c>
      <c r="DJ882" s="408">
        <v>5</v>
      </c>
      <c r="DK882" s="405">
        <v>1</v>
      </c>
      <c r="DL882" s="82">
        <v>340.55</v>
      </c>
      <c r="DM882" s="409">
        <v>1.70275</v>
      </c>
      <c r="DN882" s="82" t="s">
        <v>85</v>
      </c>
      <c r="DO882" s="82" t="s">
        <v>85</v>
      </c>
      <c r="DP882" s="410" t="s">
        <v>85</v>
      </c>
    </row>
    <row r="883" spans="1:120" x14ac:dyDescent="0.25">
      <c r="A883" s="16" t="s">
        <v>4537</v>
      </c>
      <c r="B883" s="16" t="s">
        <v>4538</v>
      </c>
      <c r="C883" s="16" t="s">
        <v>4539</v>
      </c>
      <c r="D883" s="16" t="s">
        <v>4389</v>
      </c>
      <c r="E883" s="16" t="s">
        <v>4540</v>
      </c>
      <c r="F883" s="16" t="s">
        <v>4541</v>
      </c>
      <c r="G883" s="16" t="s">
        <v>4542</v>
      </c>
      <c r="H883" s="16" t="s">
        <v>4543</v>
      </c>
      <c r="I883" s="16" t="s">
        <v>1090</v>
      </c>
      <c r="J883" s="16" t="s">
        <v>943</v>
      </c>
      <c r="K883" s="16" t="s">
        <v>1091</v>
      </c>
      <c r="L883" s="16" t="s">
        <v>85</v>
      </c>
      <c r="M883" s="16" t="s">
        <v>984</v>
      </c>
      <c r="N883" s="16" t="s">
        <v>914</v>
      </c>
      <c r="O883" s="16" t="s">
        <v>985</v>
      </c>
      <c r="P883" s="16" t="s">
        <v>914</v>
      </c>
      <c r="Q883" s="16" t="s">
        <v>985</v>
      </c>
      <c r="R883" s="16" t="s">
        <v>915</v>
      </c>
      <c r="S883" s="16" t="s">
        <v>915</v>
      </c>
      <c r="T883" s="16" t="s">
        <v>986</v>
      </c>
      <c r="U883" s="16" t="s">
        <v>987</v>
      </c>
      <c r="V883" s="16" t="s">
        <v>916</v>
      </c>
      <c r="W883" s="16" t="s">
        <v>987</v>
      </c>
      <c r="X883" s="16" t="s">
        <v>934</v>
      </c>
      <c r="Y883" s="16" t="s">
        <v>934</v>
      </c>
      <c r="Z883" s="16" t="s">
        <v>935</v>
      </c>
      <c r="DA883" s="405" t="s">
        <v>5</v>
      </c>
      <c r="DB883" s="405" t="s">
        <v>363</v>
      </c>
      <c r="DC883" s="406" t="s">
        <v>85</v>
      </c>
      <c r="DD883" s="405" t="s">
        <v>917</v>
      </c>
      <c r="DE883" s="405" t="s">
        <v>5</v>
      </c>
      <c r="DF883" s="406" t="s">
        <v>85</v>
      </c>
      <c r="DG883" s="407">
        <v>45857</v>
      </c>
      <c r="DH883" s="405" t="s">
        <v>4540</v>
      </c>
      <c r="DI883" s="406">
        <v>465455</v>
      </c>
      <c r="DJ883" s="408">
        <v>5</v>
      </c>
      <c r="DK883" s="405">
        <v>1</v>
      </c>
      <c r="DL883" s="82">
        <v>340.55</v>
      </c>
      <c r="DM883" s="409">
        <v>1.70275</v>
      </c>
      <c r="DN883" s="82" t="s">
        <v>85</v>
      </c>
      <c r="DO883" s="82" t="s">
        <v>85</v>
      </c>
      <c r="DP883" s="410" t="s">
        <v>85</v>
      </c>
    </row>
    <row r="884" spans="1:120" x14ac:dyDescent="0.25">
      <c r="A884" s="16" t="s">
        <v>4544</v>
      </c>
      <c r="B884" s="16" t="s">
        <v>4545</v>
      </c>
      <c r="C884" s="16" t="s">
        <v>4546</v>
      </c>
      <c r="D884" s="16" t="s">
        <v>4389</v>
      </c>
      <c r="E884" s="16" t="s">
        <v>4547</v>
      </c>
      <c r="F884" s="16" t="s">
        <v>4548</v>
      </c>
      <c r="G884" s="16" t="s">
        <v>4549</v>
      </c>
      <c r="H884" s="16" t="s">
        <v>4550</v>
      </c>
      <c r="I884" s="16" t="s">
        <v>1765</v>
      </c>
      <c r="J884" s="16" t="s">
        <v>943</v>
      </c>
      <c r="K884" s="16" t="s">
        <v>1766</v>
      </c>
      <c r="L884" s="16" t="s">
        <v>85</v>
      </c>
      <c r="M884" s="16" t="s">
        <v>1759</v>
      </c>
      <c r="N884" s="16" t="s">
        <v>914</v>
      </c>
      <c r="O884" s="16" t="s">
        <v>1760</v>
      </c>
      <c r="P884" s="16" t="s">
        <v>914</v>
      </c>
      <c r="Q884" s="16" t="s">
        <v>1760</v>
      </c>
      <c r="R884" s="16" t="s">
        <v>915</v>
      </c>
      <c r="S884" s="16" t="s">
        <v>915</v>
      </c>
      <c r="T884" s="16" t="s">
        <v>1761</v>
      </c>
      <c r="U884" s="16" t="s">
        <v>1762</v>
      </c>
      <c r="V884" s="16" t="s">
        <v>1763</v>
      </c>
      <c r="W884" s="16" t="s">
        <v>1764</v>
      </c>
      <c r="X884" s="16" t="s">
        <v>934</v>
      </c>
      <c r="Y884" s="16" t="s">
        <v>934</v>
      </c>
      <c r="Z884" s="16" t="s">
        <v>935</v>
      </c>
      <c r="DA884" s="405" t="s">
        <v>5</v>
      </c>
      <c r="DB884" s="405" t="s">
        <v>363</v>
      </c>
      <c r="DC884" s="406" t="s">
        <v>85</v>
      </c>
      <c r="DD884" s="405" t="s">
        <v>917</v>
      </c>
      <c r="DE884" s="405" t="s">
        <v>5</v>
      </c>
      <c r="DF884" s="406" t="s">
        <v>85</v>
      </c>
      <c r="DG884" s="407">
        <v>45857</v>
      </c>
      <c r="DH884" s="405" t="s">
        <v>4547</v>
      </c>
      <c r="DI884" s="406">
        <v>465455</v>
      </c>
      <c r="DJ884" s="408">
        <v>5</v>
      </c>
      <c r="DK884" s="405">
        <v>2</v>
      </c>
      <c r="DL884" s="82">
        <v>340.56</v>
      </c>
      <c r="DM884" s="409">
        <v>1.7028000000000001</v>
      </c>
      <c r="DN884" s="82" t="s">
        <v>85</v>
      </c>
      <c r="DO884" s="82" t="s">
        <v>85</v>
      </c>
      <c r="DP884" s="410" t="s">
        <v>85</v>
      </c>
    </row>
    <row r="885" spans="1:120" x14ac:dyDescent="0.25">
      <c r="A885" s="16" t="s">
        <v>4551</v>
      </c>
      <c r="B885" s="16" t="s">
        <v>4552</v>
      </c>
      <c r="C885" s="16" t="s">
        <v>4553</v>
      </c>
      <c r="D885" s="16" t="s">
        <v>4389</v>
      </c>
      <c r="E885" s="16" t="s">
        <v>4554</v>
      </c>
      <c r="F885" s="16" t="s">
        <v>4555</v>
      </c>
      <c r="G885" s="16" t="s">
        <v>4556</v>
      </c>
      <c r="H885" s="16" t="s">
        <v>4555</v>
      </c>
      <c r="I885" s="16" t="s">
        <v>2997</v>
      </c>
      <c r="J885" s="16" t="s">
        <v>943</v>
      </c>
      <c r="K885" s="16" t="s">
        <v>2998</v>
      </c>
      <c r="L885" s="16" t="s">
        <v>85</v>
      </c>
      <c r="M885" s="16" t="s">
        <v>984</v>
      </c>
      <c r="N885" s="16" t="s">
        <v>914</v>
      </c>
      <c r="O885" s="16" t="s">
        <v>985</v>
      </c>
      <c r="P885" s="16" t="s">
        <v>914</v>
      </c>
      <c r="Q885" s="16" t="s">
        <v>985</v>
      </c>
      <c r="R885" s="16" t="s">
        <v>915</v>
      </c>
      <c r="S885" s="16" t="s">
        <v>915</v>
      </c>
      <c r="T885" s="16" t="s">
        <v>986</v>
      </c>
      <c r="U885" s="16" t="s">
        <v>987</v>
      </c>
      <c r="V885" s="16" t="s">
        <v>916</v>
      </c>
      <c r="W885" s="16" t="s">
        <v>987</v>
      </c>
      <c r="X885" s="16" t="s">
        <v>934</v>
      </c>
      <c r="Y885" s="16" t="s">
        <v>934</v>
      </c>
      <c r="Z885" s="16" t="s">
        <v>935</v>
      </c>
      <c r="DA885" s="405" t="s">
        <v>5</v>
      </c>
      <c r="DB885" s="405" t="s">
        <v>363</v>
      </c>
      <c r="DC885" s="406" t="s">
        <v>85</v>
      </c>
      <c r="DD885" s="405" t="s">
        <v>917</v>
      </c>
      <c r="DE885" s="405" t="s">
        <v>5</v>
      </c>
      <c r="DF885" s="406" t="s">
        <v>85</v>
      </c>
      <c r="DG885" s="407">
        <v>45857</v>
      </c>
      <c r="DH885" s="405" t="s">
        <v>4554</v>
      </c>
      <c r="DI885" s="406">
        <v>465455</v>
      </c>
      <c r="DJ885" s="408">
        <v>5</v>
      </c>
      <c r="DK885" s="405">
        <v>1</v>
      </c>
      <c r="DL885" s="82">
        <v>340.55</v>
      </c>
      <c r="DM885" s="409">
        <v>1.70275</v>
      </c>
      <c r="DN885" s="82" t="s">
        <v>85</v>
      </c>
      <c r="DO885" s="82" t="s">
        <v>85</v>
      </c>
      <c r="DP885" s="410" t="s">
        <v>85</v>
      </c>
    </row>
    <row r="886" spans="1:120" x14ac:dyDescent="0.25">
      <c r="A886" s="16" t="s">
        <v>4551</v>
      </c>
      <c r="B886" s="16" t="s">
        <v>4552</v>
      </c>
      <c r="C886" s="16" t="s">
        <v>4553</v>
      </c>
      <c r="D886" s="16" t="s">
        <v>4389</v>
      </c>
      <c r="E886" s="16" t="s">
        <v>4554</v>
      </c>
      <c r="F886" s="16" t="s">
        <v>4555</v>
      </c>
      <c r="G886" s="16" t="s">
        <v>4556</v>
      </c>
      <c r="H886" s="16" t="s">
        <v>4555</v>
      </c>
      <c r="I886" s="16" t="s">
        <v>942</v>
      </c>
      <c r="J886" s="16" t="s">
        <v>943</v>
      </c>
      <c r="K886" s="16" t="s">
        <v>944</v>
      </c>
      <c r="L886" s="16" t="s">
        <v>85</v>
      </c>
      <c r="M886" s="16" t="s">
        <v>984</v>
      </c>
      <c r="N886" s="16" t="s">
        <v>914</v>
      </c>
      <c r="O886" s="16" t="s">
        <v>985</v>
      </c>
      <c r="P886" s="16" t="s">
        <v>914</v>
      </c>
      <c r="Q886" s="16" t="s">
        <v>985</v>
      </c>
      <c r="R886" s="16" t="s">
        <v>915</v>
      </c>
      <c r="S886" s="16" t="s">
        <v>915</v>
      </c>
      <c r="T886" s="16" t="s">
        <v>986</v>
      </c>
      <c r="U886" s="16" t="s">
        <v>987</v>
      </c>
      <c r="V886" s="16" t="s">
        <v>916</v>
      </c>
      <c r="W886" s="16" t="s">
        <v>987</v>
      </c>
      <c r="X886" s="16" t="s">
        <v>934</v>
      </c>
      <c r="Y886" s="16" t="s">
        <v>934</v>
      </c>
      <c r="Z886" s="16" t="s">
        <v>935</v>
      </c>
      <c r="DA886" s="405" t="s">
        <v>5</v>
      </c>
      <c r="DB886" s="405" t="s">
        <v>363</v>
      </c>
      <c r="DC886" s="406" t="s">
        <v>85</v>
      </c>
      <c r="DD886" s="405" t="s">
        <v>917</v>
      </c>
      <c r="DE886" s="405" t="s">
        <v>5</v>
      </c>
      <c r="DF886" s="406" t="s">
        <v>85</v>
      </c>
      <c r="DG886" s="407">
        <v>45857</v>
      </c>
      <c r="DH886" s="405" t="s">
        <v>4554</v>
      </c>
      <c r="DI886" s="406">
        <v>465455</v>
      </c>
      <c r="DJ886" s="408">
        <v>5</v>
      </c>
      <c r="DK886" s="405">
        <v>1</v>
      </c>
      <c r="DL886" s="82">
        <v>340.55</v>
      </c>
      <c r="DM886" s="409">
        <v>1.70275</v>
      </c>
      <c r="DN886" s="82" t="s">
        <v>85</v>
      </c>
      <c r="DO886" s="82" t="s">
        <v>85</v>
      </c>
      <c r="DP886" s="410" t="s">
        <v>85</v>
      </c>
    </row>
    <row r="887" spans="1:120" x14ac:dyDescent="0.25">
      <c r="A887" s="16" t="s">
        <v>4557</v>
      </c>
      <c r="B887" s="16" t="s">
        <v>4558</v>
      </c>
      <c r="C887" s="16" t="s">
        <v>4559</v>
      </c>
      <c r="D887" s="16" t="s">
        <v>4389</v>
      </c>
      <c r="E887" s="16" t="s">
        <v>4560</v>
      </c>
      <c r="F887" s="16" t="s">
        <v>4561</v>
      </c>
      <c r="G887" s="16" t="s">
        <v>4562</v>
      </c>
      <c r="H887" s="16" t="s">
        <v>4563</v>
      </c>
      <c r="I887" s="16" t="s">
        <v>2136</v>
      </c>
      <c r="J887" s="16" t="s">
        <v>943</v>
      </c>
      <c r="K887" s="16" t="s">
        <v>2137</v>
      </c>
      <c r="L887" s="16" t="s">
        <v>85</v>
      </c>
      <c r="M887" s="16" t="s">
        <v>984</v>
      </c>
      <c r="N887" s="16" t="s">
        <v>914</v>
      </c>
      <c r="O887" s="16" t="s">
        <v>985</v>
      </c>
      <c r="P887" s="16" t="s">
        <v>914</v>
      </c>
      <c r="Q887" s="16" t="s">
        <v>985</v>
      </c>
      <c r="R887" s="16" t="s">
        <v>915</v>
      </c>
      <c r="S887" s="16" t="s">
        <v>915</v>
      </c>
      <c r="T887" s="16" t="s">
        <v>986</v>
      </c>
      <c r="U887" s="16" t="s">
        <v>987</v>
      </c>
      <c r="V887" s="16" t="s">
        <v>916</v>
      </c>
      <c r="W887" s="16" t="s">
        <v>987</v>
      </c>
      <c r="X887" s="16" t="s">
        <v>934</v>
      </c>
      <c r="Y887" s="16" t="s">
        <v>934</v>
      </c>
      <c r="Z887" s="16" t="s">
        <v>935</v>
      </c>
      <c r="DA887" s="405" t="s">
        <v>5</v>
      </c>
      <c r="DB887" s="405" t="s">
        <v>363</v>
      </c>
      <c r="DC887" s="406" t="s">
        <v>85</v>
      </c>
      <c r="DD887" s="405" t="s">
        <v>917</v>
      </c>
      <c r="DE887" s="405" t="s">
        <v>5</v>
      </c>
      <c r="DF887" s="406" t="s">
        <v>85</v>
      </c>
      <c r="DG887" s="407">
        <v>45857</v>
      </c>
      <c r="DH887" s="405" t="s">
        <v>4560</v>
      </c>
      <c r="DI887" s="406">
        <v>465455</v>
      </c>
      <c r="DJ887" s="408">
        <v>5</v>
      </c>
      <c r="DK887" s="405">
        <v>1</v>
      </c>
      <c r="DL887" s="82">
        <v>340.55</v>
      </c>
      <c r="DM887" s="409">
        <v>1.70275</v>
      </c>
      <c r="DN887" s="82" t="s">
        <v>85</v>
      </c>
      <c r="DO887" s="82" t="s">
        <v>85</v>
      </c>
      <c r="DP887" s="410" t="s">
        <v>85</v>
      </c>
    </row>
    <row r="888" spans="1:120" x14ac:dyDescent="0.25">
      <c r="A888" s="16" t="s">
        <v>4564</v>
      </c>
      <c r="B888" s="16" t="s">
        <v>4565</v>
      </c>
      <c r="C888" s="16" t="s">
        <v>4566</v>
      </c>
      <c r="D888" s="16" t="s">
        <v>4389</v>
      </c>
      <c r="E888" s="16" t="s">
        <v>4567</v>
      </c>
      <c r="F888" s="16" t="s">
        <v>4568</v>
      </c>
      <c r="G888" s="16" t="s">
        <v>4569</v>
      </c>
      <c r="H888" s="16" t="s">
        <v>4561</v>
      </c>
      <c r="I888" s="16" t="s">
        <v>994</v>
      </c>
      <c r="J888" s="16" t="s">
        <v>995</v>
      </c>
      <c r="K888" s="16" t="s">
        <v>996</v>
      </c>
      <c r="L888" s="16" t="s">
        <v>85</v>
      </c>
      <c r="M888" s="16" t="s">
        <v>1165</v>
      </c>
      <c r="N888" s="16" t="s">
        <v>914</v>
      </c>
      <c r="O888" s="16" t="s">
        <v>1166</v>
      </c>
      <c r="P888" s="16" t="s">
        <v>914</v>
      </c>
      <c r="Q888" s="16" t="s">
        <v>1166</v>
      </c>
      <c r="R888" s="16" t="s">
        <v>915</v>
      </c>
      <c r="S888" s="16" t="s">
        <v>915</v>
      </c>
      <c r="T888" s="16" t="s">
        <v>1167</v>
      </c>
      <c r="U888" s="16" t="s">
        <v>1168</v>
      </c>
      <c r="V888" s="16" t="s">
        <v>916</v>
      </c>
      <c r="W888" s="16" t="s">
        <v>1168</v>
      </c>
      <c r="X888" s="16" t="s">
        <v>934</v>
      </c>
      <c r="Y888" s="16" t="s">
        <v>934</v>
      </c>
      <c r="Z888" s="16" t="s">
        <v>935</v>
      </c>
      <c r="DA888" s="405" t="s">
        <v>5</v>
      </c>
      <c r="DB888" s="405" t="s">
        <v>363</v>
      </c>
      <c r="DC888" s="406" t="s">
        <v>85</v>
      </c>
      <c r="DD888" s="405" t="s">
        <v>917</v>
      </c>
      <c r="DE888" s="405" t="s">
        <v>5</v>
      </c>
      <c r="DF888" s="406" t="s">
        <v>85</v>
      </c>
      <c r="DG888" s="407">
        <v>45857</v>
      </c>
      <c r="DH888" s="405" t="s">
        <v>4567</v>
      </c>
      <c r="DI888" s="406">
        <v>465455</v>
      </c>
      <c r="DJ888" s="408">
        <v>5</v>
      </c>
      <c r="DK888" s="405">
        <v>1</v>
      </c>
      <c r="DL888" s="82">
        <v>468.28</v>
      </c>
      <c r="DM888" s="409">
        <v>2.3413999999999997</v>
      </c>
      <c r="DN888" s="82" t="s">
        <v>85</v>
      </c>
      <c r="DO888" s="82" t="s">
        <v>85</v>
      </c>
      <c r="DP888" s="410" t="s">
        <v>85</v>
      </c>
    </row>
    <row r="889" spans="1:120" x14ac:dyDescent="0.25">
      <c r="A889" s="16" t="s">
        <v>4570</v>
      </c>
      <c r="B889" s="16" t="s">
        <v>4571</v>
      </c>
      <c r="C889" s="16" t="s">
        <v>4572</v>
      </c>
      <c r="D889" s="16" t="s">
        <v>4389</v>
      </c>
      <c r="E889" s="16" t="s">
        <v>4573</v>
      </c>
      <c r="F889" s="16" t="s">
        <v>4574</v>
      </c>
      <c r="G889" s="16" t="s">
        <v>4575</v>
      </c>
      <c r="H889" s="16" t="s">
        <v>4574</v>
      </c>
      <c r="I889" s="16" t="s">
        <v>2232</v>
      </c>
      <c r="J889" s="16" t="s">
        <v>1123</v>
      </c>
      <c r="K889" s="16" t="s">
        <v>2233</v>
      </c>
      <c r="L889" s="16" t="s">
        <v>85</v>
      </c>
      <c r="M889" s="16" t="s">
        <v>1238</v>
      </c>
      <c r="N889" s="16" t="s">
        <v>914</v>
      </c>
      <c r="O889" s="16" t="s">
        <v>1239</v>
      </c>
      <c r="P889" s="16" t="s">
        <v>914</v>
      </c>
      <c r="Q889" s="16" t="s">
        <v>1239</v>
      </c>
      <c r="R889" s="16" t="s">
        <v>915</v>
      </c>
      <c r="S889" s="16" t="s">
        <v>915</v>
      </c>
      <c r="T889" s="16" t="s">
        <v>1238</v>
      </c>
      <c r="U889" s="16" t="s">
        <v>1240</v>
      </c>
      <c r="V889" s="16" t="s">
        <v>916</v>
      </c>
      <c r="W889" s="16" t="s">
        <v>1240</v>
      </c>
      <c r="X889" s="16" t="s">
        <v>934</v>
      </c>
      <c r="Y889" s="16" t="s">
        <v>934</v>
      </c>
      <c r="Z889" s="16" t="s">
        <v>935</v>
      </c>
      <c r="DA889" s="405" t="s">
        <v>5</v>
      </c>
      <c r="DB889" s="405" t="s">
        <v>363</v>
      </c>
      <c r="DC889" s="406" t="s">
        <v>85</v>
      </c>
      <c r="DD889" s="405" t="s">
        <v>917</v>
      </c>
      <c r="DE889" s="405" t="s">
        <v>5</v>
      </c>
      <c r="DF889" s="406" t="s">
        <v>85</v>
      </c>
      <c r="DG889" s="407">
        <v>45857</v>
      </c>
      <c r="DH889" s="405" t="s">
        <v>4573</v>
      </c>
      <c r="DI889" s="406">
        <v>465455</v>
      </c>
      <c r="DJ889" s="408">
        <v>5</v>
      </c>
      <c r="DK889" s="405">
        <v>1</v>
      </c>
      <c r="DL889" s="82">
        <v>383.16</v>
      </c>
      <c r="DM889" s="409">
        <v>1.9158000000000002</v>
      </c>
      <c r="DN889" s="82" t="s">
        <v>85</v>
      </c>
      <c r="DO889" s="82" t="s">
        <v>85</v>
      </c>
      <c r="DP889" s="410" t="s">
        <v>85</v>
      </c>
    </row>
    <row r="890" spans="1:120" x14ac:dyDescent="0.25">
      <c r="A890" s="16" t="s">
        <v>4576</v>
      </c>
      <c r="B890" s="16" t="s">
        <v>4577</v>
      </c>
      <c r="C890" s="16" t="s">
        <v>4578</v>
      </c>
      <c r="D890" s="16" t="s">
        <v>4389</v>
      </c>
      <c r="E890" s="16" t="s">
        <v>4579</v>
      </c>
      <c r="F890" s="16" t="s">
        <v>4580</v>
      </c>
      <c r="G890" s="16" t="s">
        <v>4581</v>
      </c>
      <c r="H890" s="16" t="s">
        <v>4582</v>
      </c>
      <c r="I890" s="16" t="s">
        <v>2271</v>
      </c>
      <c r="J890" s="16" t="s">
        <v>995</v>
      </c>
      <c r="K890" s="16" t="s">
        <v>2272</v>
      </c>
      <c r="L890" s="16" t="s">
        <v>85</v>
      </c>
      <c r="M890" s="16" t="s">
        <v>1165</v>
      </c>
      <c r="N890" s="16" t="s">
        <v>914</v>
      </c>
      <c r="O890" s="16" t="s">
        <v>1166</v>
      </c>
      <c r="P890" s="16" t="s">
        <v>914</v>
      </c>
      <c r="Q890" s="16" t="s">
        <v>1166</v>
      </c>
      <c r="R890" s="16" t="s">
        <v>915</v>
      </c>
      <c r="S890" s="16" t="s">
        <v>915</v>
      </c>
      <c r="T890" s="16" t="s">
        <v>1167</v>
      </c>
      <c r="U890" s="16" t="s">
        <v>1168</v>
      </c>
      <c r="V890" s="16" t="s">
        <v>916</v>
      </c>
      <c r="W890" s="16" t="s">
        <v>1168</v>
      </c>
      <c r="X890" s="16" t="s">
        <v>934</v>
      </c>
      <c r="Y890" s="16" t="s">
        <v>934</v>
      </c>
      <c r="Z890" s="16" t="s">
        <v>935</v>
      </c>
      <c r="DA890" s="405" t="s">
        <v>5</v>
      </c>
      <c r="DB890" s="405" t="s">
        <v>363</v>
      </c>
      <c r="DC890" s="406" t="s">
        <v>85</v>
      </c>
      <c r="DD890" s="405" t="s">
        <v>917</v>
      </c>
      <c r="DE890" s="405" t="s">
        <v>5</v>
      </c>
      <c r="DF890" s="406" t="s">
        <v>85</v>
      </c>
      <c r="DG890" s="407">
        <v>45857</v>
      </c>
      <c r="DH890" s="405" t="s">
        <v>4579</v>
      </c>
      <c r="DI890" s="406">
        <v>465455</v>
      </c>
      <c r="DJ890" s="408">
        <v>5</v>
      </c>
      <c r="DK890" s="405">
        <v>1</v>
      </c>
      <c r="DL890" s="82">
        <v>468.28</v>
      </c>
      <c r="DM890" s="409">
        <v>2.3413999999999997</v>
      </c>
      <c r="DN890" s="82" t="s">
        <v>85</v>
      </c>
      <c r="DO890" s="82" t="s">
        <v>85</v>
      </c>
      <c r="DP890" s="410" t="s">
        <v>85</v>
      </c>
    </row>
    <row r="891" spans="1:120" x14ac:dyDescent="0.25">
      <c r="A891" s="16" t="s">
        <v>4583</v>
      </c>
      <c r="B891" s="16" t="s">
        <v>4584</v>
      </c>
      <c r="C891" s="16" t="s">
        <v>4585</v>
      </c>
      <c r="D891" s="16" t="s">
        <v>4389</v>
      </c>
      <c r="E891" s="16" t="s">
        <v>4586</v>
      </c>
      <c r="F891" s="16" t="s">
        <v>4587</v>
      </c>
      <c r="G891" s="16" t="s">
        <v>4588</v>
      </c>
      <c r="H891" s="16" t="s">
        <v>4589</v>
      </c>
      <c r="I891" s="16" t="s">
        <v>1929</v>
      </c>
      <c r="J891" s="16" t="s">
        <v>995</v>
      </c>
      <c r="K891" s="16" t="s">
        <v>1930</v>
      </c>
      <c r="L891" s="16" t="s">
        <v>85</v>
      </c>
      <c r="M891" s="16" t="s">
        <v>1165</v>
      </c>
      <c r="N891" s="16" t="s">
        <v>914</v>
      </c>
      <c r="O891" s="16" t="s">
        <v>1166</v>
      </c>
      <c r="P891" s="16" t="s">
        <v>914</v>
      </c>
      <c r="Q891" s="16" t="s">
        <v>1166</v>
      </c>
      <c r="R891" s="16" t="s">
        <v>915</v>
      </c>
      <c r="S891" s="16" t="s">
        <v>915</v>
      </c>
      <c r="T891" s="16" t="s">
        <v>1167</v>
      </c>
      <c r="U891" s="16" t="s">
        <v>1168</v>
      </c>
      <c r="V891" s="16" t="s">
        <v>916</v>
      </c>
      <c r="W891" s="16" t="s">
        <v>1168</v>
      </c>
      <c r="X891" s="16" t="s">
        <v>934</v>
      </c>
      <c r="Y891" s="16" t="s">
        <v>934</v>
      </c>
      <c r="Z891" s="16" t="s">
        <v>935</v>
      </c>
      <c r="DA891" s="405" t="s">
        <v>5</v>
      </c>
      <c r="DB891" s="405" t="s">
        <v>363</v>
      </c>
      <c r="DC891" s="406" t="s">
        <v>85</v>
      </c>
      <c r="DD891" s="405" t="s">
        <v>917</v>
      </c>
      <c r="DE891" s="405" t="s">
        <v>5</v>
      </c>
      <c r="DF891" s="406" t="s">
        <v>85</v>
      </c>
      <c r="DG891" s="407">
        <v>45857</v>
      </c>
      <c r="DH891" s="405" t="s">
        <v>4586</v>
      </c>
      <c r="DI891" s="406">
        <v>465455</v>
      </c>
      <c r="DJ891" s="408">
        <v>5</v>
      </c>
      <c r="DK891" s="405">
        <v>1</v>
      </c>
      <c r="DL891" s="82">
        <v>468.28</v>
      </c>
      <c r="DM891" s="409">
        <v>2.3413999999999997</v>
      </c>
      <c r="DN891" s="82" t="s">
        <v>85</v>
      </c>
      <c r="DO891" s="82" t="s">
        <v>85</v>
      </c>
      <c r="DP891" s="410" t="s">
        <v>85</v>
      </c>
    </row>
    <row r="892" spans="1:120" x14ac:dyDescent="0.25">
      <c r="A892" s="16" t="s">
        <v>4590</v>
      </c>
      <c r="B892" s="16" t="s">
        <v>4591</v>
      </c>
      <c r="C892" s="16" t="s">
        <v>4592</v>
      </c>
      <c r="D892" s="16" t="s">
        <v>4389</v>
      </c>
      <c r="E892" s="16" t="s">
        <v>4593</v>
      </c>
      <c r="F892" s="16" t="s">
        <v>4594</v>
      </c>
      <c r="G892" s="16" t="s">
        <v>4595</v>
      </c>
      <c r="H892" s="16" t="s">
        <v>4596</v>
      </c>
      <c r="I892" s="16" t="s">
        <v>1929</v>
      </c>
      <c r="J892" s="16" t="s">
        <v>995</v>
      </c>
      <c r="K892" s="16" t="s">
        <v>1930</v>
      </c>
      <c r="L892" s="16" t="s">
        <v>85</v>
      </c>
      <c r="M892" s="16" t="s">
        <v>3840</v>
      </c>
      <c r="N892" s="16" t="s">
        <v>914</v>
      </c>
      <c r="O892" s="16" t="s">
        <v>3841</v>
      </c>
      <c r="P892" s="16" t="s">
        <v>914</v>
      </c>
      <c r="Q892" s="16" t="s">
        <v>3841</v>
      </c>
      <c r="R892" s="16" t="s">
        <v>915</v>
      </c>
      <c r="S892" s="16" t="s">
        <v>915</v>
      </c>
      <c r="T892" s="16" t="s">
        <v>3840</v>
      </c>
      <c r="U892" s="16" t="s">
        <v>3842</v>
      </c>
      <c r="V892" s="16" t="s">
        <v>916</v>
      </c>
      <c r="W892" s="16" t="s">
        <v>3842</v>
      </c>
      <c r="X892" s="16" t="s">
        <v>934</v>
      </c>
      <c r="Y892" s="16" t="s">
        <v>934</v>
      </c>
      <c r="Z892" s="16" t="s">
        <v>935</v>
      </c>
      <c r="DA892" s="405" t="s">
        <v>5</v>
      </c>
      <c r="DB892" s="405" t="s">
        <v>363</v>
      </c>
      <c r="DC892" s="406" t="s">
        <v>85</v>
      </c>
      <c r="DD892" s="405" t="s">
        <v>917</v>
      </c>
      <c r="DE892" s="405" t="s">
        <v>5</v>
      </c>
      <c r="DF892" s="406" t="s">
        <v>85</v>
      </c>
      <c r="DG892" s="407">
        <v>45857</v>
      </c>
      <c r="DH892" s="405" t="s">
        <v>4593</v>
      </c>
      <c r="DI892" s="406">
        <v>465455</v>
      </c>
      <c r="DJ892" s="408">
        <v>5</v>
      </c>
      <c r="DK892" s="405">
        <v>1</v>
      </c>
      <c r="DL892" s="82">
        <v>433.17</v>
      </c>
      <c r="DM892" s="409">
        <v>2.1658500000000003</v>
      </c>
      <c r="DN892" s="82" t="s">
        <v>85</v>
      </c>
      <c r="DO892" s="82" t="s">
        <v>85</v>
      </c>
      <c r="DP892" s="410" t="s">
        <v>85</v>
      </c>
    </row>
    <row r="893" spans="1:120" x14ac:dyDescent="0.25">
      <c r="A893" s="16" t="s">
        <v>4597</v>
      </c>
      <c r="B893" s="16" t="s">
        <v>4598</v>
      </c>
      <c r="C893" s="16" t="s">
        <v>4599</v>
      </c>
      <c r="D893" s="16" t="s">
        <v>4389</v>
      </c>
      <c r="E893" s="16" t="s">
        <v>4600</v>
      </c>
      <c r="F893" s="16" t="s">
        <v>4601</v>
      </c>
      <c r="G893" s="16" t="s">
        <v>4602</v>
      </c>
      <c r="H893" s="16" t="s">
        <v>4594</v>
      </c>
      <c r="I893" s="16" t="s">
        <v>4603</v>
      </c>
      <c r="J893" s="16" t="s">
        <v>1123</v>
      </c>
      <c r="K893" s="16" t="s">
        <v>4604</v>
      </c>
      <c r="L893" s="16" t="s">
        <v>85</v>
      </c>
      <c r="M893" s="16" t="s">
        <v>1238</v>
      </c>
      <c r="N893" s="16" t="s">
        <v>914</v>
      </c>
      <c r="O893" s="16" t="s">
        <v>1239</v>
      </c>
      <c r="P893" s="16" t="s">
        <v>914</v>
      </c>
      <c r="Q893" s="16" t="s">
        <v>1239</v>
      </c>
      <c r="R893" s="16" t="s">
        <v>915</v>
      </c>
      <c r="S893" s="16" t="s">
        <v>915</v>
      </c>
      <c r="T893" s="16" t="s">
        <v>1238</v>
      </c>
      <c r="U893" s="16" t="s">
        <v>1240</v>
      </c>
      <c r="V893" s="16" t="s">
        <v>916</v>
      </c>
      <c r="W893" s="16" t="s">
        <v>1240</v>
      </c>
      <c r="X893" s="16" t="s">
        <v>934</v>
      </c>
      <c r="Y893" s="16" t="s">
        <v>934</v>
      </c>
      <c r="Z893" s="16" t="s">
        <v>935</v>
      </c>
      <c r="DA893" s="405" t="s">
        <v>5</v>
      </c>
      <c r="DB893" s="405" t="s">
        <v>363</v>
      </c>
      <c r="DC893" s="406" t="s">
        <v>85</v>
      </c>
      <c r="DD893" s="405" t="s">
        <v>917</v>
      </c>
      <c r="DE893" s="405" t="s">
        <v>5</v>
      </c>
      <c r="DF893" s="406" t="s">
        <v>85</v>
      </c>
      <c r="DG893" s="407">
        <v>45857</v>
      </c>
      <c r="DH893" s="405" t="s">
        <v>4600</v>
      </c>
      <c r="DI893" s="406">
        <v>465455</v>
      </c>
      <c r="DJ893" s="408">
        <v>5</v>
      </c>
      <c r="DK893" s="405">
        <v>1</v>
      </c>
      <c r="DL893" s="82">
        <v>383.16</v>
      </c>
      <c r="DM893" s="409">
        <v>1.9158000000000002</v>
      </c>
      <c r="DN893" s="82" t="s">
        <v>85</v>
      </c>
      <c r="DO893" s="82" t="s">
        <v>85</v>
      </c>
      <c r="DP893" s="410" t="s">
        <v>85</v>
      </c>
    </row>
    <row r="894" spans="1:120" x14ac:dyDescent="0.25">
      <c r="A894" s="16" t="s">
        <v>4597</v>
      </c>
      <c r="B894" s="16" t="s">
        <v>4598</v>
      </c>
      <c r="C894" s="16" t="s">
        <v>4599</v>
      </c>
      <c r="D894" s="16" t="s">
        <v>4389</v>
      </c>
      <c r="E894" s="16" t="s">
        <v>4600</v>
      </c>
      <c r="F894" s="16" t="s">
        <v>4601</v>
      </c>
      <c r="G894" s="16" t="s">
        <v>4602</v>
      </c>
      <c r="H894" s="16" t="s">
        <v>4594</v>
      </c>
      <c r="I894" s="16" t="s">
        <v>1737</v>
      </c>
      <c r="J894" s="16" t="s">
        <v>1123</v>
      </c>
      <c r="K894" s="16" t="s">
        <v>1738</v>
      </c>
      <c r="L894" s="16" t="s">
        <v>85</v>
      </c>
      <c r="M894" s="16" t="s">
        <v>1238</v>
      </c>
      <c r="N894" s="16" t="s">
        <v>914</v>
      </c>
      <c r="O894" s="16" t="s">
        <v>1239</v>
      </c>
      <c r="P894" s="16" t="s">
        <v>914</v>
      </c>
      <c r="Q894" s="16" t="s">
        <v>1239</v>
      </c>
      <c r="R894" s="16" t="s">
        <v>915</v>
      </c>
      <c r="S894" s="16" t="s">
        <v>915</v>
      </c>
      <c r="T894" s="16" t="s">
        <v>1238</v>
      </c>
      <c r="U894" s="16" t="s">
        <v>1240</v>
      </c>
      <c r="V894" s="16" t="s">
        <v>916</v>
      </c>
      <c r="W894" s="16" t="s">
        <v>1240</v>
      </c>
      <c r="X894" s="16" t="s">
        <v>934</v>
      </c>
      <c r="Y894" s="16" t="s">
        <v>934</v>
      </c>
      <c r="Z894" s="16" t="s">
        <v>935</v>
      </c>
      <c r="DA894" s="405" t="s">
        <v>5</v>
      </c>
      <c r="DB894" s="405" t="s">
        <v>363</v>
      </c>
      <c r="DC894" s="406" t="s">
        <v>85</v>
      </c>
      <c r="DD894" s="405" t="s">
        <v>917</v>
      </c>
      <c r="DE894" s="405" t="s">
        <v>5</v>
      </c>
      <c r="DF894" s="406" t="s">
        <v>85</v>
      </c>
      <c r="DG894" s="407">
        <v>45857</v>
      </c>
      <c r="DH894" s="405" t="s">
        <v>4600</v>
      </c>
      <c r="DI894" s="406">
        <v>465455</v>
      </c>
      <c r="DJ894" s="408">
        <v>5</v>
      </c>
      <c r="DK894" s="405">
        <v>1</v>
      </c>
      <c r="DL894" s="82">
        <v>383.16</v>
      </c>
      <c r="DM894" s="409">
        <v>1.9158000000000002</v>
      </c>
      <c r="DN894" s="82" t="s">
        <v>85</v>
      </c>
      <c r="DO894" s="82" t="s">
        <v>85</v>
      </c>
      <c r="DP894" s="410" t="s">
        <v>85</v>
      </c>
    </row>
    <row r="895" spans="1:120" x14ac:dyDescent="0.25">
      <c r="A895" s="16" t="s">
        <v>4605</v>
      </c>
      <c r="B895" s="16" t="s">
        <v>4606</v>
      </c>
      <c r="C895" s="16" t="s">
        <v>4607</v>
      </c>
      <c r="D895" s="16" t="s">
        <v>4389</v>
      </c>
      <c r="E895" s="16" t="s">
        <v>4608</v>
      </c>
      <c r="F895" s="16" t="s">
        <v>4609</v>
      </c>
      <c r="G895" s="16" t="s">
        <v>4610</v>
      </c>
      <c r="H895" s="16" t="s">
        <v>4611</v>
      </c>
      <c r="I895" s="16" t="s">
        <v>1929</v>
      </c>
      <c r="J895" s="16" t="s">
        <v>995</v>
      </c>
      <c r="K895" s="16" t="s">
        <v>1930</v>
      </c>
      <c r="L895" s="16" t="s">
        <v>85</v>
      </c>
      <c r="M895" s="16" t="s">
        <v>1165</v>
      </c>
      <c r="N895" s="16" t="s">
        <v>914</v>
      </c>
      <c r="O895" s="16" t="s">
        <v>1166</v>
      </c>
      <c r="P895" s="16" t="s">
        <v>914</v>
      </c>
      <c r="Q895" s="16" t="s">
        <v>1166</v>
      </c>
      <c r="R895" s="16" t="s">
        <v>915</v>
      </c>
      <c r="S895" s="16" t="s">
        <v>915</v>
      </c>
      <c r="T895" s="16" t="s">
        <v>1167</v>
      </c>
      <c r="U895" s="16" t="s">
        <v>1168</v>
      </c>
      <c r="V895" s="16" t="s">
        <v>916</v>
      </c>
      <c r="W895" s="16" t="s">
        <v>1168</v>
      </c>
      <c r="X895" s="16" t="s">
        <v>934</v>
      </c>
      <c r="Y895" s="16" t="s">
        <v>934</v>
      </c>
      <c r="Z895" s="16" t="s">
        <v>935</v>
      </c>
      <c r="DA895" s="405" t="s">
        <v>5</v>
      </c>
      <c r="DB895" s="405" t="s">
        <v>363</v>
      </c>
      <c r="DC895" s="406" t="s">
        <v>85</v>
      </c>
      <c r="DD895" s="405" t="s">
        <v>917</v>
      </c>
      <c r="DE895" s="405" t="s">
        <v>5</v>
      </c>
      <c r="DF895" s="406" t="s">
        <v>85</v>
      </c>
      <c r="DG895" s="407">
        <v>45857</v>
      </c>
      <c r="DH895" s="405" t="s">
        <v>4608</v>
      </c>
      <c r="DI895" s="406">
        <v>465455</v>
      </c>
      <c r="DJ895" s="408">
        <v>5</v>
      </c>
      <c r="DK895" s="405">
        <v>1</v>
      </c>
      <c r="DL895" s="82">
        <v>468.28</v>
      </c>
      <c r="DM895" s="409">
        <v>2.3413999999999997</v>
      </c>
      <c r="DN895" s="82" t="s">
        <v>85</v>
      </c>
      <c r="DO895" s="82" t="s">
        <v>85</v>
      </c>
      <c r="DP895" s="410" t="s">
        <v>85</v>
      </c>
    </row>
    <row r="896" spans="1:120" x14ac:dyDescent="0.25">
      <c r="A896" s="16" t="s">
        <v>4612</v>
      </c>
      <c r="B896" s="16" t="s">
        <v>4613</v>
      </c>
      <c r="C896" s="16" t="s">
        <v>4614</v>
      </c>
      <c r="D896" s="16" t="s">
        <v>4389</v>
      </c>
      <c r="E896" s="16" t="s">
        <v>4615</v>
      </c>
      <c r="F896" s="16" t="s">
        <v>4616</v>
      </c>
      <c r="G896" s="16" t="s">
        <v>4617</v>
      </c>
      <c r="H896" s="16" t="s">
        <v>4618</v>
      </c>
      <c r="I896" s="16" t="s">
        <v>1781</v>
      </c>
      <c r="J896" s="16" t="s">
        <v>995</v>
      </c>
      <c r="K896" s="16" t="s">
        <v>1782</v>
      </c>
      <c r="L896" s="16" t="s">
        <v>85</v>
      </c>
      <c r="M896" s="16" t="s">
        <v>1165</v>
      </c>
      <c r="N896" s="16" t="s">
        <v>914</v>
      </c>
      <c r="O896" s="16" t="s">
        <v>1166</v>
      </c>
      <c r="P896" s="16" t="s">
        <v>914</v>
      </c>
      <c r="Q896" s="16" t="s">
        <v>1166</v>
      </c>
      <c r="R896" s="16" t="s">
        <v>915</v>
      </c>
      <c r="S896" s="16" t="s">
        <v>915</v>
      </c>
      <c r="T896" s="16" t="s">
        <v>1167</v>
      </c>
      <c r="U896" s="16" t="s">
        <v>1168</v>
      </c>
      <c r="V896" s="16" t="s">
        <v>916</v>
      </c>
      <c r="W896" s="16" t="s">
        <v>1168</v>
      </c>
      <c r="X896" s="16" t="s">
        <v>934</v>
      </c>
      <c r="Y896" s="16" t="s">
        <v>934</v>
      </c>
      <c r="Z896" s="16" t="s">
        <v>935</v>
      </c>
      <c r="DA896" s="405" t="s">
        <v>5</v>
      </c>
      <c r="DB896" s="405" t="s">
        <v>363</v>
      </c>
      <c r="DC896" s="406" t="s">
        <v>85</v>
      </c>
      <c r="DD896" s="405" t="s">
        <v>917</v>
      </c>
      <c r="DE896" s="405" t="s">
        <v>5</v>
      </c>
      <c r="DF896" s="406" t="s">
        <v>85</v>
      </c>
      <c r="DG896" s="407">
        <v>45857</v>
      </c>
      <c r="DH896" s="405" t="s">
        <v>4615</v>
      </c>
      <c r="DI896" s="406">
        <v>465455</v>
      </c>
      <c r="DJ896" s="408">
        <v>5</v>
      </c>
      <c r="DK896" s="405">
        <v>1</v>
      </c>
      <c r="DL896" s="82">
        <v>468.28</v>
      </c>
      <c r="DM896" s="409">
        <v>2.3413999999999997</v>
      </c>
      <c r="DN896" s="82" t="s">
        <v>85</v>
      </c>
      <c r="DO896" s="82" t="s">
        <v>85</v>
      </c>
      <c r="DP896" s="410" t="s">
        <v>85</v>
      </c>
    </row>
    <row r="897" spans="1:120" x14ac:dyDescent="0.25">
      <c r="A897" s="16" t="s">
        <v>4619</v>
      </c>
      <c r="B897" s="16" t="s">
        <v>4620</v>
      </c>
      <c r="C897" s="16" t="s">
        <v>4621</v>
      </c>
      <c r="D897" s="16" t="s">
        <v>4389</v>
      </c>
      <c r="E897" s="16" t="s">
        <v>4622</v>
      </c>
      <c r="F897" s="16" t="s">
        <v>4623</v>
      </c>
      <c r="G897" s="16" t="s">
        <v>4624</v>
      </c>
      <c r="H897" s="16" t="s">
        <v>4625</v>
      </c>
      <c r="I897" s="16" t="s">
        <v>1423</v>
      </c>
      <c r="J897" s="16" t="s">
        <v>928</v>
      </c>
      <c r="K897" s="16" t="s">
        <v>1424</v>
      </c>
      <c r="L897" s="16" t="s">
        <v>85</v>
      </c>
      <c r="M897" s="16" t="s">
        <v>1322</v>
      </c>
      <c r="N897" s="16" t="s">
        <v>914</v>
      </c>
      <c r="O897" s="16" t="s">
        <v>1323</v>
      </c>
      <c r="P897" s="16" t="s">
        <v>914</v>
      </c>
      <c r="Q897" s="16" t="s">
        <v>1323</v>
      </c>
      <c r="R897" s="16" t="s">
        <v>915</v>
      </c>
      <c r="S897" s="16" t="s">
        <v>915</v>
      </c>
      <c r="T897" s="16" t="s">
        <v>1322</v>
      </c>
      <c r="U897" s="16" t="s">
        <v>1324</v>
      </c>
      <c r="V897" s="16" t="s">
        <v>916</v>
      </c>
      <c r="W897" s="16" t="s">
        <v>1324</v>
      </c>
      <c r="X897" s="16" t="s">
        <v>934</v>
      </c>
      <c r="Y897" s="16" t="s">
        <v>934</v>
      </c>
      <c r="Z897" s="16" t="s">
        <v>935</v>
      </c>
      <c r="DA897" s="405" t="s">
        <v>5</v>
      </c>
      <c r="DB897" s="405" t="s">
        <v>363</v>
      </c>
      <c r="DC897" s="406" t="s">
        <v>85</v>
      </c>
      <c r="DD897" s="405" t="s">
        <v>917</v>
      </c>
      <c r="DE897" s="405" t="s">
        <v>5</v>
      </c>
      <c r="DF897" s="406" t="s">
        <v>85</v>
      </c>
      <c r="DG897" s="407">
        <v>45857</v>
      </c>
      <c r="DH897" s="405" t="s">
        <v>4622</v>
      </c>
      <c r="DI897" s="406">
        <v>465455</v>
      </c>
      <c r="DJ897" s="408">
        <v>5</v>
      </c>
      <c r="DK897" s="405">
        <v>1</v>
      </c>
      <c r="DL897" s="82">
        <v>332.47</v>
      </c>
      <c r="DM897" s="409">
        <v>1.6623500000000002</v>
      </c>
      <c r="DN897" s="82" t="s">
        <v>85</v>
      </c>
      <c r="DO897" s="82" t="s">
        <v>85</v>
      </c>
      <c r="DP897" s="410" t="s">
        <v>85</v>
      </c>
    </row>
    <row r="898" spans="1:120" x14ac:dyDescent="0.25">
      <c r="A898" s="16" t="s">
        <v>4626</v>
      </c>
      <c r="B898" s="16" t="s">
        <v>4627</v>
      </c>
      <c r="C898" s="16" t="s">
        <v>4628</v>
      </c>
      <c r="D898" s="16" t="s">
        <v>4389</v>
      </c>
      <c r="E898" s="16" t="s">
        <v>4629</v>
      </c>
      <c r="F898" s="16" t="s">
        <v>4630</v>
      </c>
      <c r="G898" s="16" t="s">
        <v>4631</v>
      </c>
      <c r="H898" s="16" t="s">
        <v>4632</v>
      </c>
      <c r="I898" s="16" t="s">
        <v>1456</v>
      </c>
      <c r="J898" s="16" t="s">
        <v>928</v>
      </c>
      <c r="K898" s="16" t="s">
        <v>1457</v>
      </c>
      <c r="L898" s="16" t="s">
        <v>85</v>
      </c>
      <c r="M898" s="16" t="s">
        <v>1322</v>
      </c>
      <c r="N898" s="16" t="s">
        <v>914</v>
      </c>
      <c r="O898" s="16" t="s">
        <v>1323</v>
      </c>
      <c r="P898" s="16" t="s">
        <v>914</v>
      </c>
      <c r="Q898" s="16" t="s">
        <v>1323</v>
      </c>
      <c r="R898" s="16" t="s">
        <v>915</v>
      </c>
      <c r="S898" s="16" t="s">
        <v>915</v>
      </c>
      <c r="T898" s="16" t="s">
        <v>1322</v>
      </c>
      <c r="U898" s="16" t="s">
        <v>1324</v>
      </c>
      <c r="V898" s="16" t="s">
        <v>916</v>
      </c>
      <c r="W898" s="16" t="s">
        <v>1324</v>
      </c>
      <c r="X898" s="16" t="s">
        <v>934</v>
      </c>
      <c r="Y898" s="16" t="s">
        <v>934</v>
      </c>
      <c r="Z898" s="16" t="s">
        <v>935</v>
      </c>
      <c r="DA898" s="405" t="s">
        <v>5</v>
      </c>
      <c r="DB898" s="405" t="s">
        <v>363</v>
      </c>
      <c r="DC898" s="406" t="s">
        <v>85</v>
      </c>
      <c r="DD898" s="405" t="s">
        <v>917</v>
      </c>
      <c r="DE898" s="405" t="s">
        <v>5</v>
      </c>
      <c r="DF898" s="406" t="s">
        <v>85</v>
      </c>
      <c r="DG898" s="407">
        <v>45857</v>
      </c>
      <c r="DH898" s="405" t="s">
        <v>4629</v>
      </c>
      <c r="DI898" s="406">
        <v>465455</v>
      </c>
      <c r="DJ898" s="408">
        <v>5</v>
      </c>
      <c r="DK898" s="405">
        <v>1</v>
      </c>
      <c r="DL898" s="82">
        <v>332.47</v>
      </c>
      <c r="DM898" s="409">
        <v>1.6623500000000002</v>
      </c>
      <c r="DN898" s="82" t="s">
        <v>85</v>
      </c>
      <c r="DO898" s="82" t="s">
        <v>85</v>
      </c>
      <c r="DP898" s="410" t="s">
        <v>85</v>
      </c>
    </row>
    <row r="899" spans="1:120" x14ac:dyDescent="0.25">
      <c r="A899" s="16" t="s">
        <v>4633</v>
      </c>
      <c r="B899" s="16" t="s">
        <v>4634</v>
      </c>
      <c r="C899" s="16" t="s">
        <v>4635</v>
      </c>
      <c r="D899" s="16" t="s">
        <v>4389</v>
      </c>
      <c r="E899" s="16" t="s">
        <v>4636</v>
      </c>
      <c r="F899" s="16" t="s">
        <v>4637</v>
      </c>
      <c r="G899" s="16" t="s">
        <v>4638</v>
      </c>
      <c r="H899" s="16" t="s">
        <v>4637</v>
      </c>
      <c r="I899" s="16" t="s">
        <v>3164</v>
      </c>
      <c r="J899" s="16" t="s">
        <v>995</v>
      </c>
      <c r="K899" s="16" t="s">
        <v>3165</v>
      </c>
      <c r="L899" s="16" t="s">
        <v>85</v>
      </c>
      <c r="M899" s="16" t="s">
        <v>1165</v>
      </c>
      <c r="N899" s="16" t="s">
        <v>914</v>
      </c>
      <c r="O899" s="16" t="s">
        <v>1166</v>
      </c>
      <c r="P899" s="16" t="s">
        <v>914</v>
      </c>
      <c r="Q899" s="16" t="s">
        <v>1166</v>
      </c>
      <c r="R899" s="16" t="s">
        <v>915</v>
      </c>
      <c r="S899" s="16" t="s">
        <v>915</v>
      </c>
      <c r="T899" s="16" t="s">
        <v>1167</v>
      </c>
      <c r="U899" s="16" t="s">
        <v>1168</v>
      </c>
      <c r="V899" s="16" t="s">
        <v>916</v>
      </c>
      <c r="W899" s="16" t="s">
        <v>1168</v>
      </c>
      <c r="X899" s="16" t="s">
        <v>934</v>
      </c>
      <c r="Y899" s="16" t="s">
        <v>934</v>
      </c>
      <c r="Z899" s="16" t="s">
        <v>935</v>
      </c>
      <c r="DA899" s="405" t="s">
        <v>5</v>
      </c>
      <c r="DB899" s="405" t="s">
        <v>363</v>
      </c>
      <c r="DC899" s="406" t="s">
        <v>85</v>
      </c>
      <c r="DD899" s="405" t="s">
        <v>917</v>
      </c>
      <c r="DE899" s="405" t="s">
        <v>5</v>
      </c>
      <c r="DF899" s="406" t="s">
        <v>85</v>
      </c>
      <c r="DG899" s="407">
        <v>45857</v>
      </c>
      <c r="DH899" s="405" t="s">
        <v>4636</v>
      </c>
      <c r="DI899" s="406">
        <v>465455</v>
      </c>
      <c r="DJ899" s="408">
        <v>5</v>
      </c>
      <c r="DK899" s="405">
        <v>1</v>
      </c>
      <c r="DL899" s="82">
        <v>468.28</v>
      </c>
      <c r="DM899" s="409">
        <v>2.3413999999999997</v>
      </c>
      <c r="DN899" s="82" t="s">
        <v>85</v>
      </c>
      <c r="DO899" s="82" t="s">
        <v>85</v>
      </c>
      <c r="DP899" s="410" t="s">
        <v>85</v>
      </c>
    </row>
    <row r="900" spans="1:120" x14ac:dyDescent="0.25">
      <c r="A900" s="16" t="s">
        <v>4639</v>
      </c>
      <c r="B900" s="16" t="s">
        <v>4640</v>
      </c>
      <c r="C900" s="16" t="s">
        <v>4641</v>
      </c>
      <c r="D900" s="16" t="s">
        <v>4389</v>
      </c>
      <c r="E900" s="16" t="s">
        <v>4642</v>
      </c>
      <c r="F900" s="16" t="s">
        <v>4643</v>
      </c>
      <c r="G900" s="16" t="s">
        <v>4644</v>
      </c>
      <c r="H900" s="16" t="s">
        <v>4643</v>
      </c>
      <c r="I900" s="16" t="s">
        <v>1248</v>
      </c>
      <c r="J900" s="16" t="s">
        <v>995</v>
      </c>
      <c r="K900" s="16" t="s">
        <v>1249</v>
      </c>
      <c r="L900" s="16" t="s">
        <v>85</v>
      </c>
      <c r="M900" s="16" t="s">
        <v>1165</v>
      </c>
      <c r="N900" s="16" t="s">
        <v>914</v>
      </c>
      <c r="O900" s="16" t="s">
        <v>1166</v>
      </c>
      <c r="P900" s="16" t="s">
        <v>914</v>
      </c>
      <c r="Q900" s="16" t="s">
        <v>1166</v>
      </c>
      <c r="R900" s="16" t="s">
        <v>915</v>
      </c>
      <c r="S900" s="16" t="s">
        <v>915</v>
      </c>
      <c r="T900" s="16" t="s">
        <v>1167</v>
      </c>
      <c r="U900" s="16" t="s">
        <v>1168</v>
      </c>
      <c r="V900" s="16" t="s">
        <v>916</v>
      </c>
      <c r="W900" s="16" t="s">
        <v>1168</v>
      </c>
      <c r="X900" s="16" t="s">
        <v>934</v>
      </c>
      <c r="Y900" s="16" t="s">
        <v>934</v>
      </c>
      <c r="Z900" s="16" t="s">
        <v>935</v>
      </c>
      <c r="DA900" s="405" t="s">
        <v>5</v>
      </c>
      <c r="DB900" s="405" t="s">
        <v>363</v>
      </c>
      <c r="DC900" s="406" t="s">
        <v>85</v>
      </c>
      <c r="DD900" s="405" t="s">
        <v>917</v>
      </c>
      <c r="DE900" s="405" t="s">
        <v>5</v>
      </c>
      <c r="DF900" s="406" t="s">
        <v>85</v>
      </c>
      <c r="DG900" s="407">
        <v>45857</v>
      </c>
      <c r="DH900" s="405" t="s">
        <v>4642</v>
      </c>
      <c r="DI900" s="406">
        <v>465455</v>
      </c>
      <c r="DJ900" s="408">
        <v>5</v>
      </c>
      <c r="DK900" s="405">
        <v>1</v>
      </c>
      <c r="DL900" s="82">
        <v>468.28</v>
      </c>
      <c r="DM900" s="409">
        <v>2.3413999999999997</v>
      </c>
      <c r="DN900" s="82" t="s">
        <v>85</v>
      </c>
      <c r="DO900" s="82" t="s">
        <v>85</v>
      </c>
      <c r="DP900" s="410" t="s">
        <v>85</v>
      </c>
    </row>
    <row r="901" spans="1:120" x14ac:dyDescent="0.25">
      <c r="A901" s="16" t="s">
        <v>4645</v>
      </c>
      <c r="B901" s="16" t="s">
        <v>4646</v>
      </c>
      <c r="C901" s="16" t="s">
        <v>4647</v>
      </c>
      <c r="D901" s="16" t="s">
        <v>4389</v>
      </c>
      <c r="E901" s="16" t="s">
        <v>4648</v>
      </c>
      <c r="F901" s="16" t="s">
        <v>4649</v>
      </c>
      <c r="G901" s="16" t="s">
        <v>4650</v>
      </c>
      <c r="H901" s="16" t="s">
        <v>4651</v>
      </c>
      <c r="I901" s="16" t="s">
        <v>3164</v>
      </c>
      <c r="J901" s="16" t="s">
        <v>995</v>
      </c>
      <c r="K901" s="16" t="s">
        <v>3165</v>
      </c>
      <c r="L901" s="16" t="s">
        <v>85</v>
      </c>
      <c r="M901" s="16" t="s">
        <v>1165</v>
      </c>
      <c r="N901" s="16" t="s">
        <v>914</v>
      </c>
      <c r="O901" s="16" t="s">
        <v>1166</v>
      </c>
      <c r="P901" s="16" t="s">
        <v>914</v>
      </c>
      <c r="Q901" s="16" t="s">
        <v>1166</v>
      </c>
      <c r="R901" s="16" t="s">
        <v>915</v>
      </c>
      <c r="S901" s="16" t="s">
        <v>915</v>
      </c>
      <c r="T901" s="16" t="s">
        <v>1167</v>
      </c>
      <c r="U901" s="16" t="s">
        <v>1168</v>
      </c>
      <c r="V901" s="16" t="s">
        <v>916</v>
      </c>
      <c r="W901" s="16" t="s">
        <v>1168</v>
      </c>
      <c r="X901" s="16" t="s">
        <v>934</v>
      </c>
      <c r="Y901" s="16" t="s">
        <v>934</v>
      </c>
      <c r="Z901" s="16" t="s">
        <v>935</v>
      </c>
      <c r="DA901" s="405" t="s">
        <v>5</v>
      </c>
      <c r="DB901" s="405" t="s">
        <v>363</v>
      </c>
      <c r="DC901" s="406" t="s">
        <v>85</v>
      </c>
      <c r="DD901" s="405" t="s">
        <v>917</v>
      </c>
      <c r="DE901" s="405" t="s">
        <v>5</v>
      </c>
      <c r="DF901" s="406" t="s">
        <v>85</v>
      </c>
      <c r="DG901" s="407">
        <v>45857</v>
      </c>
      <c r="DH901" s="405" t="s">
        <v>4648</v>
      </c>
      <c r="DI901" s="406">
        <v>465455</v>
      </c>
      <c r="DJ901" s="408">
        <v>5</v>
      </c>
      <c r="DK901" s="405">
        <v>1</v>
      </c>
      <c r="DL901" s="82">
        <v>468.28</v>
      </c>
      <c r="DM901" s="409">
        <v>2.3413999999999997</v>
      </c>
      <c r="DN901" s="82" t="s">
        <v>85</v>
      </c>
      <c r="DO901" s="82" t="s">
        <v>85</v>
      </c>
      <c r="DP901" s="410" t="s">
        <v>85</v>
      </c>
    </row>
    <row r="902" spans="1:120" x14ac:dyDescent="0.25">
      <c r="A902" s="16" t="s">
        <v>4652</v>
      </c>
      <c r="B902" s="16" t="s">
        <v>4653</v>
      </c>
      <c r="C902" s="16" t="s">
        <v>4654</v>
      </c>
      <c r="D902" s="16" t="s">
        <v>4389</v>
      </c>
      <c r="E902" s="16" t="s">
        <v>4655</v>
      </c>
      <c r="F902" s="16" t="s">
        <v>4656</v>
      </c>
      <c r="G902" s="16" t="s">
        <v>4657</v>
      </c>
      <c r="H902" s="16" t="s">
        <v>4658</v>
      </c>
      <c r="I902" s="16" t="s">
        <v>4659</v>
      </c>
      <c r="J902" s="16" t="s">
        <v>1509</v>
      </c>
      <c r="K902" s="16" t="s">
        <v>4660</v>
      </c>
      <c r="L902" s="16" t="s">
        <v>85</v>
      </c>
      <c r="M902" s="16" t="s">
        <v>1511</v>
      </c>
      <c r="N902" s="16" t="s">
        <v>914</v>
      </c>
      <c r="O902" s="16" t="s">
        <v>1512</v>
      </c>
      <c r="P902" s="16" t="s">
        <v>914</v>
      </c>
      <c r="Q902" s="16" t="s">
        <v>1512</v>
      </c>
      <c r="R902" s="16" t="s">
        <v>915</v>
      </c>
      <c r="S902" s="16" t="s">
        <v>915</v>
      </c>
      <c r="T902" s="16" t="s">
        <v>1511</v>
      </c>
      <c r="U902" s="16" t="s">
        <v>1513</v>
      </c>
      <c r="V902" s="16" t="s">
        <v>916</v>
      </c>
      <c r="W902" s="16" t="s">
        <v>1513</v>
      </c>
      <c r="X902" s="16" t="s">
        <v>934</v>
      </c>
      <c r="Y902" s="16" t="s">
        <v>934</v>
      </c>
      <c r="Z902" s="16" t="s">
        <v>935</v>
      </c>
      <c r="DA902" s="405" t="s">
        <v>5</v>
      </c>
      <c r="DB902" s="405" t="s">
        <v>363</v>
      </c>
      <c r="DC902" s="406" t="s">
        <v>85</v>
      </c>
      <c r="DD902" s="405" t="s">
        <v>917</v>
      </c>
      <c r="DE902" s="405" t="s">
        <v>5</v>
      </c>
      <c r="DF902" s="406" t="s">
        <v>85</v>
      </c>
      <c r="DG902" s="407">
        <v>45857</v>
      </c>
      <c r="DH902" s="405" t="s">
        <v>4655</v>
      </c>
      <c r="DI902" s="406">
        <v>465455</v>
      </c>
      <c r="DJ902" s="408">
        <v>5</v>
      </c>
      <c r="DK902" s="405">
        <v>1</v>
      </c>
      <c r="DL902" s="82">
        <v>526.82000000000005</v>
      </c>
      <c r="DM902" s="409">
        <v>2.6341000000000001</v>
      </c>
      <c r="DN902" s="82" t="s">
        <v>85</v>
      </c>
      <c r="DO902" s="82" t="s">
        <v>85</v>
      </c>
      <c r="DP902" s="410" t="s">
        <v>85</v>
      </c>
    </row>
    <row r="903" spans="1:120" x14ac:dyDescent="0.25">
      <c r="A903" s="16" t="s">
        <v>4661</v>
      </c>
      <c r="B903" s="16" t="s">
        <v>4662</v>
      </c>
      <c r="C903" s="16" t="s">
        <v>4663</v>
      </c>
      <c r="D903" s="16" t="s">
        <v>4389</v>
      </c>
      <c r="E903" s="16" t="s">
        <v>4664</v>
      </c>
      <c r="F903" s="16" t="s">
        <v>4665</v>
      </c>
      <c r="G903" s="16" t="s">
        <v>4666</v>
      </c>
      <c r="H903" s="16" t="s">
        <v>4667</v>
      </c>
      <c r="I903" s="16" t="s">
        <v>1638</v>
      </c>
      <c r="J903" s="16" t="s">
        <v>943</v>
      </c>
      <c r="K903" s="16" t="s">
        <v>1639</v>
      </c>
      <c r="L903" s="16" t="s">
        <v>85</v>
      </c>
      <c r="M903" s="16" t="s">
        <v>984</v>
      </c>
      <c r="N903" s="16" t="s">
        <v>914</v>
      </c>
      <c r="O903" s="16" t="s">
        <v>985</v>
      </c>
      <c r="P903" s="16" t="s">
        <v>914</v>
      </c>
      <c r="Q903" s="16" t="s">
        <v>985</v>
      </c>
      <c r="R903" s="16" t="s">
        <v>915</v>
      </c>
      <c r="S903" s="16" t="s">
        <v>915</v>
      </c>
      <c r="T903" s="16" t="s">
        <v>986</v>
      </c>
      <c r="U903" s="16" t="s">
        <v>987</v>
      </c>
      <c r="V903" s="16" t="s">
        <v>916</v>
      </c>
      <c r="W903" s="16" t="s">
        <v>987</v>
      </c>
      <c r="X903" s="16" t="s">
        <v>934</v>
      </c>
      <c r="Y903" s="16" t="s">
        <v>934</v>
      </c>
      <c r="Z903" s="16" t="s">
        <v>935</v>
      </c>
      <c r="DA903" s="405" t="s">
        <v>5</v>
      </c>
      <c r="DB903" s="405" t="s">
        <v>363</v>
      </c>
      <c r="DC903" s="406" t="s">
        <v>85</v>
      </c>
      <c r="DD903" s="405" t="s">
        <v>917</v>
      </c>
      <c r="DE903" s="405" t="s">
        <v>5</v>
      </c>
      <c r="DF903" s="406" t="s">
        <v>85</v>
      </c>
      <c r="DG903" s="407">
        <v>45857</v>
      </c>
      <c r="DH903" s="405" t="s">
        <v>4664</v>
      </c>
      <c r="DI903" s="406">
        <v>465455</v>
      </c>
      <c r="DJ903" s="408">
        <v>5</v>
      </c>
      <c r="DK903" s="405">
        <v>1</v>
      </c>
      <c r="DL903" s="82">
        <v>340.55</v>
      </c>
      <c r="DM903" s="409">
        <v>1.70275</v>
      </c>
      <c r="DN903" s="82" t="s">
        <v>85</v>
      </c>
      <c r="DO903" s="82" t="s">
        <v>85</v>
      </c>
      <c r="DP903" s="410" t="s">
        <v>85</v>
      </c>
    </row>
    <row r="904" spans="1:120" x14ac:dyDescent="0.25">
      <c r="A904" s="16" t="s">
        <v>4668</v>
      </c>
      <c r="B904" s="16" t="s">
        <v>4669</v>
      </c>
      <c r="C904" s="16" t="s">
        <v>4670</v>
      </c>
      <c r="D904" s="16" t="s">
        <v>4389</v>
      </c>
      <c r="E904" s="16" t="s">
        <v>4671</v>
      </c>
      <c r="F904" s="16" t="s">
        <v>4672</v>
      </c>
      <c r="G904" s="16" t="s">
        <v>4673</v>
      </c>
      <c r="H904" s="16" t="s">
        <v>4674</v>
      </c>
      <c r="I904" s="16" t="s">
        <v>1456</v>
      </c>
      <c r="J904" s="16" t="s">
        <v>928</v>
      </c>
      <c r="K904" s="16" t="s">
        <v>1457</v>
      </c>
      <c r="L904" s="16" t="s">
        <v>85</v>
      </c>
      <c r="M904" s="16" t="s">
        <v>1322</v>
      </c>
      <c r="N904" s="16" t="s">
        <v>914</v>
      </c>
      <c r="O904" s="16" t="s">
        <v>1323</v>
      </c>
      <c r="P904" s="16" t="s">
        <v>914</v>
      </c>
      <c r="Q904" s="16" t="s">
        <v>1323</v>
      </c>
      <c r="R904" s="16" t="s">
        <v>915</v>
      </c>
      <c r="S904" s="16" t="s">
        <v>915</v>
      </c>
      <c r="T904" s="16" t="s">
        <v>1322</v>
      </c>
      <c r="U904" s="16" t="s">
        <v>1324</v>
      </c>
      <c r="V904" s="16" t="s">
        <v>916</v>
      </c>
      <c r="W904" s="16" t="s">
        <v>1324</v>
      </c>
      <c r="X904" s="16" t="s">
        <v>934</v>
      </c>
      <c r="Y904" s="16" t="s">
        <v>934</v>
      </c>
      <c r="Z904" s="16" t="s">
        <v>935</v>
      </c>
      <c r="DA904" s="405" t="s">
        <v>5</v>
      </c>
      <c r="DB904" s="405" t="s">
        <v>363</v>
      </c>
      <c r="DC904" s="406" t="s">
        <v>85</v>
      </c>
      <c r="DD904" s="405" t="s">
        <v>917</v>
      </c>
      <c r="DE904" s="405" t="s">
        <v>5</v>
      </c>
      <c r="DF904" s="406" t="s">
        <v>85</v>
      </c>
      <c r="DG904" s="407">
        <v>45857</v>
      </c>
      <c r="DH904" s="405" t="s">
        <v>4671</v>
      </c>
      <c r="DI904" s="406">
        <v>465455</v>
      </c>
      <c r="DJ904" s="408">
        <v>5</v>
      </c>
      <c r="DK904" s="405">
        <v>1</v>
      </c>
      <c r="DL904" s="82">
        <v>332.47</v>
      </c>
      <c r="DM904" s="409">
        <v>1.6623500000000002</v>
      </c>
      <c r="DN904" s="82" t="s">
        <v>85</v>
      </c>
      <c r="DO904" s="82" t="s">
        <v>85</v>
      </c>
      <c r="DP904" s="410" t="s">
        <v>85</v>
      </c>
    </row>
    <row r="905" spans="1:120" x14ac:dyDescent="0.25">
      <c r="A905" s="16" t="s">
        <v>4675</v>
      </c>
      <c r="B905" s="16" t="s">
        <v>4676</v>
      </c>
      <c r="C905" s="16" t="s">
        <v>4677</v>
      </c>
      <c r="D905" s="16" t="s">
        <v>4389</v>
      </c>
      <c r="E905" s="16" t="s">
        <v>4678</v>
      </c>
      <c r="F905" s="16" t="s">
        <v>4679</v>
      </c>
      <c r="G905" s="16" t="s">
        <v>4680</v>
      </c>
      <c r="H905" s="16" t="s">
        <v>4679</v>
      </c>
      <c r="I905" s="16" t="s">
        <v>2822</v>
      </c>
      <c r="J905" s="16" t="s">
        <v>943</v>
      </c>
      <c r="K905" s="16" t="s">
        <v>2823</v>
      </c>
      <c r="L905" s="16" t="s">
        <v>85</v>
      </c>
      <c r="M905" s="16" t="s">
        <v>984</v>
      </c>
      <c r="N905" s="16" t="s">
        <v>914</v>
      </c>
      <c r="O905" s="16" t="s">
        <v>985</v>
      </c>
      <c r="P905" s="16" t="s">
        <v>914</v>
      </c>
      <c r="Q905" s="16" t="s">
        <v>985</v>
      </c>
      <c r="R905" s="16" t="s">
        <v>915</v>
      </c>
      <c r="S905" s="16" t="s">
        <v>915</v>
      </c>
      <c r="T905" s="16" t="s">
        <v>986</v>
      </c>
      <c r="U905" s="16" t="s">
        <v>987</v>
      </c>
      <c r="V905" s="16" t="s">
        <v>916</v>
      </c>
      <c r="W905" s="16" t="s">
        <v>987</v>
      </c>
      <c r="X905" s="16" t="s">
        <v>934</v>
      </c>
      <c r="Y905" s="16" t="s">
        <v>934</v>
      </c>
      <c r="Z905" s="16" t="s">
        <v>935</v>
      </c>
      <c r="DA905" s="405" t="s">
        <v>5</v>
      </c>
      <c r="DB905" s="405" t="s">
        <v>363</v>
      </c>
      <c r="DC905" s="406" t="s">
        <v>85</v>
      </c>
      <c r="DD905" s="405" t="s">
        <v>917</v>
      </c>
      <c r="DE905" s="405" t="s">
        <v>5</v>
      </c>
      <c r="DF905" s="406" t="s">
        <v>85</v>
      </c>
      <c r="DG905" s="407">
        <v>45857</v>
      </c>
      <c r="DH905" s="405" t="s">
        <v>4678</v>
      </c>
      <c r="DI905" s="406">
        <v>465455</v>
      </c>
      <c r="DJ905" s="408">
        <v>5</v>
      </c>
      <c r="DK905" s="405">
        <v>1</v>
      </c>
      <c r="DL905" s="82">
        <v>340.55</v>
      </c>
      <c r="DM905" s="409">
        <v>1.70275</v>
      </c>
      <c r="DN905" s="82" t="s">
        <v>85</v>
      </c>
      <c r="DO905" s="82" t="s">
        <v>85</v>
      </c>
      <c r="DP905" s="410" t="s">
        <v>85</v>
      </c>
    </row>
    <row r="906" spans="1:120" x14ac:dyDescent="0.25">
      <c r="A906" s="16" t="s">
        <v>4681</v>
      </c>
      <c r="B906" s="16" t="s">
        <v>4682</v>
      </c>
      <c r="C906" s="16" t="s">
        <v>4683</v>
      </c>
      <c r="D906" s="16" t="s">
        <v>4389</v>
      </c>
      <c r="E906" s="16" t="s">
        <v>4684</v>
      </c>
      <c r="F906" s="16" t="s">
        <v>4685</v>
      </c>
      <c r="G906" s="16" t="s">
        <v>4686</v>
      </c>
      <c r="H906" s="16" t="s">
        <v>4687</v>
      </c>
      <c r="I906" s="16" t="s">
        <v>1386</v>
      </c>
      <c r="J906" s="16" t="s">
        <v>1109</v>
      </c>
      <c r="K906" s="16" t="s">
        <v>1387</v>
      </c>
      <c r="L906" s="16" t="s">
        <v>85</v>
      </c>
      <c r="M906" s="16" t="s">
        <v>1311</v>
      </c>
      <c r="N906" s="16" t="s">
        <v>914</v>
      </c>
      <c r="O906" s="16" t="s">
        <v>1312</v>
      </c>
      <c r="P906" s="16" t="s">
        <v>914</v>
      </c>
      <c r="Q906" s="16" t="s">
        <v>1312</v>
      </c>
      <c r="R906" s="16" t="s">
        <v>915</v>
      </c>
      <c r="S906" s="16" t="s">
        <v>915</v>
      </c>
      <c r="T906" s="16" t="s">
        <v>1311</v>
      </c>
      <c r="U906" s="16" t="s">
        <v>1313</v>
      </c>
      <c r="V906" s="16" t="s">
        <v>916</v>
      </c>
      <c r="W906" s="16" t="s">
        <v>1313</v>
      </c>
      <c r="X906" s="16" t="s">
        <v>934</v>
      </c>
      <c r="Y906" s="16" t="s">
        <v>934</v>
      </c>
      <c r="Z906" s="16" t="s">
        <v>935</v>
      </c>
      <c r="DA906" s="405" t="s">
        <v>5</v>
      </c>
      <c r="DB906" s="405" t="s">
        <v>363</v>
      </c>
      <c r="DC906" s="406" t="s">
        <v>85</v>
      </c>
      <c r="DD906" s="405" t="s">
        <v>917</v>
      </c>
      <c r="DE906" s="405" t="s">
        <v>5</v>
      </c>
      <c r="DF906" s="406" t="s">
        <v>85</v>
      </c>
      <c r="DG906" s="407">
        <v>45857</v>
      </c>
      <c r="DH906" s="405" t="s">
        <v>4684</v>
      </c>
      <c r="DI906" s="406">
        <v>465455</v>
      </c>
      <c r="DJ906" s="408">
        <v>5</v>
      </c>
      <c r="DK906" s="405">
        <v>1</v>
      </c>
      <c r="DL906" s="82">
        <v>531.54</v>
      </c>
      <c r="DM906" s="409">
        <v>2.6576999999999997</v>
      </c>
      <c r="DN906" s="82" t="s">
        <v>85</v>
      </c>
      <c r="DO906" s="82" t="s">
        <v>85</v>
      </c>
      <c r="DP906" s="410" t="s">
        <v>85</v>
      </c>
    </row>
    <row r="907" spans="1:120" x14ac:dyDescent="0.25">
      <c r="A907" s="16" t="s">
        <v>4688</v>
      </c>
      <c r="B907" s="16" t="s">
        <v>4689</v>
      </c>
      <c r="C907" s="16" t="s">
        <v>4690</v>
      </c>
      <c r="D907" s="16" t="s">
        <v>4389</v>
      </c>
      <c r="E907" s="16" t="s">
        <v>4691</v>
      </c>
      <c r="F907" s="16" t="s">
        <v>4692</v>
      </c>
      <c r="G907" s="16" t="s">
        <v>4693</v>
      </c>
      <c r="H907" s="16" t="s">
        <v>4692</v>
      </c>
      <c r="I907" s="16" t="s">
        <v>1377</v>
      </c>
      <c r="J907" s="16" t="s">
        <v>943</v>
      </c>
      <c r="K907" s="16" t="s">
        <v>1378</v>
      </c>
      <c r="L907" s="16" t="s">
        <v>85</v>
      </c>
      <c r="M907" s="16" t="s">
        <v>984</v>
      </c>
      <c r="N907" s="16" t="s">
        <v>914</v>
      </c>
      <c r="O907" s="16" t="s">
        <v>985</v>
      </c>
      <c r="P907" s="16" t="s">
        <v>914</v>
      </c>
      <c r="Q907" s="16" t="s">
        <v>985</v>
      </c>
      <c r="R907" s="16" t="s">
        <v>915</v>
      </c>
      <c r="S907" s="16" t="s">
        <v>915</v>
      </c>
      <c r="T907" s="16" t="s">
        <v>986</v>
      </c>
      <c r="U907" s="16" t="s">
        <v>987</v>
      </c>
      <c r="V907" s="16" t="s">
        <v>916</v>
      </c>
      <c r="W907" s="16" t="s">
        <v>987</v>
      </c>
      <c r="X907" s="16" t="s">
        <v>934</v>
      </c>
      <c r="Y907" s="16" t="s">
        <v>934</v>
      </c>
      <c r="Z907" s="16" t="s">
        <v>935</v>
      </c>
      <c r="DA907" s="405" t="s">
        <v>5</v>
      </c>
      <c r="DB907" s="405" t="s">
        <v>363</v>
      </c>
      <c r="DC907" s="406" t="s">
        <v>85</v>
      </c>
      <c r="DD907" s="405" t="s">
        <v>917</v>
      </c>
      <c r="DE907" s="405" t="s">
        <v>5</v>
      </c>
      <c r="DF907" s="406" t="s">
        <v>85</v>
      </c>
      <c r="DG907" s="407">
        <v>45857</v>
      </c>
      <c r="DH907" s="405" t="s">
        <v>4691</v>
      </c>
      <c r="DI907" s="406">
        <v>465455</v>
      </c>
      <c r="DJ907" s="408">
        <v>5</v>
      </c>
      <c r="DK907" s="405">
        <v>1</v>
      </c>
      <c r="DL907" s="82">
        <v>340.55</v>
      </c>
      <c r="DM907" s="409">
        <v>1.70275</v>
      </c>
      <c r="DN907" s="82" t="s">
        <v>85</v>
      </c>
      <c r="DO907" s="82" t="s">
        <v>85</v>
      </c>
      <c r="DP907" s="410" t="s">
        <v>85</v>
      </c>
    </row>
    <row r="908" spans="1:120" x14ac:dyDescent="0.25">
      <c r="A908" s="16" t="s">
        <v>4694</v>
      </c>
      <c r="B908" s="16" t="s">
        <v>4695</v>
      </c>
      <c r="C908" s="16" t="s">
        <v>4696</v>
      </c>
      <c r="D908" s="16" t="s">
        <v>4389</v>
      </c>
      <c r="E908" s="16" t="s">
        <v>4697</v>
      </c>
      <c r="F908" s="16" t="s">
        <v>4698</v>
      </c>
      <c r="G908" s="16" t="s">
        <v>4699</v>
      </c>
      <c r="H908" s="16" t="s">
        <v>4698</v>
      </c>
      <c r="I908" s="16" t="s">
        <v>1026</v>
      </c>
      <c r="J908" s="16" t="s">
        <v>943</v>
      </c>
      <c r="K908" s="16" t="s">
        <v>1027</v>
      </c>
      <c r="L908" s="16" t="s">
        <v>85</v>
      </c>
      <c r="M908" s="16" t="s">
        <v>984</v>
      </c>
      <c r="N908" s="16" t="s">
        <v>914</v>
      </c>
      <c r="O908" s="16" t="s">
        <v>985</v>
      </c>
      <c r="P908" s="16" t="s">
        <v>914</v>
      </c>
      <c r="Q908" s="16" t="s">
        <v>985</v>
      </c>
      <c r="R908" s="16" t="s">
        <v>915</v>
      </c>
      <c r="S908" s="16" t="s">
        <v>915</v>
      </c>
      <c r="T908" s="16" t="s">
        <v>986</v>
      </c>
      <c r="U908" s="16" t="s">
        <v>987</v>
      </c>
      <c r="V908" s="16" t="s">
        <v>916</v>
      </c>
      <c r="W908" s="16" t="s">
        <v>987</v>
      </c>
      <c r="X908" s="16" t="s">
        <v>934</v>
      </c>
      <c r="Y908" s="16" t="s">
        <v>934</v>
      </c>
      <c r="Z908" s="16" t="s">
        <v>935</v>
      </c>
      <c r="DA908" s="405" t="s">
        <v>5</v>
      </c>
      <c r="DB908" s="405" t="s">
        <v>363</v>
      </c>
      <c r="DC908" s="406" t="s">
        <v>85</v>
      </c>
      <c r="DD908" s="405" t="s">
        <v>917</v>
      </c>
      <c r="DE908" s="405" t="s">
        <v>5</v>
      </c>
      <c r="DF908" s="406" t="s">
        <v>85</v>
      </c>
      <c r="DG908" s="407">
        <v>45857</v>
      </c>
      <c r="DH908" s="405" t="s">
        <v>4697</v>
      </c>
      <c r="DI908" s="406">
        <v>465455</v>
      </c>
      <c r="DJ908" s="408">
        <v>5</v>
      </c>
      <c r="DK908" s="405">
        <v>1</v>
      </c>
      <c r="DL908" s="82">
        <v>340.55</v>
      </c>
      <c r="DM908" s="409">
        <v>1.70275</v>
      </c>
      <c r="DN908" s="82" t="s">
        <v>85</v>
      </c>
      <c r="DO908" s="82" t="s">
        <v>85</v>
      </c>
      <c r="DP908" s="410" t="s">
        <v>85</v>
      </c>
    </row>
    <row r="909" spans="1:120" x14ac:dyDescent="0.25">
      <c r="A909" s="16" t="s">
        <v>4700</v>
      </c>
      <c r="B909" s="16" t="s">
        <v>4701</v>
      </c>
      <c r="C909" s="16" t="s">
        <v>4702</v>
      </c>
      <c r="D909" s="16" t="s">
        <v>4389</v>
      </c>
      <c r="E909" s="16" t="s">
        <v>4703</v>
      </c>
      <c r="F909" s="16" t="s">
        <v>4704</v>
      </c>
      <c r="G909" s="16" t="s">
        <v>4705</v>
      </c>
      <c r="H909" s="16" t="s">
        <v>4704</v>
      </c>
      <c r="I909" s="16" t="s">
        <v>2056</v>
      </c>
      <c r="J909" s="16" t="s">
        <v>943</v>
      </c>
      <c r="K909" s="16" t="s">
        <v>2057</v>
      </c>
      <c r="L909" s="16" t="s">
        <v>85</v>
      </c>
      <c r="M909" s="16" t="s">
        <v>984</v>
      </c>
      <c r="N909" s="16" t="s">
        <v>914</v>
      </c>
      <c r="O909" s="16" t="s">
        <v>985</v>
      </c>
      <c r="P909" s="16" t="s">
        <v>914</v>
      </c>
      <c r="Q909" s="16" t="s">
        <v>985</v>
      </c>
      <c r="R909" s="16" t="s">
        <v>915</v>
      </c>
      <c r="S909" s="16" t="s">
        <v>915</v>
      </c>
      <c r="T909" s="16" t="s">
        <v>986</v>
      </c>
      <c r="U909" s="16" t="s">
        <v>987</v>
      </c>
      <c r="V909" s="16" t="s">
        <v>916</v>
      </c>
      <c r="W909" s="16" t="s">
        <v>987</v>
      </c>
      <c r="X909" s="16" t="s">
        <v>934</v>
      </c>
      <c r="Y909" s="16" t="s">
        <v>934</v>
      </c>
      <c r="Z909" s="16" t="s">
        <v>935</v>
      </c>
      <c r="DA909" s="405" t="s">
        <v>5</v>
      </c>
      <c r="DB909" s="405" t="s">
        <v>363</v>
      </c>
      <c r="DC909" s="406" t="s">
        <v>85</v>
      </c>
      <c r="DD909" s="405" t="s">
        <v>917</v>
      </c>
      <c r="DE909" s="405" t="s">
        <v>5</v>
      </c>
      <c r="DF909" s="406" t="s">
        <v>85</v>
      </c>
      <c r="DG909" s="407">
        <v>45857</v>
      </c>
      <c r="DH909" s="405" t="s">
        <v>4703</v>
      </c>
      <c r="DI909" s="406">
        <v>465455</v>
      </c>
      <c r="DJ909" s="408">
        <v>5</v>
      </c>
      <c r="DK909" s="405">
        <v>1</v>
      </c>
      <c r="DL909" s="82">
        <v>340.55</v>
      </c>
      <c r="DM909" s="409">
        <v>1.70275</v>
      </c>
      <c r="DN909" s="82" t="s">
        <v>85</v>
      </c>
      <c r="DO909" s="82" t="s">
        <v>85</v>
      </c>
      <c r="DP909" s="410" t="s">
        <v>85</v>
      </c>
    </row>
    <row r="910" spans="1:120" x14ac:dyDescent="0.25">
      <c r="A910" s="16" t="s">
        <v>4706</v>
      </c>
      <c r="B910" s="16" t="s">
        <v>4707</v>
      </c>
      <c r="C910" s="16" t="s">
        <v>4708</v>
      </c>
      <c r="D910" s="16" t="s">
        <v>4389</v>
      </c>
      <c r="E910" s="16" t="s">
        <v>4709</v>
      </c>
      <c r="F910" s="16" t="s">
        <v>4710</v>
      </c>
      <c r="G910" s="16" t="s">
        <v>4711</v>
      </c>
      <c r="H910" s="16" t="s">
        <v>4712</v>
      </c>
      <c r="I910" s="16" t="s">
        <v>2136</v>
      </c>
      <c r="J910" s="16" t="s">
        <v>943</v>
      </c>
      <c r="K910" s="16" t="s">
        <v>2137</v>
      </c>
      <c r="L910" s="16" t="s">
        <v>85</v>
      </c>
      <c r="M910" s="16" t="s">
        <v>984</v>
      </c>
      <c r="N910" s="16" t="s">
        <v>914</v>
      </c>
      <c r="O910" s="16" t="s">
        <v>985</v>
      </c>
      <c r="P910" s="16" t="s">
        <v>914</v>
      </c>
      <c r="Q910" s="16" t="s">
        <v>985</v>
      </c>
      <c r="R910" s="16" t="s">
        <v>915</v>
      </c>
      <c r="S910" s="16" t="s">
        <v>915</v>
      </c>
      <c r="T910" s="16" t="s">
        <v>986</v>
      </c>
      <c r="U910" s="16" t="s">
        <v>987</v>
      </c>
      <c r="V910" s="16" t="s">
        <v>916</v>
      </c>
      <c r="W910" s="16" t="s">
        <v>987</v>
      </c>
      <c r="X910" s="16" t="s">
        <v>934</v>
      </c>
      <c r="Y910" s="16" t="s">
        <v>934</v>
      </c>
      <c r="Z910" s="16" t="s">
        <v>935</v>
      </c>
      <c r="DA910" s="405" t="s">
        <v>5</v>
      </c>
      <c r="DB910" s="405" t="s">
        <v>363</v>
      </c>
      <c r="DC910" s="406" t="s">
        <v>85</v>
      </c>
      <c r="DD910" s="405" t="s">
        <v>917</v>
      </c>
      <c r="DE910" s="405" t="s">
        <v>5</v>
      </c>
      <c r="DF910" s="406" t="s">
        <v>85</v>
      </c>
      <c r="DG910" s="407">
        <v>45857</v>
      </c>
      <c r="DH910" s="405" t="s">
        <v>4709</v>
      </c>
      <c r="DI910" s="406">
        <v>465455</v>
      </c>
      <c r="DJ910" s="408">
        <v>5</v>
      </c>
      <c r="DK910" s="405">
        <v>1</v>
      </c>
      <c r="DL910" s="82">
        <v>340.55</v>
      </c>
      <c r="DM910" s="409">
        <v>1.70275</v>
      </c>
      <c r="DN910" s="82" t="s">
        <v>85</v>
      </c>
      <c r="DO910" s="82" t="s">
        <v>85</v>
      </c>
      <c r="DP910" s="410" t="s">
        <v>85</v>
      </c>
    </row>
    <row r="911" spans="1:120" x14ac:dyDescent="0.25">
      <c r="A911" s="16" t="s">
        <v>4275</v>
      </c>
      <c r="B911" s="16" t="s">
        <v>4276</v>
      </c>
      <c r="C911" s="16" t="s">
        <v>4277</v>
      </c>
      <c r="D911" s="16" t="s">
        <v>4278</v>
      </c>
      <c r="E911" s="16" t="s">
        <v>4279</v>
      </c>
      <c r="F911" s="16" t="s">
        <v>4280</v>
      </c>
      <c r="G911" s="16" t="s">
        <v>4281</v>
      </c>
      <c r="H911" s="16" t="s">
        <v>4280</v>
      </c>
      <c r="I911" s="16" t="s">
        <v>968</v>
      </c>
      <c r="J911" s="16" t="s">
        <v>943</v>
      </c>
      <c r="K911" s="16" t="s">
        <v>969</v>
      </c>
      <c r="L911" s="16" t="s">
        <v>85</v>
      </c>
      <c r="M911" s="16" t="s">
        <v>984</v>
      </c>
      <c r="N911" s="16" t="s">
        <v>914</v>
      </c>
      <c r="O911" s="16" t="s">
        <v>985</v>
      </c>
      <c r="P911" s="16" t="s">
        <v>914</v>
      </c>
      <c r="Q911" s="16" t="s">
        <v>985</v>
      </c>
      <c r="R911" s="16" t="s">
        <v>915</v>
      </c>
      <c r="S911" s="16" t="s">
        <v>915</v>
      </c>
      <c r="T911" s="16" t="s">
        <v>986</v>
      </c>
      <c r="U911" s="16" t="s">
        <v>987</v>
      </c>
      <c r="V911" s="16" t="s">
        <v>916</v>
      </c>
      <c r="W911" s="16" t="s">
        <v>987</v>
      </c>
      <c r="X911" s="16" t="s">
        <v>934</v>
      </c>
      <c r="Y911" s="16" t="s">
        <v>934</v>
      </c>
      <c r="Z911" s="16" t="s">
        <v>935</v>
      </c>
      <c r="DA911" s="405" t="s">
        <v>5</v>
      </c>
      <c r="DB911" s="405" t="s">
        <v>363</v>
      </c>
      <c r="DC911" s="406" t="s">
        <v>85</v>
      </c>
      <c r="DD911" s="405" t="s">
        <v>917</v>
      </c>
      <c r="DE911" s="405" t="s">
        <v>5</v>
      </c>
      <c r="DF911" s="406" t="s">
        <v>85</v>
      </c>
      <c r="DG911" s="407">
        <v>45858</v>
      </c>
      <c r="DH911" s="405" t="s">
        <v>4279</v>
      </c>
      <c r="DI911" s="406">
        <v>465455</v>
      </c>
      <c r="DJ911" s="408">
        <v>5</v>
      </c>
      <c r="DK911" s="405">
        <v>1</v>
      </c>
      <c r="DL911" s="82">
        <v>340.55</v>
      </c>
      <c r="DM911" s="409">
        <v>1.70275</v>
      </c>
      <c r="DN911" s="82" t="s">
        <v>85</v>
      </c>
      <c r="DO911" s="82" t="s">
        <v>85</v>
      </c>
      <c r="DP911" s="410" t="s">
        <v>85</v>
      </c>
    </row>
    <row r="912" spans="1:120" x14ac:dyDescent="0.25">
      <c r="A912" s="16" t="s">
        <v>4282</v>
      </c>
      <c r="B912" s="16" t="s">
        <v>4283</v>
      </c>
      <c r="C912" s="16" t="s">
        <v>4284</v>
      </c>
      <c r="D912" s="16" t="s">
        <v>4278</v>
      </c>
      <c r="E912" s="16" t="s">
        <v>4285</v>
      </c>
      <c r="F912" s="16" t="s">
        <v>4286</v>
      </c>
      <c r="G912" s="16" t="s">
        <v>4287</v>
      </c>
      <c r="H912" s="16" t="s">
        <v>4288</v>
      </c>
      <c r="I912" s="16" t="s">
        <v>1584</v>
      </c>
      <c r="J912" s="16" t="s">
        <v>928</v>
      </c>
      <c r="K912" s="16" t="s">
        <v>1585</v>
      </c>
      <c r="L912" s="16" t="s">
        <v>85</v>
      </c>
      <c r="M912" s="16" t="s">
        <v>1322</v>
      </c>
      <c r="N912" s="16" t="s">
        <v>914</v>
      </c>
      <c r="O912" s="16" t="s">
        <v>1323</v>
      </c>
      <c r="P912" s="16" t="s">
        <v>914</v>
      </c>
      <c r="Q912" s="16" t="s">
        <v>1323</v>
      </c>
      <c r="R912" s="16" t="s">
        <v>915</v>
      </c>
      <c r="S912" s="16" t="s">
        <v>915</v>
      </c>
      <c r="T912" s="16" t="s">
        <v>1322</v>
      </c>
      <c r="U912" s="16" t="s">
        <v>1324</v>
      </c>
      <c r="V912" s="16" t="s">
        <v>916</v>
      </c>
      <c r="W912" s="16" t="s">
        <v>1324</v>
      </c>
      <c r="X912" s="16" t="s">
        <v>934</v>
      </c>
      <c r="Y912" s="16" t="s">
        <v>934</v>
      </c>
      <c r="Z912" s="16" t="s">
        <v>935</v>
      </c>
      <c r="DA912" s="405" t="s">
        <v>5</v>
      </c>
      <c r="DB912" s="405" t="s">
        <v>363</v>
      </c>
      <c r="DC912" s="406" t="s">
        <v>85</v>
      </c>
      <c r="DD912" s="405" t="s">
        <v>917</v>
      </c>
      <c r="DE912" s="405" t="s">
        <v>5</v>
      </c>
      <c r="DF912" s="406" t="s">
        <v>85</v>
      </c>
      <c r="DG912" s="407">
        <v>45858</v>
      </c>
      <c r="DH912" s="405" t="s">
        <v>4285</v>
      </c>
      <c r="DI912" s="406">
        <v>465455</v>
      </c>
      <c r="DJ912" s="408">
        <v>5</v>
      </c>
      <c r="DK912" s="405">
        <v>1</v>
      </c>
      <c r="DL912" s="82">
        <v>332.47</v>
      </c>
      <c r="DM912" s="409">
        <v>1.6623500000000002</v>
      </c>
      <c r="DN912" s="82" t="s">
        <v>85</v>
      </c>
      <c r="DO912" s="82" t="s">
        <v>85</v>
      </c>
      <c r="DP912" s="410" t="s">
        <v>85</v>
      </c>
    </row>
    <row r="913" spans="1:120" x14ac:dyDescent="0.25">
      <c r="A913" s="16" t="s">
        <v>4282</v>
      </c>
      <c r="B913" s="16" t="s">
        <v>4283</v>
      </c>
      <c r="C913" s="16" t="s">
        <v>4284</v>
      </c>
      <c r="D913" s="16" t="s">
        <v>4278</v>
      </c>
      <c r="E913" s="16" t="s">
        <v>4285</v>
      </c>
      <c r="F913" s="16" t="s">
        <v>4286</v>
      </c>
      <c r="G913" s="16" t="s">
        <v>4287</v>
      </c>
      <c r="H913" s="16" t="s">
        <v>4288</v>
      </c>
      <c r="I913" s="16" t="s">
        <v>2145</v>
      </c>
      <c r="J913" s="16" t="s">
        <v>928</v>
      </c>
      <c r="K913" s="16" t="s">
        <v>2146</v>
      </c>
      <c r="L913" s="16" t="s">
        <v>85</v>
      </c>
      <c r="M913" s="16" t="s">
        <v>1322</v>
      </c>
      <c r="N913" s="16" t="s">
        <v>914</v>
      </c>
      <c r="O913" s="16" t="s">
        <v>1323</v>
      </c>
      <c r="P913" s="16" t="s">
        <v>914</v>
      </c>
      <c r="Q913" s="16" t="s">
        <v>1323</v>
      </c>
      <c r="R913" s="16" t="s">
        <v>915</v>
      </c>
      <c r="S913" s="16" t="s">
        <v>915</v>
      </c>
      <c r="T913" s="16" t="s">
        <v>1322</v>
      </c>
      <c r="U913" s="16" t="s">
        <v>1324</v>
      </c>
      <c r="V913" s="16" t="s">
        <v>916</v>
      </c>
      <c r="W913" s="16" t="s">
        <v>1324</v>
      </c>
      <c r="X913" s="16" t="s">
        <v>934</v>
      </c>
      <c r="Y913" s="16" t="s">
        <v>934</v>
      </c>
      <c r="Z913" s="16" t="s">
        <v>935</v>
      </c>
      <c r="DA913" s="405" t="s">
        <v>5</v>
      </c>
      <c r="DB913" s="405" t="s">
        <v>363</v>
      </c>
      <c r="DC913" s="406" t="s">
        <v>85</v>
      </c>
      <c r="DD913" s="405" t="s">
        <v>917</v>
      </c>
      <c r="DE913" s="405" t="s">
        <v>5</v>
      </c>
      <c r="DF913" s="406" t="s">
        <v>85</v>
      </c>
      <c r="DG913" s="407">
        <v>45858</v>
      </c>
      <c r="DH913" s="405" t="s">
        <v>4285</v>
      </c>
      <c r="DI913" s="406">
        <v>465455</v>
      </c>
      <c r="DJ913" s="408">
        <v>5</v>
      </c>
      <c r="DK913" s="405">
        <v>1</v>
      </c>
      <c r="DL913" s="82">
        <v>332.47</v>
      </c>
      <c r="DM913" s="409">
        <v>1.6623500000000002</v>
      </c>
      <c r="DN913" s="82" t="s">
        <v>85</v>
      </c>
      <c r="DO913" s="82" t="s">
        <v>85</v>
      </c>
      <c r="DP913" s="410" t="s">
        <v>85</v>
      </c>
    </row>
    <row r="914" spans="1:120" x14ac:dyDescent="0.25">
      <c r="A914" s="16" t="s">
        <v>4289</v>
      </c>
      <c r="B914" s="16" t="s">
        <v>4290</v>
      </c>
      <c r="C914" s="16" t="s">
        <v>4291</v>
      </c>
      <c r="D914" s="16" t="s">
        <v>4278</v>
      </c>
      <c r="E914" s="16" t="s">
        <v>4292</v>
      </c>
      <c r="F914" s="16" t="s">
        <v>4293</v>
      </c>
      <c r="G914" s="16" t="s">
        <v>4294</v>
      </c>
      <c r="H914" s="16" t="s">
        <v>4293</v>
      </c>
      <c r="I914" s="16" t="s">
        <v>1638</v>
      </c>
      <c r="J914" s="16" t="s">
        <v>943</v>
      </c>
      <c r="K914" s="16" t="s">
        <v>1639</v>
      </c>
      <c r="L914" s="16" t="s">
        <v>85</v>
      </c>
      <c r="M914" s="16" t="s">
        <v>984</v>
      </c>
      <c r="N914" s="16" t="s">
        <v>914</v>
      </c>
      <c r="O914" s="16" t="s">
        <v>985</v>
      </c>
      <c r="P914" s="16" t="s">
        <v>914</v>
      </c>
      <c r="Q914" s="16" t="s">
        <v>985</v>
      </c>
      <c r="R914" s="16" t="s">
        <v>915</v>
      </c>
      <c r="S914" s="16" t="s">
        <v>915</v>
      </c>
      <c r="T914" s="16" t="s">
        <v>986</v>
      </c>
      <c r="U914" s="16" t="s">
        <v>987</v>
      </c>
      <c r="V914" s="16" t="s">
        <v>916</v>
      </c>
      <c r="W914" s="16" t="s">
        <v>987</v>
      </c>
      <c r="X914" s="16" t="s">
        <v>934</v>
      </c>
      <c r="Y914" s="16" t="s">
        <v>934</v>
      </c>
      <c r="Z914" s="16" t="s">
        <v>935</v>
      </c>
      <c r="DA914" s="405" t="s">
        <v>5</v>
      </c>
      <c r="DB914" s="405" t="s">
        <v>363</v>
      </c>
      <c r="DC914" s="406" t="s">
        <v>85</v>
      </c>
      <c r="DD914" s="405" t="s">
        <v>917</v>
      </c>
      <c r="DE914" s="405" t="s">
        <v>5</v>
      </c>
      <c r="DF914" s="406" t="s">
        <v>85</v>
      </c>
      <c r="DG914" s="407">
        <v>45858</v>
      </c>
      <c r="DH914" s="405" t="s">
        <v>4292</v>
      </c>
      <c r="DI914" s="406">
        <v>465455</v>
      </c>
      <c r="DJ914" s="408">
        <v>5</v>
      </c>
      <c r="DK914" s="405">
        <v>1</v>
      </c>
      <c r="DL914" s="82">
        <v>340.55</v>
      </c>
      <c r="DM914" s="409">
        <v>1.70275</v>
      </c>
      <c r="DN914" s="82" t="s">
        <v>85</v>
      </c>
      <c r="DO914" s="82" t="s">
        <v>85</v>
      </c>
      <c r="DP914" s="410" t="s">
        <v>85</v>
      </c>
    </row>
    <row r="915" spans="1:120" x14ac:dyDescent="0.25">
      <c r="A915" s="16" t="s">
        <v>4295</v>
      </c>
      <c r="B915" s="16" t="s">
        <v>4296</v>
      </c>
      <c r="C915" s="16" t="s">
        <v>4297</v>
      </c>
      <c r="D915" s="16" t="s">
        <v>4278</v>
      </c>
      <c r="E915" s="16" t="s">
        <v>4298</v>
      </c>
      <c r="F915" s="16" t="s">
        <v>4299</v>
      </c>
      <c r="G915" s="16" t="s">
        <v>4300</v>
      </c>
      <c r="H915" s="16" t="s">
        <v>4301</v>
      </c>
      <c r="I915" s="16" t="s">
        <v>1781</v>
      </c>
      <c r="J915" s="16" t="s">
        <v>995</v>
      </c>
      <c r="K915" s="16" t="s">
        <v>1782</v>
      </c>
      <c r="L915" s="16" t="s">
        <v>85</v>
      </c>
      <c r="M915" s="16" t="s">
        <v>1165</v>
      </c>
      <c r="N915" s="16" t="s">
        <v>914</v>
      </c>
      <c r="O915" s="16" t="s">
        <v>1166</v>
      </c>
      <c r="P915" s="16" t="s">
        <v>914</v>
      </c>
      <c r="Q915" s="16" t="s">
        <v>1166</v>
      </c>
      <c r="R915" s="16" t="s">
        <v>915</v>
      </c>
      <c r="S915" s="16" t="s">
        <v>915</v>
      </c>
      <c r="T915" s="16" t="s">
        <v>1167</v>
      </c>
      <c r="U915" s="16" t="s">
        <v>1168</v>
      </c>
      <c r="V915" s="16" t="s">
        <v>916</v>
      </c>
      <c r="W915" s="16" t="s">
        <v>1168</v>
      </c>
      <c r="X915" s="16" t="s">
        <v>934</v>
      </c>
      <c r="Y915" s="16" t="s">
        <v>934</v>
      </c>
      <c r="Z915" s="16" t="s">
        <v>935</v>
      </c>
      <c r="DA915" s="405" t="s">
        <v>5</v>
      </c>
      <c r="DB915" s="405" t="s">
        <v>363</v>
      </c>
      <c r="DC915" s="406" t="s">
        <v>85</v>
      </c>
      <c r="DD915" s="405" t="s">
        <v>917</v>
      </c>
      <c r="DE915" s="405" t="s">
        <v>5</v>
      </c>
      <c r="DF915" s="406" t="s">
        <v>85</v>
      </c>
      <c r="DG915" s="407">
        <v>45858</v>
      </c>
      <c r="DH915" s="405" t="s">
        <v>4298</v>
      </c>
      <c r="DI915" s="406">
        <v>465455</v>
      </c>
      <c r="DJ915" s="408">
        <v>5</v>
      </c>
      <c r="DK915" s="405">
        <v>1</v>
      </c>
      <c r="DL915" s="82">
        <v>468.28</v>
      </c>
      <c r="DM915" s="409">
        <v>2.3413999999999997</v>
      </c>
      <c r="DN915" s="82" t="s">
        <v>85</v>
      </c>
      <c r="DO915" s="82" t="s">
        <v>85</v>
      </c>
      <c r="DP915" s="410" t="s">
        <v>85</v>
      </c>
    </row>
    <row r="916" spans="1:120" x14ac:dyDescent="0.25">
      <c r="A916" s="16" t="s">
        <v>4302</v>
      </c>
      <c r="B916" s="16" t="s">
        <v>4303</v>
      </c>
      <c r="C916" s="16" t="s">
        <v>4304</v>
      </c>
      <c r="D916" s="16" t="s">
        <v>4278</v>
      </c>
      <c r="E916" s="16" t="s">
        <v>4305</v>
      </c>
      <c r="F916" s="16" t="s">
        <v>4306</v>
      </c>
      <c r="G916" s="16" t="s">
        <v>4307</v>
      </c>
      <c r="H916" s="16" t="s">
        <v>4308</v>
      </c>
      <c r="I916" s="16" t="s">
        <v>1248</v>
      </c>
      <c r="J916" s="16" t="s">
        <v>995</v>
      </c>
      <c r="K916" s="16" t="s">
        <v>1249</v>
      </c>
      <c r="L916" s="16" t="s">
        <v>85</v>
      </c>
      <c r="M916" s="16" t="s">
        <v>1165</v>
      </c>
      <c r="N916" s="16" t="s">
        <v>914</v>
      </c>
      <c r="O916" s="16" t="s">
        <v>1166</v>
      </c>
      <c r="P916" s="16" t="s">
        <v>914</v>
      </c>
      <c r="Q916" s="16" t="s">
        <v>1166</v>
      </c>
      <c r="R916" s="16" t="s">
        <v>915</v>
      </c>
      <c r="S916" s="16" t="s">
        <v>915</v>
      </c>
      <c r="T916" s="16" t="s">
        <v>1167</v>
      </c>
      <c r="U916" s="16" t="s">
        <v>1168</v>
      </c>
      <c r="V916" s="16" t="s">
        <v>916</v>
      </c>
      <c r="W916" s="16" t="s">
        <v>1168</v>
      </c>
      <c r="X916" s="16" t="s">
        <v>934</v>
      </c>
      <c r="Y916" s="16" t="s">
        <v>934</v>
      </c>
      <c r="Z916" s="16" t="s">
        <v>935</v>
      </c>
      <c r="DA916" s="405" t="s">
        <v>5</v>
      </c>
      <c r="DB916" s="405" t="s">
        <v>363</v>
      </c>
      <c r="DC916" s="406" t="s">
        <v>85</v>
      </c>
      <c r="DD916" s="405" t="s">
        <v>917</v>
      </c>
      <c r="DE916" s="405" t="s">
        <v>5</v>
      </c>
      <c r="DF916" s="406" t="s">
        <v>85</v>
      </c>
      <c r="DG916" s="407">
        <v>45858</v>
      </c>
      <c r="DH916" s="405" t="s">
        <v>4305</v>
      </c>
      <c r="DI916" s="406">
        <v>465455</v>
      </c>
      <c r="DJ916" s="408">
        <v>5</v>
      </c>
      <c r="DK916" s="405">
        <v>1</v>
      </c>
      <c r="DL916" s="82">
        <v>468.28</v>
      </c>
      <c r="DM916" s="409">
        <v>2.3413999999999997</v>
      </c>
      <c r="DN916" s="82" t="s">
        <v>85</v>
      </c>
      <c r="DO916" s="82" t="s">
        <v>85</v>
      </c>
      <c r="DP916" s="410" t="s">
        <v>85</v>
      </c>
    </row>
    <row r="917" spans="1:120" x14ac:dyDescent="0.25">
      <c r="A917" s="16" t="s">
        <v>4309</v>
      </c>
      <c r="B917" s="16" t="s">
        <v>4310</v>
      </c>
      <c r="C917" s="16" t="s">
        <v>4311</v>
      </c>
      <c r="D917" s="16" t="s">
        <v>4278</v>
      </c>
      <c r="E917" s="16" t="s">
        <v>4312</v>
      </c>
      <c r="F917" s="16" t="s">
        <v>4313</v>
      </c>
      <c r="G917" s="16" t="s">
        <v>4314</v>
      </c>
      <c r="H917" s="16" t="s">
        <v>4315</v>
      </c>
      <c r="I917" s="16" t="s">
        <v>2830</v>
      </c>
      <c r="J917" s="16" t="s">
        <v>943</v>
      </c>
      <c r="K917" s="16" t="s">
        <v>2831</v>
      </c>
      <c r="L917" s="16" t="s">
        <v>85</v>
      </c>
      <c r="M917" s="16" t="s">
        <v>984</v>
      </c>
      <c r="N917" s="16" t="s">
        <v>914</v>
      </c>
      <c r="O917" s="16" t="s">
        <v>985</v>
      </c>
      <c r="P917" s="16" t="s">
        <v>914</v>
      </c>
      <c r="Q917" s="16" t="s">
        <v>985</v>
      </c>
      <c r="R917" s="16" t="s">
        <v>915</v>
      </c>
      <c r="S917" s="16" t="s">
        <v>915</v>
      </c>
      <c r="T917" s="16" t="s">
        <v>986</v>
      </c>
      <c r="U917" s="16" t="s">
        <v>987</v>
      </c>
      <c r="V917" s="16" t="s">
        <v>916</v>
      </c>
      <c r="W917" s="16" t="s">
        <v>987</v>
      </c>
      <c r="X917" s="16" t="s">
        <v>934</v>
      </c>
      <c r="Y917" s="16" t="s">
        <v>934</v>
      </c>
      <c r="Z917" s="16" t="s">
        <v>935</v>
      </c>
      <c r="DA917" s="405" t="s">
        <v>5</v>
      </c>
      <c r="DB917" s="405" t="s">
        <v>363</v>
      </c>
      <c r="DC917" s="406" t="s">
        <v>85</v>
      </c>
      <c r="DD917" s="405" t="s">
        <v>917</v>
      </c>
      <c r="DE917" s="405" t="s">
        <v>5</v>
      </c>
      <c r="DF917" s="406" t="s">
        <v>85</v>
      </c>
      <c r="DG917" s="407">
        <v>45858</v>
      </c>
      <c r="DH917" s="405" t="s">
        <v>4312</v>
      </c>
      <c r="DI917" s="406">
        <v>465455</v>
      </c>
      <c r="DJ917" s="408">
        <v>5</v>
      </c>
      <c r="DK917" s="405">
        <v>1</v>
      </c>
      <c r="DL917" s="82">
        <v>340.55</v>
      </c>
      <c r="DM917" s="409">
        <v>1.70275</v>
      </c>
      <c r="DN917" s="82" t="s">
        <v>85</v>
      </c>
      <c r="DO917" s="82" t="s">
        <v>85</v>
      </c>
      <c r="DP917" s="410" t="s">
        <v>85</v>
      </c>
    </row>
    <row r="918" spans="1:120" x14ac:dyDescent="0.25">
      <c r="A918" s="16" t="s">
        <v>4316</v>
      </c>
      <c r="B918" s="16" t="s">
        <v>4317</v>
      </c>
      <c r="C918" s="16" t="s">
        <v>4318</v>
      </c>
      <c r="D918" s="16" t="s">
        <v>4278</v>
      </c>
      <c r="E918" s="16" t="s">
        <v>4319</v>
      </c>
      <c r="F918" s="16" t="s">
        <v>4320</v>
      </c>
      <c r="G918" s="16" t="s">
        <v>4321</v>
      </c>
      <c r="H918" s="16" t="s">
        <v>4322</v>
      </c>
      <c r="I918" s="16" t="s">
        <v>2750</v>
      </c>
      <c r="J918" s="16" t="s">
        <v>995</v>
      </c>
      <c r="K918" s="16" t="s">
        <v>2751</v>
      </c>
      <c r="L918" s="16" t="s">
        <v>85</v>
      </c>
      <c r="M918" s="16" t="s">
        <v>4323</v>
      </c>
      <c r="N918" s="16" t="s">
        <v>914</v>
      </c>
      <c r="O918" s="16" t="s">
        <v>1166</v>
      </c>
      <c r="P918" s="16" t="s">
        <v>914</v>
      </c>
      <c r="Q918" s="16" t="s">
        <v>1166</v>
      </c>
      <c r="R918" s="16" t="s">
        <v>915</v>
      </c>
      <c r="S918" s="16" t="s">
        <v>915</v>
      </c>
      <c r="T918" s="16" t="s">
        <v>1167</v>
      </c>
      <c r="U918" s="16" t="s">
        <v>1168</v>
      </c>
      <c r="V918" s="16" t="s">
        <v>1763</v>
      </c>
      <c r="W918" s="16" t="s">
        <v>4324</v>
      </c>
      <c r="X918" s="16" t="s">
        <v>934</v>
      </c>
      <c r="Y918" s="16" t="s">
        <v>934</v>
      </c>
      <c r="Z918" s="16" t="s">
        <v>935</v>
      </c>
      <c r="DA918" s="405" t="s">
        <v>5</v>
      </c>
      <c r="DB918" s="405" t="s">
        <v>363</v>
      </c>
      <c r="DC918" s="406" t="s">
        <v>85</v>
      </c>
      <c r="DD918" s="405" t="s">
        <v>917</v>
      </c>
      <c r="DE918" s="405" t="s">
        <v>5</v>
      </c>
      <c r="DF918" s="406" t="s">
        <v>85</v>
      </c>
      <c r="DG918" s="407">
        <v>45858</v>
      </c>
      <c r="DH918" s="405" t="s">
        <v>4319</v>
      </c>
      <c r="DI918" s="406">
        <v>465455</v>
      </c>
      <c r="DJ918" s="408">
        <v>5</v>
      </c>
      <c r="DK918" s="405">
        <v>2</v>
      </c>
      <c r="DL918" s="82">
        <v>468.28</v>
      </c>
      <c r="DM918" s="409">
        <v>2.3413999999999997</v>
      </c>
      <c r="DN918" s="82" t="s">
        <v>85</v>
      </c>
      <c r="DO918" s="82" t="s">
        <v>85</v>
      </c>
      <c r="DP918" s="410" t="s">
        <v>85</v>
      </c>
    </row>
    <row r="919" spans="1:120" x14ac:dyDescent="0.25">
      <c r="A919" s="16" t="s">
        <v>4325</v>
      </c>
      <c r="B919" s="16" t="s">
        <v>4326</v>
      </c>
      <c r="C919" s="16" t="s">
        <v>4327</v>
      </c>
      <c r="D919" s="16" t="s">
        <v>4278</v>
      </c>
      <c r="E919" s="16" t="s">
        <v>4328</v>
      </c>
      <c r="F919" s="16" t="s">
        <v>4329</v>
      </c>
      <c r="G919" s="16" t="s">
        <v>4330</v>
      </c>
      <c r="H919" s="16" t="s">
        <v>4329</v>
      </c>
      <c r="I919" s="16" t="s">
        <v>1090</v>
      </c>
      <c r="J919" s="16" t="s">
        <v>943</v>
      </c>
      <c r="K919" s="16" t="s">
        <v>1091</v>
      </c>
      <c r="L919" s="16" t="s">
        <v>85</v>
      </c>
      <c r="M919" s="16" t="s">
        <v>984</v>
      </c>
      <c r="N919" s="16" t="s">
        <v>914</v>
      </c>
      <c r="O919" s="16" t="s">
        <v>985</v>
      </c>
      <c r="P919" s="16" t="s">
        <v>914</v>
      </c>
      <c r="Q919" s="16" t="s">
        <v>985</v>
      </c>
      <c r="R919" s="16" t="s">
        <v>915</v>
      </c>
      <c r="S919" s="16" t="s">
        <v>915</v>
      </c>
      <c r="T919" s="16" t="s">
        <v>986</v>
      </c>
      <c r="U919" s="16" t="s">
        <v>987</v>
      </c>
      <c r="V919" s="16" t="s">
        <v>916</v>
      </c>
      <c r="W919" s="16" t="s">
        <v>987</v>
      </c>
      <c r="X919" s="16" t="s">
        <v>934</v>
      </c>
      <c r="Y919" s="16" t="s">
        <v>934</v>
      </c>
      <c r="Z919" s="16" t="s">
        <v>935</v>
      </c>
      <c r="DA919" s="405" t="s">
        <v>5</v>
      </c>
      <c r="DB919" s="405" t="s">
        <v>363</v>
      </c>
      <c r="DC919" s="406" t="s">
        <v>85</v>
      </c>
      <c r="DD919" s="405" t="s">
        <v>917</v>
      </c>
      <c r="DE919" s="405" t="s">
        <v>5</v>
      </c>
      <c r="DF919" s="406" t="s">
        <v>85</v>
      </c>
      <c r="DG919" s="407">
        <v>45858</v>
      </c>
      <c r="DH919" s="405" t="s">
        <v>4328</v>
      </c>
      <c r="DI919" s="406">
        <v>465455</v>
      </c>
      <c r="DJ919" s="408">
        <v>5</v>
      </c>
      <c r="DK919" s="405">
        <v>1</v>
      </c>
      <c r="DL919" s="82">
        <v>340.55</v>
      </c>
      <c r="DM919" s="409">
        <v>1.70275</v>
      </c>
      <c r="DN919" s="82" t="s">
        <v>85</v>
      </c>
      <c r="DO919" s="82" t="s">
        <v>85</v>
      </c>
      <c r="DP919" s="410" t="s">
        <v>85</v>
      </c>
    </row>
    <row r="920" spans="1:120" x14ac:dyDescent="0.25">
      <c r="A920" s="16" t="s">
        <v>4325</v>
      </c>
      <c r="B920" s="16" t="s">
        <v>4326</v>
      </c>
      <c r="C920" s="16" t="s">
        <v>4327</v>
      </c>
      <c r="D920" s="16" t="s">
        <v>4278</v>
      </c>
      <c r="E920" s="16" t="s">
        <v>4328</v>
      </c>
      <c r="F920" s="16" t="s">
        <v>4329</v>
      </c>
      <c r="G920" s="16" t="s">
        <v>4330</v>
      </c>
      <c r="H920" s="16" t="s">
        <v>4329</v>
      </c>
      <c r="I920" s="16" t="s">
        <v>1150</v>
      </c>
      <c r="J920" s="16" t="s">
        <v>943</v>
      </c>
      <c r="K920" s="16" t="s">
        <v>1151</v>
      </c>
      <c r="L920" s="16" t="s">
        <v>85</v>
      </c>
      <c r="M920" s="16" t="s">
        <v>984</v>
      </c>
      <c r="N920" s="16" t="s">
        <v>914</v>
      </c>
      <c r="O920" s="16" t="s">
        <v>985</v>
      </c>
      <c r="P920" s="16" t="s">
        <v>914</v>
      </c>
      <c r="Q920" s="16" t="s">
        <v>985</v>
      </c>
      <c r="R920" s="16" t="s">
        <v>915</v>
      </c>
      <c r="S920" s="16" t="s">
        <v>915</v>
      </c>
      <c r="T920" s="16" t="s">
        <v>986</v>
      </c>
      <c r="U920" s="16" t="s">
        <v>987</v>
      </c>
      <c r="V920" s="16" t="s">
        <v>916</v>
      </c>
      <c r="W920" s="16" t="s">
        <v>987</v>
      </c>
      <c r="X920" s="16" t="s">
        <v>934</v>
      </c>
      <c r="Y920" s="16" t="s">
        <v>934</v>
      </c>
      <c r="Z920" s="16" t="s">
        <v>935</v>
      </c>
      <c r="DA920" s="405" t="s">
        <v>5</v>
      </c>
      <c r="DB920" s="405" t="s">
        <v>363</v>
      </c>
      <c r="DC920" s="406" t="s">
        <v>85</v>
      </c>
      <c r="DD920" s="405" t="s">
        <v>917</v>
      </c>
      <c r="DE920" s="405" t="s">
        <v>5</v>
      </c>
      <c r="DF920" s="406" t="s">
        <v>85</v>
      </c>
      <c r="DG920" s="407">
        <v>45858</v>
      </c>
      <c r="DH920" s="405" t="s">
        <v>4328</v>
      </c>
      <c r="DI920" s="406">
        <v>465455</v>
      </c>
      <c r="DJ920" s="408">
        <v>5</v>
      </c>
      <c r="DK920" s="405">
        <v>1</v>
      </c>
      <c r="DL920" s="82">
        <v>340.55</v>
      </c>
      <c r="DM920" s="409">
        <v>1.70275</v>
      </c>
      <c r="DN920" s="82" t="s">
        <v>85</v>
      </c>
      <c r="DO920" s="82" t="s">
        <v>85</v>
      </c>
      <c r="DP920" s="410" t="s">
        <v>85</v>
      </c>
    </row>
    <row r="921" spans="1:120" x14ac:dyDescent="0.25">
      <c r="A921" s="16" t="s">
        <v>4331</v>
      </c>
      <c r="B921" s="16" t="s">
        <v>4332</v>
      </c>
      <c r="C921" s="16" t="s">
        <v>4333</v>
      </c>
      <c r="D921" s="16" t="s">
        <v>4278</v>
      </c>
      <c r="E921" s="16" t="s">
        <v>4334</v>
      </c>
      <c r="F921" s="16" t="s">
        <v>4335</v>
      </c>
      <c r="G921" s="16" t="s">
        <v>4336</v>
      </c>
      <c r="H921" s="16" t="s">
        <v>4335</v>
      </c>
      <c r="I921" s="16" t="s">
        <v>4337</v>
      </c>
      <c r="J921" s="16" t="s">
        <v>1509</v>
      </c>
      <c r="K921" s="16" t="s">
        <v>4338</v>
      </c>
      <c r="L921" s="16" t="s">
        <v>85</v>
      </c>
      <c r="M921" s="16" t="s">
        <v>1511</v>
      </c>
      <c r="N921" s="16" t="s">
        <v>914</v>
      </c>
      <c r="O921" s="16" t="s">
        <v>1512</v>
      </c>
      <c r="P921" s="16" t="s">
        <v>914</v>
      </c>
      <c r="Q921" s="16" t="s">
        <v>1512</v>
      </c>
      <c r="R921" s="16" t="s">
        <v>915</v>
      </c>
      <c r="S921" s="16" t="s">
        <v>915</v>
      </c>
      <c r="T921" s="16" t="s">
        <v>1511</v>
      </c>
      <c r="U921" s="16" t="s">
        <v>1513</v>
      </c>
      <c r="V921" s="16" t="s">
        <v>916</v>
      </c>
      <c r="W921" s="16" t="s">
        <v>1513</v>
      </c>
      <c r="X921" s="16" t="s">
        <v>934</v>
      </c>
      <c r="Y921" s="16" t="s">
        <v>934</v>
      </c>
      <c r="Z921" s="16" t="s">
        <v>935</v>
      </c>
      <c r="DA921" s="405" t="s">
        <v>5</v>
      </c>
      <c r="DB921" s="405" t="s">
        <v>363</v>
      </c>
      <c r="DC921" s="406" t="s">
        <v>85</v>
      </c>
      <c r="DD921" s="405" t="s">
        <v>917</v>
      </c>
      <c r="DE921" s="405" t="s">
        <v>5</v>
      </c>
      <c r="DF921" s="406" t="s">
        <v>85</v>
      </c>
      <c r="DG921" s="407">
        <v>45858</v>
      </c>
      <c r="DH921" s="405" t="s">
        <v>4334</v>
      </c>
      <c r="DI921" s="406">
        <v>465455</v>
      </c>
      <c r="DJ921" s="408">
        <v>5</v>
      </c>
      <c r="DK921" s="405">
        <v>1</v>
      </c>
      <c r="DL921" s="82">
        <v>526.82000000000005</v>
      </c>
      <c r="DM921" s="409">
        <v>2.6341000000000001</v>
      </c>
      <c r="DN921" s="82" t="s">
        <v>85</v>
      </c>
      <c r="DO921" s="82" t="s">
        <v>85</v>
      </c>
      <c r="DP921" s="410" t="s">
        <v>85</v>
      </c>
    </row>
    <row r="922" spans="1:120" x14ac:dyDescent="0.25">
      <c r="A922" s="16" t="s">
        <v>4339</v>
      </c>
      <c r="B922" s="16" t="s">
        <v>4340</v>
      </c>
      <c r="C922" s="16" t="s">
        <v>4341</v>
      </c>
      <c r="D922" s="16" t="s">
        <v>4278</v>
      </c>
      <c r="E922" s="16" t="s">
        <v>4342</v>
      </c>
      <c r="F922" s="16" t="s">
        <v>4343</v>
      </c>
      <c r="G922" s="16" t="s">
        <v>4344</v>
      </c>
      <c r="H922" s="16" t="s">
        <v>4345</v>
      </c>
      <c r="I922" s="16" t="s">
        <v>976</v>
      </c>
      <c r="J922" s="16" t="s">
        <v>956</v>
      </c>
      <c r="K922" s="16" t="s">
        <v>977</v>
      </c>
      <c r="L922" s="16" t="s">
        <v>85</v>
      </c>
      <c r="M922" s="16" t="s">
        <v>4346</v>
      </c>
      <c r="N922" s="16" t="s">
        <v>914</v>
      </c>
      <c r="O922" s="16" t="s">
        <v>4347</v>
      </c>
      <c r="P922" s="16" t="s">
        <v>914</v>
      </c>
      <c r="Q922" s="16" t="s">
        <v>4347</v>
      </c>
      <c r="R922" s="16" t="s">
        <v>915</v>
      </c>
      <c r="S922" s="16" t="s">
        <v>915</v>
      </c>
      <c r="T922" s="16" t="s">
        <v>4346</v>
      </c>
      <c r="U922" s="16" t="s">
        <v>4348</v>
      </c>
      <c r="V922" s="16" t="s">
        <v>1763</v>
      </c>
      <c r="W922" s="16" t="s">
        <v>4349</v>
      </c>
      <c r="X922" s="16" t="s">
        <v>934</v>
      </c>
      <c r="Y922" s="16" t="s">
        <v>934</v>
      </c>
      <c r="Z922" s="16" t="s">
        <v>935</v>
      </c>
      <c r="DA922" s="405" t="s">
        <v>5</v>
      </c>
      <c r="DB922" s="405" t="s">
        <v>363</v>
      </c>
      <c r="DC922" s="406" t="s">
        <v>85</v>
      </c>
      <c r="DD922" s="405" t="s">
        <v>917</v>
      </c>
      <c r="DE922" s="405" t="s">
        <v>5</v>
      </c>
      <c r="DF922" s="406" t="s">
        <v>85</v>
      </c>
      <c r="DG922" s="407">
        <v>45858</v>
      </c>
      <c r="DH922" s="405" t="s">
        <v>4342</v>
      </c>
      <c r="DI922" s="406">
        <v>465455</v>
      </c>
      <c r="DJ922" s="408">
        <v>5</v>
      </c>
      <c r="DK922" s="405">
        <v>2</v>
      </c>
      <c r="DL922" s="82">
        <v>265.93</v>
      </c>
      <c r="DM922" s="409">
        <v>1.32965</v>
      </c>
      <c r="DN922" s="82" t="s">
        <v>85</v>
      </c>
      <c r="DO922" s="82" t="s">
        <v>85</v>
      </c>
      <c r="DP922" s="410" t="s">
        <v>85</v>
      </c>
    </row>
    <row r="923" spans="1:120" x14ac:dyDescent="0.25">
      <c r="A923" s="16" t="s">
        <v>4350</v>
      </c>
      <c r="B923" s="16" t="s">
        <v>4351</v>
      </c>
      <c r="C923" s="16" t="s">
        <v>4352</v>
      </c>
      <c r="D923" s="16" t="s">
        <v>4278</v>
      </c>
      <c r="E923" s="16" t="s">
        <v>4353</v>
      </c>
      <c r="F923" s="16" t="s">
        <v>4354</v>
      </c>
      <c r="G923" s="16" t="s">
        <v>4355</v>
      </c>
      <c r="H923" s="16" t="s">
        <v>4356</v>
      </c>
      <c r="I923" s="16" t="s">
        <v>2425</v>
      </c>
      <c r="J923" s="16" t="s">
        <v>928</v>
      </c>
      <c r="K923" s="16" t="s">
        <v>2426</v>
      </c>
      <c r="L923" s="16" t="s">
        <v>85</v>
      </c>
      <c r="M923" s="16" t="s">
        <v>1322</v>
      </c>
      <c r="N923" s="16" t="s">
        <v>914</v>
      </c>
      <c r="O923" s="16" t="s">
        <v>1323</v>
      </c>
      <c r="P923" s="16" t="s">
        <v>914</v>
      </c>
      <c r="Q923" s="16" t="s">
        <v>1323</v>
      </c>
      <c r="R923" s="16" t="s">
        <v>915</v>
      </c>
      <c r="S923" s="16" t="s">
        <v>915</v>
      </c>
      <c r="T923" s="16" t="s">
        <v>1322</v>
      </c>
      <c r="U923" s="16" t="s">
        <v>1324</v>
      </c>
      <c r="V923" s="16" t="s">
        <v>916</v>
      </c>
      <c r="W923" s="16" t="s">
        <v>1324</v>
      </c>
      <c r="X923" s="16" t="s">
        <v>934</v>
      </c>
      <c r="Y923" s="16" t="s">
        <v>934</v>
      </c>
      <c r="Z923" s="16" t="s">
        <v>935</v>
      </c>
      <c r="DA923" s="405" t="s">
        <v>5</v>
      </c>
      <c r="DB923" s="405" t="s">
        <v>363</v>
      </c>
      <c r="DC923" s="406" t="s">
        <v>85</v>
      </c>
      <c r="DD923" s="405" t="s">
        <v>917</v>
      </c>
      <c r="DE923" s="405" t="s">
        <v>5</v>
      </c>
      <c r="DF923" s="406" t="s">
        <v>85</v>
      </c>
      <c r="DG923" s="407">
        <v>45858</v>
      </c>
      <c r="DH923" s="405" t="s">
        <v>4353</v>
      </c>
      <c r="DI923" s="406">
        <v>465455</v>
      </c>
      <c r="DJ923" s="408">
        <v>5</v>
      </c>
      <c r="DK923" s="405">
        <v>1</v>
      </c>
      <c r="DL923" s="82">
        <v>332.47</v>
      </c>
      <c r="DM923" s="409">
        <v>1.6623500000000002</v>
      </c>
      <c r="DN923" s="82" t="s">
        <v>85</v>
      </c>
      <c r="DO923" s="82" t="s">
        <v>85</v>
      </c>
      <c r="DP923" s="410" t="s">
        <v>85</v>
      </c>
    </row>
    <row r="924" spans="1:120" x14ac:dyDescent="0.25">
      <c r="A924" s="16" t="s">
        <v>4357</v>
      </c>
      <c r="B924" s="16" t="s">
        <v>4358</v>
      </c>
      <c r="C924" s="16" t="s">
        <v>4359</v>
      </c>
      <c r="D924" s="16" t="s">
        <v>4278</v>
      </c>
      <c r="E924" s="16" t="s">
        <v>4360</v>
      </c>
      <c r="F924" s="16" t="s">
        <v>4361</v>
      </c>
      <c r="G924" s="16" t="s">
        <v>4362</v>
      </c>
      <c r="H924" s="16" t="s">
        <v>4363</v>
      </c>
      <c r="I924" s="16" t="s">
        <v>1248</v>
      </c>
      <c r="J924" s="16" t="s">
        <v>995</v>
      </c>
      <c r="K924" s="16" t="s">
        <v>1249</v>
      </c>
      <c r="L924" s="16" t="s">
        <v>85</v>
      </c>
      <c r="M924" s="16" t="s">
        <v>1165</v>
      </c>
      <c r="N924" s="16" t="s">
        <v>914</v>
      </c>
      <c r="O924" s="16" t="s">
        <v>1166</v>
      </c>
      <c r="P924" s="16" t="s">
        <v>914</v>
      </c>
      <c r="Q924" s="16" t="s">
        <v>1166</v>
      </c>
      <c r="R924" s="16" t="s">
        <v>915</v>
      </c>
      <c r="S924" s="16" t="s">
        <v>915</v>
      </c>
      <c r="T924" s="16" t="s">
        <v>1167</v>
      </c>
      <c r="U924" s="16" t="s">
        <v>1168</v>
      </c>
      <c r="V924" s="16" t="s">
        <v>916</v>
      </c>
      <c r="W924" s="16" t="s">
        <v>1168</v>
      </c>
      <c r="X924" s="16" t="s">
        <v>934</v>
      </c>
      <c r="Y924" s="16" t="s">
        <v>934</v>
      </c>
      <c r="Z924" s="16" t="s">
        <v>935</v>
      </c>
      <c r="DA924" s="405" t="s">
        <v>5</v>
      </c>
      <c r="DB924" s="405" t="s">
        <v>363</v>
      </c>
      <c r="DC924" s="406" t="s">
        <v>85</v>
      </c>
      <c r="DD924" s="405" t="s">
        <v>917</v>
      </c>
      <c r="DE924" s="405" t="s">
        <v>5</v>
      </c>
      <c r="DF924" s="406" t="s">
        <v>85</v>
      </c>
      <c r="DG924" s="407">
        <v>45858</v>
      </c>
      <c r="DH924" s="405" t="s">
        <v>4360</v>
      </c>
      <c r="DI924" s="406">
        <v>465455</v>
      </c>
      <c r="DJ924" s="408">
        <v>5</v>
      </c>
      <c r="DK924" s="405">
        <v>1</v>
      </c>
      <c r="DL924" s="82">
        <v>468.28</v>
      </c>
      <c r="DM924" s="409">
        <v>2.3413999999999997</v>
      </c>
      <c r="DN924" s="82" t="s">
        <v>85</v>
      </c>
      <c r="DO924" s="82" t="s">
        <v>85</v>
      </c>
      <c r="DP924" s="410" t="s">
        <v>85</v>
      </c>
    </row>
    <row r="925" spans="1:120" x14ac:dyDescent="0.25">
      <c r="A925" s="16" t="s">
        <v>4364</v>
      </c>
      <c r="B925" s="16" t="s">
        <v>4365</v>
      </c>
      <c r="C925" s="16" t="s">
        <v>4366</v>
      </c>
      <c r="D925" s="16" t="s">
        <v>4278</v>
      </c>
      <c r="E925" s="16" t="s">
        <v>4367</v>
      </c>
      <c r="F925" s="16" t="s">
        <v>4368</v>
      </c>
      <c r="G925" s="16" t="s">
        <v>4369</v>
      </c>
      <c r="H925" s="16" t="s">
        <v>4368</v>
      </c>
      <c r="I925" s="16" t="s">
        <v>1781</v>
      </c>
      <c r="J925" s="16" t="s">
        <v>995</v>
      </c>
      <c r="K925" s="16" t="s">
        <v>1782</v>
      </c>
      <c r="L925" s="16" t="s">
        <v>85</v>
      </c>
      <c r="M925" s="16" t="s">
        <v>1165</v>
      </c>
      <c r="N925" s="16" t="s">
        <v>914</v>
      </c>
      <c r="O925" s="16" t="s">
        <v>1166</v>
      </c>
      <c r="P925" s="16" t="s">
        <v>914</v>
      </c>
      <c r="Q925" s="16" t="s">
        <v>1166</v>
      </c>
      <c r="R925" s="16" t="s">
        <v>915</v>
      </c>
      <c r="S925" s="16" t="s">
        <v>915</v>
      </c>
      <c r="T925" s="16" t="s">
        <v>1167</v>
      </c>
      <c r="U925" s="16" t="s">
        <v>1168</v>
      </c>
      <c r="V925" s="16" t="s">
        <v>916</v>
      </c>
      <c r="W925" s="16" t="s">
        <v>1168</v>
      </c>
      <c r="X925" s="16" t="s">
        <v>934</v>
      </c>
      <c r="Y925" s="16" t="s">
        <v>934</v>
      </c>
      <c r="Z925" s="16" t="s">
        <v>935</v>
      </c>
      <c r="DA925" s="405" t="s">
        <v>5</v>
      </c>
      <c r="DB925" s="405" t="s">
        <v>363</v>
      </c>
      <c r="DC925" s="406" t="s">
        <v>85</v>
      </c>
      <c r="DD925" s="405" t="s">
        <v>917</v>
      </c>
      <c r="DE925" s="405" t="s">
        <v>5</v>
      </c>
      <c r="DF925" s="406" t="s">
        <v>85</v>
      </c>
      <c r="DG925" s="407">
        <v>45858</v>
      </c>
      <c r="DH925" s="405" t="s">
        <v>4367</v>
      </c>
      <c r="DI925" s="406">
        <v>465455</v>
      </c>
      <c r="DJ925" s="408">
        <v>5</v>
      </c>
      <c r="DK925" s="405">
        <v>1</v>
      </c>
      <c r="DL925" s="82">
        <v>468.28</v>
      </c>
      <c r="DM925" s="409">
        <v>2.3413999999999997</v>
      </c>
      <c r="DN925" s="82" t="s">
        <v>85</v>
      </c>
      <c r="DO925" s="82" t="s">
        <v>85</v>
      </c>
      <c r="DP925" s="410" t="s">
        <v>85</v>
      </c>
    </row>
    <row r="926" spans="1:120" x14ac:dyDescent="0.25">
      <c r="A926" s="16" t="s">
        <v>4370</v>
      </c>
      <c r="B926" s="16" t="s">
        <v>4371</v>
      </c>
      <c r="C926" s="16" t="s">
        <v>4372</v>
      </c>
      <c r="D926" s="16" t="s">
        <v>4278</v>
      </c>
      <c r="E926" s="16" t="s">
        <v>4373</v>
      </c>
      <c r="F926" s="16" t="s">
        <v>4374</v>
      </c>
      <c r="G926" s="16" t="s">
        <v>4375</v>
      </c>
      <c r="H926" s="16" t="s">
        <v>4376</v>
      </c>
      <c r="I926" s="16" t="s">
        <v>3179</v>
      </c>
      <c r="J926" s="16" t="s">
        <v>1123</v>
      </c>
      <c r="K926" s="16" t="s">
        <v>3180</v>
      </c>
      <c r="L926" s="16" t="s">
        <v>85</v>
      </c>
      <c r="M926" s="16" t="s">
        <v>1238</v>
      </c>
      <c r="N926" s="16" t="s">
        <v>914</v>
      </c>
      <c r="O926" s="16" t="s">
        <v>1239</v>
      </c>
      <c r="P926" s="16" t="s">
        <v>914</v>
      </c>
      <c r="Q926" s="16" t="s">
        <v>1239</v>
      </c>
      <c r="R926" s="16" t="s">
        <v>915</v>
      </c>
      <c r="S926" s="16" t="s">
        <v>915</v>
      </c>
      <c r="T926" s="16" t="s">
        <v>1238</v>
      </c>
      <c r="U926" s="16" t="s">
        <v>1240</v>
      </c>
      <c r="V926" s="16" t="s">
        <v>916</v>
      </c>
      <c r="W926" s="16" t="s">
        <v>1240</v>
      </c>
      <c r="X926" s="16" t="s">
        <v>934</v>
      </c>
      <c r="Y926" s="16" t="s">
        <v>934</v>
      </c>
      <c r="Z926" s="16" t="s">
        <v>935</v>
      </c>
      <c r="DA926" s="405" t="s">
        <v>5</v>
      </c>
      <c r="DB926" s="405" t="s">
        <v>363</v>
      </c>
      <c r="DC926" s="406" t="s">
        <v>85</v>
      </c>
      <c r="DD926" s="405" t="s">
        <v>917</v>
      </c>
      <c r="DE926" s="405" t="s">
        <v>5</v>
      </c>
      <c r="DF926" s="406" t="s">
        <v>85</v>
      </c>
      <c r="DG926" s="407">
        <v>45858</v>
      </c>
      <c r="DH926" s="405" t="s">
        <v>4373</v>
      </c>
      <c r="DI926" s="406">
        <v>465455</v>
      </c>
      <c r="DJ926" s="408">
        <v>5</v>
      </c>
      <c r="DK926" s="405">
        <v>1</v>
      </c>
      <c r="DL926" s="82">
        <v>383.16</v>
      </c>
      <c r="DM926" s="409">
        <v>1.9158000000000002</v>
      </c>
      <c r="DN926" s="82" t="s">
        <v>85</v>
      </c>
      <c r="DO926" s="82" t="s">
        <v>85</v>
      </c>
      <c r="DP926" s="410" t="s">
        <v>85</v>
      </c>
    </row>
    <row r="927" spans="1:120" x14ac:dyDescent="0.25">
      <c r="A927" s="16" t="s">
        <v>4370</v>
      </c>
      <c r="B927" s="16" t="s">
        <v>4371</v>
      </c>
      <c r="C927" s="16" t="s">
        <v>4372</v>
      </c>
      <c r="D927" s="16" t="s">
        <v>4278</v>
      </c>
      <c r="E927" s="16" t="s">
        <v>4373</v>
      </c>
      <c r="F927" s="16" t="s">
        <v>4374</v>
      </c>
      <c r="G927" s="16" t="s">
        <v>4375</v>
      </c>
      <c r="H927" s="16" t="s">
        <v>4376</v>
      </c>
      <c r="I927" s="16" t="s">
        <v>4377</v>
      </c>
      <c r="J927" s="16" t="s">
        <v>1123</v>
      </c>
      <c r="K927" s="16" t="s">
        <v>4378</v>
      </c>
      <c r="L927" s="16" t="s">
        <v>85</v>
      </c>
      <c r="M927" s="16" t="s">
        <v>1238</v>
      </c>
      <c r="N927" s="16" t="s">
        <v>914</v>
      </c>
      <c r="O927" s="16" t="s">
        <v>1239</v>
      </c>
      <c r="P927" s="16" t="s">
        <v>914</v>
      </c>
      <c r="Q927" s="16" t="s">
        <v>1239</v>
      </c>
      <c r="R927" s="16" t="s">
        <v>915</v>
      </c>
      <c r="S927" s="16" t="s">
        <v>915</v>
      </c>
      <c r="T927" s="16" t="s">
        <v>1238</v>
      </c>
      <c r="U927" s="16" t="s">
        <v>1240</v>
      </c>
      <c r="V927" s="16" t="s">
        <v>916</v>
      </c>
      <c r="W927" s="16" t="s">
        <v>1240</v>
      </c>
      <c r="X927" s="16" t="s">
        <v>934</v>
      </c>
      <c r="Y927" s="16" t="s">
        <v>934</v>
      </c>
      <c r="Z927" s="16" t="s">
        <v>935</v>
      </c>
      <c r="DA927" s="405" t="s">
        <v>5</v>
      </c>
      <c r="DB927" s="405" t="s">
        <v>363</v>
      </c>
      <c r="DC927" s="406" t="s">
        <v>85</v>
      </c>
      <c r="DD927" s="405" t="s">
        <v>917</v>
      </c>
      <c r="DE927" s="405" t="s">
        <v>5</v>
      </c>
      <c r="DF927" s="406" t="s">
        <v>85</v>
      </c>
      <c r="DG927" s="407">
        <v>45858</v>
      </c>
      <c r="DH927" s="405" t="s">
        <v>4373</v>
      </c>
      <c r="DI927" s="406">
        <v>465455</v>
      </c>
      <c r="DJ927" s="408">
        <v>5</v>
      </c>
      <c r="DK927" s="405">
        <v>1</v>
      </c>
      <c r="DL927" s="82">
        <v>383.16</v>
      </c>
      <c r="DM927" s="409">
        <v>1.9158000000000002</v>
      </c>
      <c r="DN927" s="82" t="s">
        <v>85</v>
      </c>
      <c r="DO927" s="82" t="s">
        <v>85</v>
      </c>
      <c r="DP927" s="410" t="s">
        <v>85</v>
      </c>
    </row>
    <row r="928" spans="1:120" x14ac:dyDescent="0.25">
      <c r="A928" s="16" t="s">
        <v>4379</v>
      </c>
      <c r="B928" s="16" t="s">
        <v>4380</v>
      </c>
      <c r="C928" s="16" t="s">
        <v>4381</v>
      </c>
      <c r="D928" s="16" t="s">
        <v>4278</v>
      </c>
      <c r="E928" s="16" t="s">
        <v>4382</v>
      </c>
      <c r="F928" s="16" t="s">
        <v>4383</v>
      </c>
      <c r="G928" s="16" t="s">
        <v>4384</v>
      </c>
      <c r="H928" s="16" t="s">
        <v>4385</v>
      </c>
      <c r="I928" s="16" t="s">
        <v>1278</v>
      </c>
      <c r="J928" s="16" t="s">
        <v>1109</v>
      </c>
      <c r="K928" s="16" t="s">
        <v>1279</v>
      </c>
      <c r="L928" s="16" t="s">
        <v>85</v>
      </c>
      <c r="M928" s="16" t="s">
        <v>1311</v>
      </c>
      <c r="N928" s="16" t="s">
        <v>914</v>
      </c>
      <c r="O928" s="16" t="s">
        <v>1312</v>
      </c>
      <c r="P928" s="16" t="s">
        <v>914</v>
      </c>
      <c r="Q928" s="16" t="s">
        <v>1312</v>
      </c>
      <c r="R928" s="16" t="s">
        <v>915</v>
      </c>
      <c r="S928" s="16" t="s">
        <v>915</v>
      </c>
      <c r="T928" s="16" t="s">
        <v>1311</v>
      </c>
      <c r="U928" s="16" t="s">
        <v>1313</v>
      </c>
      <c r="V928" s="16" t="s">
        <v>916</v>
      </c>
      <c r="W928" s="16" t="s">
        <v>1313</v>
      </c>
      <c r="X928" s="16" t="s">
        <v>934</v>
      </c>
      <c r="Y928" s="16" t="s">
        <v>934</v>
      </c>
      <c r="Z928" s="16" t="s">
        <v>935</v>
      </c>
      <c r="DA928" s="405" t="s">
        <v>5</v>
      </c>
      <c r="DB928" s="405" t="s">
        <v>363</v>
      </c>
      <c r="DC928" s="406" t="s">
        <v>85</v>
      </c>
      <c r="DD928" s="405" t="s">
        <v>917</v>
      </c>
      <c r="DE928" s="405" t="s">
        <v>5</v>
      </c>
      <c r="DF928" s="406" t="s">
        <v>85</v>
      </c>
      <c r="DG928" s="407">
        <v>45858</v>
      </c>
      <c r="DH928" s="405" t="s">
        <v>4382</v>
      </c>
      <c r="DI928" s="406">
        <v>465455</v>
      </c>
      <c r="DJ928" s="408">
        <v>5</v>
      </c>
      <c r="DK928" s="405">
        <v>1</v>
      </c>
      <c r="DL928" s="82">
        <v>531.54</v>
      </c>
      <c r="DM928" s="409">
        <v>2.6576999999999997</v>
      </c>
      <c r="DN928" s="82" t="s">
        <v>85</v>
      </c>
      <c r="DO928" s="82" t="s">
        <v>85</v>
      </c>
      <c r="DP928" s="410" t="s">
        <v>85</v>
      </c>
    </row>
    <row r="929" spans="1:120" x14ac:dyDescent="0.25">
      <c r="A929" s="16" t="s">
        <v>3737</v>
      </c>
      <c r="B929" s="16" t="s">
        <v>3738</v>
      </c>
      <c r="C929" s="16" t="s">
        <v>3739</v>
      </c>
      <c r="D929" s="16" t="s">
        <v>3740</v>
      </c>
      <c r="E929" s="16" t="s">
        <v>3741</v>
      </c>
      <c r="F929" s="16" t="s">
        <v>3742</v>
      </c>
      <c r="G929" s="16" t="s">
        <v>3743</v>
      </c>
      <c r="H929" s="16" t="s">
        <v>3742</v>
      </c>
      <c r="I929" s="16" t="s">
        <v>2556</v>
      </c>
      <c r="J929" s="16" t="s">
        <v>928</v>
      </c>
      <c r="K929" s="16" t="s">
        <v>2557</v>
      </c>
      <c r="L929" s="16" t="s">
        <v>85</v>
      </c>
      <c r="M929" s="16" t="s">
        <v>1322</v>
      </c>
      <c r="N929" s="16" t="s">
        <v>914</v>
      </c>
      <c r="O929" s="16" t="s">
        <v>1323</v>
      </c>
      <c r="P929" s="16" t="s">
        <v>914</v>
      </c>
      <c r="Q929" s="16" t="s">
        <v>1323</v>
      </c>
      <c r="R929" s="16" t="s">
        <v>915</v>
      </c>
      <c r="S929" s="16" t="s">
        <v>915</v>
      </c>
      <c r="T929" s="16" t="s">
        <v>1322</v>
      </c>
      <c r="U929" s="16" t="s">
        <v>1324</v>
      </c>
      <c r="V929" s="16" t="s">
        <v>916</v>
      </c>
      <c r="W929" s="16" t="s">
        <v>1324</v>
      </c>
      <c r="X929" s="16" t="s">
        <v>934</v>
      </c>
      <c r="Y929" s="16" t="s">
        <v>934</v>
      </c>
      <c r="Z929" s="16" t="s">
        <v>935</v>
      </c>
      <c r="DA929" s="405" t="s">
        <v>5</v>
      </c>
      <c r="DB929" s="405" t="s">
        <v>363</v>
      </c>
      <c r="DC929" s="406" t="s">
        <v>85</v>
      </c>
      <c r="DD929" s="405" t="s">
        <v>917</v>
      </c>
      <c r="DE929" s="405" t="s">
        <v>5</v>
      </c>
      <c r="DF929" s="406" t="s">
        <v>85</v>
      </c>
      <c r="DG929" s="407">
        <v>45859</v>
      </c>
      <c r="DH929" s="405" t="s">
        <v>3741</v>
      </c>
      <c r="DI929" s="406">
        <v>465455</v>
      </c>
      <c r="DJ929" s="408">
        <v>5</v>
      </c>
      <c r="DK929" s="405">
        <v>1</v>
      </c>
      <c r="DL929" s="82">
        <v>332.47</v>
      </c>
      <c r="DM929" s="409">
        <v>1.6623500000000002</v>
      </c>
      <c r="DN929" s="82" t="s">
        <v>85</v>
      </c>
      <c r="DO929" s="82" t="s">
        <v>85</v>
      </c>
      <c r="DP929" s="410" t="s">
        <v>85</v>
      </c>
    </row>
    <row r="930" spans="1:120" x14ac:dyDescent="0.25">
      <c r="A930" s="16" t="s">
        <v>3744</v>
      </c>
      <c r="B930" s="16" t="s">
        <v>3745</v>
      </c>
      <c r="C930" s="16" t="s">
        <v>3746</v>
      </c>
      <c r="D930" s="16" t="s">
        <v>3740</v>
      </c>
      <c r="E930" s="16" t="s">
        <v>3747</v>
      </c>
      <c r="F930" s="16" t="s">
        <v>3748</v>
      </c>
      <c r="G930" s="16" t="s">
        <v>3749</v>
      </c>
      <c r="H930" s="16" t="s">
        <v>3748</v>
      </c>
      <c r="I930" s="16" t="s">
        <v>1584</v>
      </c>
      <c r="J930" s="16" t="s">
        <v>928</v>
      </c>
      <c r="K930" s="16" t="s">
        <v>1585</v>
      </c>
      <c r="L930" s="16" t="s">
        <v>85</v>
      </c>
      <c r="M930" s="16" t="s">
        <v>1322</v>
      </c>
      <c r="N930" s="16" t="s">
        <v>914</v>
      </c>
      <c r="O930" s="16" t="s">
        <v>1323</v>
      </c>
      <c r="P930" s="16" t="s">
        <v>914</v>
      </c>
      <c r="Q930" s="16" t="s">
        <v>1323</v>
      </c>
      <c r="R930" s="16" t="s">
        <v>915</v>
      </c>
      <c r="S930" s="16" t="s">
        <v>915</v>
      </c>
      <c r="T930" s="16" t="s">
        <v>1322</v>
      </c>
      <c r="U930" s="16" t="s">
        <v>1324</v>
      </c>
      <c r="V930" s="16" t="s">
        <v>916</v>
      </c>
      <c r="W930" s="16" t="s">
        <v>1324</v>
      </c>
      <c r="X930" s="16" t="s">
        <v>934</v>
      </c>
      <c r="Y930" s="16" t="s">
        <v>934</v>
      </c>
      <c r="Z930" s="16" t="s">
        <v>935</v>
      </c>
      <c r="DA930" s="405" t="s">
        <v>5</v>
      </c>
      <c r="DB930" s="405" t="s">
        <v>363</v>
      </c>
      <c r="DC930" s="406" t="s">
        <v>85</v>
      </c>
      <c r="DD930" s="405" t="s">
        <v>917</v>
      </c>
      <c r="DE930" s="405" t="s">
        <v>5</v>
      </c>
      <c r="DF930" s="406" t="s">
        <v>85</v>
      </c>
      <c r="DG930" s="407">
        <v>45859</v>
      </c>
      <c r="DH930" s="405" t="s">
        <v>3747</v>
      </c>
      <c r="DI930" s="406">
        <v>465455</v>
      </c>
      <c r="DJ930" s="408">
        <v>5</v>
      </c>
      <c r="DK930" s="405">
        <v>1</v>
      </c>
      <c r="DL930" s="82">
        <v>332.47</v>
      </c>
      <c r="DM930" s="409">
        <v>1.6623500000000002</v>
      </c>
      <c r="DN930" s="82" t="s">
        <v>85</v>
      </c>
      <c r="DO930" s="82" t="s">
        <v>85</v>
      </c>
      <c r="DP930" s="410" t="s">
        <v>85</v>
      </c>
    </row>
    <row r="931" spans="1:120" x14ac:dyDescent="0.25">
      <c r="A931" s="16" t="s">
        <v>3750</v>
      </c>
      <c r="B931" s="16" t="s">
        <v>3751</v>
      </c>
      <c r="C931" s="16" t="s">
        <v>3752</v>
      </c>
      <c r="D931" s="16" t="s">
        <v>3740</v>
      </c>
      <c r="E931" s="16" t="s">
        <v>3753</v>
      </c>
      <c r="F931" s="16" t="s">
        <v>3754</v>
      </c>
      <c r="G931" s="16" t="s">
        <v>3755</v>
      </c>
      <c r="H931" s="16" t="s">
        <v>3754</v>
      </c>
      <c r="I931" s="16" t="s">
        <v>2721</v>
      </c>
      <c r="J931" s="16" t="s">
        <v>928</v>
      </c>
      <c r="K931" s="16" t="s">
        <v>2722</v>
      </c>
      <c r="L931" s="16" t="s">
        <v>85</v>
      </c>
      <c r="M931" s="16" t="s">
        <v>1322</v>
      </c>
      <c r="N931" s="16" t="s">
        <v>914</v>
      </c>
      <c r="O931" s="16" t="s">
        <v>1323</v>
      </c>
      <c r="P931" s="16" t="s">
        <v>914</v>
      </c>
      <c r="Q931" s="16" t="s">
        <v>1323</v>
      </c>
      <c r="R931" s="16" t="s">
        <v>915</v>
      </c>
      <c r="S931" s="16" t="s">
        <v>915</v>
      </c>
      <c r="T931" s="16" t="s">
        <v>1322</v>
      </c>
      <c r="U931" s="16" t="s">
        <v>1324</v>
      </c>
      <c r="V931" s="16" t="s">
        <v>916</v>
      </c>
      <c r="W931" s="16" t="s">
        <v>1324</v>
      </c>
      <c r="X931" s="16" t="s">
        <v>934</v>
      </c>
      <c r="Y931" s="16" t="s">
        <v>934</v>
      </c>
      <c r="Z931" s="16" t="s">
        <v>935</v>
      </c>
      <c r="DA931" s="405" t="s">
        <v>5</v>
      </c>
      <c r="DB931" s="405" t="s">
        <v>363</v>
      </c>
      <c r="DC931" s="406" t="s">
        <v>85</v>
      </c>
      <c r="DD931" s="405" t="s">
        <v>917</v>
      </c>
      <c r="DE931" s="405" t="s">
        <v>5</v>
      </c>
      <c r="DF931" s="406" t="s">
        <v>85</v>
      </c>
      <c r="DG931" s="407">
        <v>45859</v>
      </c>
      <c r="DH931" s="405" t="s">
        <v>3753</v>
      </c>
      <c r="DI931" s="406">
        <v>465455</v>
      </c>
      <c r="DJ931" s="408">
        <v>5</v>
      </c>
      <c r="DK931" s="405">
        <v>1</v>
      </c>
      <c r="DL931" s="82">
        <v>332.47</v>
      </c>
      <c r="DM931" s="409">
        <v>1.6623500000000002</v>
      </c>
      <c r="DN931" s="82" t="s">
        <v>85</v>
      </c>
      <c r="DO931" s="82" t="s">
        <v>85</v>
      </c>
      <c r="DP931" s="410" t="s">
        <v>85</v>
      </c>
    </row>
    <row r="932" spans="1:120" x14ac:dyDescent="0.25">
      <c r="A932" s="16" t="s">
        <v>3756</v>
      </c>
      <c r="B932" s="16" t="s">
        <v>3757</v>
      </c>
      <c r="C932" s="16" t="s">
        <v>3758</v>
      </c>
      <c r="D932" s="16" t="s">
        <v>3740</v>
      </c>
      <c r="E932" s="16" t="s">
        <v>3759</v>
      </c>
      <c r="F932" s="16" t="s">
        <v>3760</v>
      </c>
      <c r="G932" s="16" t="s">
        <v>3761</v>
      </c>
      <c r="H932" s="16" t="s">
        <v>3760</v>
      </c>
      <c r="I932" s="16" t="s">
        <v>1584</v>
      </c>
      <c r="J932" s="16" t="s">
        <v>928</v>
      </c>
      <c r="K932" s="16" t="s">
        <v>1585</v>
      </c>
      <c r="L932" s="16" t="s">
        <v>85</v>
      </c>
      <c r="M932" s="16" t="s">
        <v>1322</v>
      </c>
      <c r="N932" s="16" t="s">
        <v>914</v>
      </c>
      <c r="O932" s="16" t="s">
        <v>1323</v>
      </c>
      <c r="P932" s="16" t="s">
        <v>914</v>
      </c>
      <c r="Q932" s="16" t="s">
        <v>1323</v>
      </c>
      <c r="R932" s="16" t="s">
        <v>915</v>
      </c>
      <c r="S932" s="16" t="s">
        <v>915</v>
      </c>
      <c r="T932" s="16" t="s">
        <v>1322</v>
      </c>
      <c r="U932" s="16" t="s">
        <v>1324</v>
      </c>
      <c r="V932" s="16" t="s">
        <v>916</v>
      </c>
      <c r="W932" s="16" t="s">
        <v>1324</v>
      </c>
      <c r="X932" s="16" t="s">
        <v>934</v>
      </c>
      <c r="Y932" s="16" t="s">
        <v>934</v>
      </c>
      <c r="Z932" s="16" t="s">
        <v>935</v>
      </c>
      <c r="DA932" s="405" t="s">
        <v>5</v>
      </c>
      <c r="DB932" s="405" t="s">
        <v>363</v>
      </c>
      <c r="DC932" s="406" t="s">
        <v>85</v>
      </c>
      <c r="DD932" s="405" t="s">
        <v>917</v>
      </c>
      <c r="DE932" s="405" t="s">
        <v>5</v>
      </c>
      <c r="DF932" s="406" t="s">
        <v>85</v>
      </c>
      <c r="DG932" s="407">
        <v>45859</v>
      </c>
      <c r="DH932" s="405" t="s">
        <v>3759</v>
      </c>
      <c r="DI932" s="406">
        <v>465455</v>
      </c>
      <c r="DJ932" s="408">
        <v>5</v>
      </c>
      <c r="DK932" s="405">
        <v>1</v>
      </c>
      <c r="DL932" s="82">
        <v>332.47</v>
      </c>
      <c r="DM932" s="409">
        <v>1.6623500000000002</v>
      </c>
      <c r="DN932" s="82" t="s">
        <v>85</v>
      </c>
      <c r="DO932" s="82" t="s">
        <v>85</v>
      </c>
      <c r="DP932" s="410" t="s">
        <v>85</v>
      </c>
    </row>
    <row r="933" spans="1:120" x14ac:dyDescent="0.25">
      <c r="A933" s="16" t="s">
        <v>3762</v>
      </c>
      <c r="B933" s="16" t="s">
        <v>3763</v>
      </c>
      <c r="C933" s="16" t="s">
        <v>3764</v>
      </c>
      <c r="D933" s="16" t="s">
        <v>3740</v>
      </c>
      <c r="E933" s="16" t="s">
        <v>3765</v>
      </c>
      <c r="F933" s="16" t="s">
        <v>3766</v>
      </c>
      <c r="G933" s="16" t="s">
        <v>3767</v>
      </c>
      <c r="H933" s="16" t="s">
        <v>3766</v>
      </c>
      <c r="I933" s="16" t="s">
        <v>968</v>
      </c>
      <c r="J933" s="16" t="s">
        <v>943</v>
      </c>
      <c r="K933" s="16" t="s">
        <v>969</v>
      </c>
      <c r="L933" s="16" t="s">
        <v>85</v>
      </c>
      <c r="M933" s="16" t="s">
        <v>984</v>
      </c>
      <c r="N933" s="16" t="s">
        <v>914</v>
      </c>
      <c r="O933" s="16" t="s">
        <v>985</v>
      </c>
      <c r="P933" s="16" t="s">
        <v>914</v>
      </c>
      <c r="Q933" s="16" t="s">
        <v>985</v>
      </c>
      <c r="R933" s="16" t="s">
        <v>915</v>
      </c>
      <c r="S933" s="16" t="s">
        <v>915</v>
      </c>
      <c r="T933" s="16" t="s">
        <v>986</v>
      </c>
      <c r="U933" s="16" t="s">
        <v>987</v>
      </c>
      <c r="V933" s="16" t="s">
        <v>916</v>
      </c>
      <c r="W933" s="16" t="s">
        <v>987</v>
      </c>
      <c r="X933" s="16" t="s">
        <v>934</v>
      </c>
      <c r="Y933" s="16" t="s">
        <v>934</v>
      </c>
      <c r="Z933" s="16" t="s">
        <v>935</v>
      </c>
      <c r="DA933" s="405" t="s">
        <v>5</v>
      </c>
      <c r="DB933" s="405" t="s">
        <v>363</v>
      </c>
      <c r="DC933" s="406" t="s">
        <v>85</v>
      </c>
      <c r="DD933" s="405" t="s">
        <v>917</v>
      </c>
      <c r="DE933" s="405" t="s">
        <v>5</v>
      </c>
      <c r="DF933" s="406" t="s">
        <v>85</v>
      </c>
      <c r="DG933" s="407">
        <v>45859</v>
      </c>
      <c r="DH933" s="405" t="s">
        <v>3765</v>
      </c>
      <c r="DI933" s="406">
        <v>465455</v>
      </c>
      <c r="DJ933" s="408">
        <v>5</v>
      </c>
      <c r="DK933" s="405">
        <v>1</v>
      </c>
      <c r="DL933" s="82">
        <v>340.55</v>
      </c>
      <c r="DM933" s="409">
        <v>1.70275</v>
      </c>
      <c r="DN933" s="82" t="s">
        <v>85</v>
      </c>
      <c r="DO933" s="82" t="s">
        <v>85</v>
      </c>
      <c r="DP933" s="410" t="s">
        <v>85</v>
      </c>
    </row>
    <row r="934" spans="1:120" x14ac:dyDescent="0.25">
      <c r="A934" s="16" t="s">
        <v>3768</v>
      </c>
      <c r="B934" s="16" t="s">
        <v>3769</v>
      </c>
      <c r="C934" s="16" t="s">
        <v>3770</v>
      </c>
      <c r="D934" s="16" t="s">
        <v>3740</v>
      </c>
      <c r="E934" s="16" t="s">
        <v>3771</v>
      </c>
      <c r="F934" s="16" t="s">
        <v>3772</v>
      </c>
      <c r="G934" s="16" t="s">
        <v>3773</v>
      </c>
      <c r="H934" s="16" t="s">
        <v>3774</v>
      </c>
      <c r="I934" s="16" t="s">
        <v>1099</v>
      </c>
      <c r="J934" s="16" t="s">
        <v>943</v>
      </c>
      <c r="K934" s="16" t="s">
        <v>1100</v>
      </c>
      <c r="L934" s="16" t="s">
        <v>85</v>
      </c>
      <c r="M934" s="16" t="s">
        <v>984</v>
      </c>
      <c r="N934" s="16" t="s">
        <v>914</v>
      </c>
      <c r="O934" s="16" t="s">
        <v>985</v>
      </c>
      <c r="P934" s="16" t="s">
        <v>914</v>
      </c>
      <c r="Q934" s="16" t="s">
        <v>985</v>
      </c>
      <c r="R934" s="16" t="s">
        <v>915</v>
      </c>
      <c r="S934" s="16" t="s">
        <v>915</v>
      </c>
      <c r="T934" s="16" t="s">
        <v>986</v>
      </c>
      <c r="U934" s="16" t="s">
        <v>987</v>
      </c>
      <c r="V934" s="16" t="s">
        <v>916</v>
      </c>
      <c r="W934" s="16" t="s">
        <v>987</v>
      </c>
      <c r="X934" s="16" t="s">
        <v>934</v>
      </c>
      <c r="Y934" s="16" t="s">
        <v>934</v>
      </c>
      <c r="Z934" s="16" t="s">
        <v>935</v>
      </c>
      <c r="DA934" s="405" t="s">
        <v>5</v>
      </c>
      <c r="DB934" s="405" t="s">
        <v>363</v>
      </c>
      <c r="DC934" s="406" t="s">
        <v>85</v>
      </c>
      <c r="DD934" s="405" t="s">
        <v>917</v>
      </c>
      <c r="DE934" s="405" t="s">
        <v>5</v>
      </c>
      <c r="DF934" s="406" t="s">
        <v>85</v>
      </c>
      <c r="DG934" s="407">
        <v>45859</v>
      </c>
      <c r="DH934" s="405" t="s">
        <v>3771</v>
      </c>
      <c r="DI934" s="406">
        <v>465455</v>
      </c>
      <c r="DJ934" s="408">
        <v>5</v>
      </c>
      <c r="DK934" s="405">
        <v>1</v>
      </c>
      <c r="DL934" s="82">
        <v>340.55</v>
      </c>
      <c r="DM934" s="409">
        <v>1.70275</v>
      </c>
      <c r="DN934" s="82" t="s">
        <v>85</v>
      </c>
      <c r="DO934" s="82" t="s">
        <v>85</v>
      </c>
      <c r="DP934" s="410" t="s">
        <v>85</v>
      </c>
    </row>
    <row r="935" spans="1:120" x14ac:dyDescent="0.25">
      <c r="A935" s="16" t="s">
        <v>3775</v>
      </c>
      <c r="B935" s="16" t="s">
        <v>3776</v>
      </c>
      <c r="C935" s="16" t="s">
        <v>3777</v>
      </c>
      <c r="D935" s="16" t="s">
        <v>3740</v>
      </c>
      <c r="E935" s="16" t="s">
        <v>3778</v>
      </c>
      <c r="F935" s="16" t="s">
        <v>3779</v>
      </c>
      <c r="G935" s="16" t="s">
        <v>3780</v>
      </c>
      <c r="H935" s="16" t="s">
        <v>3779</v>
      </c>
      <c r="I935" s="16" t="s">
        <v>1309</v>
      </c>
      <c r="J935" s="16" t="s">
        <v>1109</v>
      </c>
      <c r="K935" s="16" t="s">
        <v>1310</v>
      </c>
      <c r="L935" s="16" t="s">
        <v>85</v>
      </c>
      <c r="M935" s="16" t="s">
        <v>1311</v>
      </c>
      <c r="N935" s="16" t="s">
        <v>914</v>
      </c>
      <c r="O935" s="16" t="s">
        <v>1312</v>
      </c>
      <c r="P935" s="16" t="s">
        <v>914</v>
      </c>
      <c r="Q935" s="16" t="s">
        <v>1312</v>
      </c>
      <c r="R935" s="16" t="s">
        <v>915</v>
      </c>
      <c r="S935" s="16" t="s">
        <v>915</v>
      </c>
      <c r="T935" s="16" t="s">
        <v>1311</v>
      </c>
      <c r="U935" s="16" t="s">
        <v>1313</v>
      </c>
      <c r="V935" s="16" t="s">
        <v>916</v>
      </c>
      <c r="W935" s="16" t="s">
        <v>1313</v>
      </c>
      <c r="X935" s="16" t="s">
        <v>934</v>
      </c>
      <c r="Y935" s="16" t="s">
        <v>934</v>
      </c>
      <c r="Z935" s="16" t="s">
        <v>935</v>
      </c>
      <c r="DA935" s="405" t="s">
        <v>5</v>
      </c>
      <c r="DB935" s="405" t="s">
        <v>363</v>
      </c>
      <c r="DC935" s="406" t="s">
        <v>85</v>
      </c>
      <c r="DD935" s="405" t="s">
        <v>917</v>
      </c>
      <c r="DE935" s="405" t="s">
        <v>5</v>
      </c>
      <c r="DF935" s="406" t="s">
        <v>85</v>
      </c>
      <c r="DG935" s="407">
        <v>45859</v>
      </c>
      <c r="DH935" s="405" t="s">
        <v>3778</v>
      </c>
      <c r="DI935" s="406">
        <v>465455</v>
      </c>
      <c r="DJ935" s="408">
        <v>5</v>
      </c>
      <c r="DK935" s="405">
        <v>1</v>
      </c>
      <c r="DL935" s="82">
        <v>531.54</v>
      </c>
      <c r="DM935" s="409">
        <v>2.6576999999999997</v>
      </c>
      <c r="DN935" s="82" t="s">
        <v>85</v>
      </c>
      <c r="DO935" s="82" t="s">
        <v>85</v>
      </c>
      <c r="DP935" s="410" t="s">
        <v>85</v>
      </c>
    </row>
    <row r="936" spans="1:120" x14ac:dyDescent="0.25">
      <c r="A936" s="16" t="s">
        <v>3781</v>
      </c>
      <c r="B936" s="16" t="s">
        <v>3782</v>
      </c>
      <c r="C936" s="16" t="s">
        <v>3783</v>
      </c>
      <c r="D936" s="16" t="s">
        <v>3740</v>
      </c>
      <c r="E936" s="16" t="s">
        <v>3784</v>
      </c>
      <c r="F936" s="16" t="s">
        <v>3785</v>
      </c>
      <c r="G936" s="16" t="s">
        <v>3786</v>
      </c>
      <c r="H936" s="16" t="s">
        <v>3787</v>
      </c>
      <c r="I936" s="16" t="s">
        <v>2997</v>
      </c>
      <c r="J936" s="16" t="s">
        <v>943</v>
      </c>
      <c r="K936" s="16" t="s">
        <v>2998</v>
      </c>
      <c r="L936" s="16" t="s">
        <v>85</v>
      </c>
      <c r="M936" s="16" t="s">
        <v>984</v>
      </c>
      <c r="N936" s="16" t="s">
        <v>914</v>
      </c>
      <c r="O936" s="16" t="s">
        <v>985</v>
      </c>
      <c r="P936" s="16" t="s">
        <v>914</v>
      </c>
      <c r="Q936" s="16" t="s">
        <v>985</v>
      </c>
      <c r="R936" s="16" t="s">
        <v>915</v>
      </c>
      <c r="S936" s="16" t="s">
        <v>915</v>
      </c>
      <c r="T936" s="16" t="s">
        <v>986</v>
      </c>
      <c r="U936" s="16" t="s">
        <v>987</v>
      </c>
      <c r="V936" s="16" t="s">
        <v>916</v>
      </c>
      <c r="W936" s="16" t="s">
        <v>987</v>
      </c>
      <c r="X936" s="16" t="s">
        <v>934</v>
      </c>
      <c r="Y936" s="16" t="s">
        <v>934</v>
      </c>
      <c r="Z936" s="16" t="s">
        <v>935</v>
      </c>
      <c r="DA936" s="405" t="s">
        <v>5</v>
      </c>
      <c r="DB936" s="405" t="s">
        <v>363</v>
      </c>
      <c r="DC936" s="406" t="s">
        <v>85</v>
      </c>
      <c r="DD936" s="405" t="s">
        <v>917</v>
      </c>
      <c r="DE936" s="405" t="s">
        <v>5</v>
      </c>
      <c r="DF936" s="406" t="s">
        <v>85</v>
      </c>
      <c r="DG936" s="407">
        <v>45859</v>
      </c>
      <c r="DH936" s="405" t="s">
        <v>3784</v>
      </c>
      <c r="DI936" s="406">
        <v>465455</v>
      </c>
      <c r="DJ936" s="408">
        <v>5</v>
      </c>
      <c r="DK936" s="405">
        <v>1</v>
      </c>
      <c r="DL936" s="82">
        <v>340.55</v>
      </c>
      <c r="DM936" s="409">
        <v>1.70275</v>
      </c>
      <c r="DN936" s="82" t="s">
        <v>85</v>
      </c>
      <c r="DO936" s="82" t="s">
        <v>85</v>
      </c>
      <c r="DP936" s="410" t="s">
        <v>85</v>
      </c>
    </row>
    <row r="937" spans="1:120" x14ac:dyDescent="0.25">
      <c r="A937" s="16" t="s">
        <v>3788</v>
      </c>
      <c r="B937" s="16" t="s">
        <v>3789</v>
      </c>
      <c r="C937" s="16" t="s">
        <v>3790</v>
      </c>
      <c r="D937" s="16" t="s">
        <v>3740</v>
      </c>
      <c r="E937" s="16" t="s">
        <v>3791</v>
      </c>
      <c r="F937" s="16" t="s">
        <v>3792</v>
      </c>
      <c r="G937" s="16" t="s">
        <v>3793</v>
      </c>
      <c r="H937" s="16" t="s">
        <v>3794</v>
      </c>
      <c r="I937" s="16" t="s">
        <v>1150</v>
      </c>
      <c r="J937" s="16" t="s">
        <v>943</v>
      </c>
      <c r="K937" s="16" t="s">
        <v>1151</v>
      </c>
      <c r="L937" s="16" t="s">
        <v>85</v>
      </c>
      <c r="M937" s="16" t="s">
        <v>984</v>
      </c>
      <c r="N937" s="16" t="s">
        <v>914</v>
      </c>
      <c r="O937" s="16" t="s">
        <v>985</v>
      </c>
      <c r="P937" s="16" t="s">
        <v>914</v>
      </c>
      <c r="Q937" s="16" t="s">
        <v>985</v>
      </c>
      <c r="R937" s="16" t="s">
        <v>915</v>
      </c>
      <c r="S937" s="16" t="s">
        <v>915</v>
      </c>
      <c r="T937" s="16" t="s">
        <v>986</v>
      </c>
      <c r="U937" s="16" t="s">
        <v>987</v>
      </c>
      <c r="V937" s="16" t="s">
        <v>916</v>
      </c>
      <c r="W937" s="16" t="s">
        <v>987</v>
      </c>
      <c r="X937" s="16" t="s">
        <v>934</v>
      </c>
      <c r="Y937" s="16" t="s">
        <v>934</v>
      </c>
      <c r="Z937" s="16" t="s">
        <v>935</v>
      </c>
      <c r="DA937" s="405" t="s">
        <v>5</v>
      </c>
      <c r="DB937" s="405" t="s">
        <v>363</v>
      </c>
      <c r="DC937" s="406" t="s">
        <v>85</v>
      </c>
      <c r="DD937" s="405" t="s">
        <v>917</v>
      </c>
      <c r="DE937" s="405" t="s">
        <v>5</v>
      </c>
      <c r="DF937" s="406" t="s">
        <v>85</v>
      </c>
      <c r="DG937" s="407">
        <v>45859</v>
      </c>
      <c r="DH937" s="405" t="s">
        <v>3791</v>
      </c>
      <c r="DI937" s="406">
        <v>465455</v>
      </c>
      <c r="DJ937" s="408">
        <v>5</v>
      </c>
      <c r="DK937" s="405">
        <v>1</v>
      </c>
      <c r="DL937" s="82">
        <v>340.55</v>
      </c>
      <c r="DM937" s="409">
        <v>1.70275</v>
      </c>
      <c r="DN937" s="82" t="s">
        <v>85</v>
      </c>
      <c r="DO937" s="82" t="s">
        <v>85</v>
      </c>
      <c r="DP937" s="410" t="s">
        <v>85</v>
      </c>
    </row>
    <row r="938" spans="1:120" x14ac:dyDescent="0.25">
      <c r="A938" s="16" t="s">
        <v>3788</v>
      </c>
      <c r="B938" s="16" t="s">
        <v>3789</v>
      </c>
      <c r="C938" s="16" t="s">
        <v>3790</v>
      </c>
      <c r="D938" s="16" t="s">
        <v>3740</v>
      </c>
      <c r="E938" s="16" t="s">
        <v>3791</v>
      </c>
      <c r="F938" s="16" t="s">
        <v>3792</v>
      </c>
      <c r="G938" s="16" t="s">
        <v>3793</v>
      </c>
      <c r="H938" s="16" t="s">
        <v>3794</v>
      </c>
      <c r="I938" s="16" t="s">
        <v>1090</v>
      </c>
      <c r="J938" s="16" t="s">
        <v>943</v>
      </c>
      <c r="K938" s="16" t="s">
        <v>1091</v>
      </c>
      <c r="L938" s="16" t="s">
        <v>85</v>
      </c>
      <c r="M938" s="16" t="s">
        <v>984</v>
      </c>
      <c r="N938" s="16" t="s">
        <v>914</v>
      </c>
      <c r="O938" s="16" t="s">
        <v>985</v>
      </c>
      <c r="P938" s="16" t="s">
        <v>914</v>
      </c>
      <c r="Q938" s="16" t="s">
        <v>985</v>
      </c>
      <c r="R938" s="16" t="s">
        <v>915</v>
      </c>
      <c r="S938" s="16" t="s">
        <v>915</v>
      </c>
      <c r="T938" s="16" t="s">
        <v>986</v>
      </c>
      <c r="U938" s="16" t="s">
        <v>987</v>
      </c>
      <c r="V938" s="16" t="s">
        <v>916</v>
      </c>
      <c r="W938" s="16" t="s">
        <v>987</v>
      </c>
      <c r="X938" s="16" t="s">
        <v>934</v>
      </c>
      <c r="Y938" s="16" t="s">
        <v>934</v>
      </c>
      <c r="Z938" s="16" t="s">
        <v>935</v>
      </c>
      <c r="DA938" s="405" t="s">
        <v>5</v>
      </c>
      <c r="DB938" s="405" t="s">
        <v>363</v>
      </c>
      <c r="DC938" s="406" t="s">
        <v>85</v>
      </c>
      <c r="DD938" s="405" t="s">
        <v>917</v>
      </c>
      <c r="DE938" s="405" t="s">
        <v>5</v>
      </c>
      <c r="DF938" s="406" t="s">
        <v>85</v>
      </c>
      <c r="DG938" s="407">
        <v>45859</v>
      </c>
      <c r="DH938" s="405" t="s">
        <v>3791</v>
      </c>
      <c r="DI938" s="406">
        <v>465455</v>
      </c>
      <c r="DJ938" s="408">
        <v>5</v>
      </c>
      <c r="DK938" s="405">
        <v>1</v>
      </c>
      <c r="DL938" s="82">
        <v>340.55</v>
      </c>
      <c r="DM938" s="409">
        <v>1.70275</v>
      </c>
      <c r="DN938" s="82" t="s">
        <v>85</v>
      </c>
      <c r="DO938" s="82" t="s">
        <v>85</v>
      </c>
      <c r="DP938" s="410" t="s">
        <v>85</v>
      </c>
    </row>
    <row r="939" spans="1:120" x14ac:dyDescent="0.25">
      <c r="A939" s="16" t="s">
        <v>3795</v>
      </c>
      <c r="B939" s="16" t="s">
        <v>3796</v>
      </c>
      <c r="C939" s="16" t="s">
        <v>3797</v>
      </c>
      <c r="D939" s="16" t="s">
        <v>3740</v>
      </c>
      <c r="E939" s="16" t="s">
        <v>3798</v>
      </c>
      <c r="F939" s="16" t="s">
        <v>3799</v>
      </c>
      <c r="G939" s="16" t="s">
        <v>3800</v>
      </c>
      <c r="H939" s="16" t="s">
        <v>3799</v>
      </c>
      <c r="I939" s="16" t="s">
        <v>1090</v>
      </c>
      <c r="J939" s="16" t="s">
        <v>943</v>
      </c>
      <c r="K939" s="16" t="s">
        <v>1091</v>
      </c>
      <c r="L939" s="16" t="s">
        <v>85</v>
      </c>
      <c r="M939" s="16" t="s">
        <v>984</v>
      </c>
      <c r="N939" s="16" t="s">
        <v>914</v>
      </c>
      <c r="O939" s="16" t="s">
        <v>985</v>
      </c>
      <c r="P939" s="16" t="s">
        <v>914</v>
      </c>
      <c r="Q939" s="16" t="s">
        <v>985</v>
      </c>
      <c r="R939" s="16" t="s">
        <v>915</v>
      </c>
      <c r="S939" s="16" t="s">
        <v>915</v>
      </c>
      <c r="T939" s="16" t="s">
        <v>986</v>
      </c>
      <c r="U939" s="16" t="s">
        <v>987</v>
      </c>
      <c r="V939" s="16" t="s">
        <v>916</v>
      </c>
      <c r="W939" s="16" t="s">
        <v>987</v>
      </c>
      <c r="X939" s="16" t="s">
        <v>934</v>
      </c>
      <c r="Y939" s="16" t="s">
        <v>934</v>
      </c>
      <c r="Z939" s="16" t="s">
        <v>935</v>
      </c>
      <c r="DA939" s="405" t="s">
        <v>5</v>
      </c>
      <c r="DB939" s="405" t="s">
        <v>363</v>
      </c>
      <c r="DC939" s="406" t="s">
        <v>85</v>
      </c>
      <c r="DD939" s="405" t="s">
        <v>917</v>
      </c>
      <c r="DE939" s="405" t="s">
        <v>5</v>
      </c>
      <c r="DF939" s="406" t="s">
        <v>85</v>
      </c>
      <c r="DG939" s="407">
        <v>45859</v>
      </c>
      <c r="DH939" s="405" t="s">
        <v>3798</v>
      </c>
      <c r="DI939" s="406">
        <v>465455</v>
      </c>
      <c r="DJ939" s="408">
        <v>5</v>
      </c>
      <c r="DK939" s="405">
        <v>1</v>
      </c>
      <c r="DL939" s="82">
        <v>340.55</v>
      </c>
      <c r="DM939" s="409">
        <v>1.70275</v>
      </c>
      <c r="DN939" s="82" t="s">
        <v>85</v>
      </c>
      <c r="DO939" s="82" t="s">
        <v>85</v>
      </c>
      <c r="DP939" s="410" t="s">
        <v>85</v>
      </c>
    </row>
    <row r="940" spans="1:120" x14ac:dyDescent="0.25">
      <c r="A940" s="16" t="s">
        <v>3795</v>
      </c>
      <c r="B940" s="16" t="s">
        <v>3796</v>
      </c>
      <c r="C940" s="16" t="s">
        <v>3797</v>
      </c>
      <c r="D940" s="16" t="s">
        <v>3740</v>
      </c>
      <c r="E940" s="16" t="s">
        <v>3798</v>
      </c>
      <c r="F940" s="16" t="s">
        <v>3799</v>
      </c>
      <c r="G940" s="16" t="s">
        <v>3800</v>
      </c>
      <c r="H940" s="16" t="s">
        <v>3799</v>
      </c>
      <c r="I940" s="16" t="s">
        <v>1547</v>
      </c>
      <c r="J940" s="16" t="s">
        <v>943</v>
      </c>
      <c r="K940" s="16" t="s">
        <v>1548</v>
      </c>
      <c r="L940" s="16" t="s">
        <v>85</v>
      </c>
      <c r="M940" s="16" t="s">
        <v>984</v>
      </c>
      <c r="N940" s="16" t="s">
        <v>914</v>
      </c>
      <c r="O940" s="16" t="s">
        <v>985</v>
      </c>
      <c r="P940" s="16" t="s">
        <v>914</v>
      </c>
      <c r="Q940" s="16" t="s">
        <v>985</v>
      </c>
      <c r="R940" s="16" t="s">
        <v>915</v>
      </c>
      <c r="S940" s="16" t="s">
        <v>915</v>
      </c>
      <c r="T940" s="16" t="s">
        <v>986</v>
      </c>
      <c r="U940" s="16" t="s">
        <v>987</v>
      </c>
      <c r="V940" s="16" t="s">
        <v>916</v>
      </c>
      <c r="W940" s="16" t="s">
        <v>987</v>
      </c>
      <c r="X940" s="16" t="s">
        <v>934</v>
      </c>
      <c r="Y940" s="16" t="s">
        <v>934</v>
      </c>
      <c r="Z940" s="16" t="s">
        <v>935</v>
      </c>
      <c r="DA940" s="405" t="s">
        <v>5</v>
      </c>
      <c r="DB940" s="405" t="s">
        <v>363</v>
      </c>
      <c r="DC940" s="406" t="s">
        <v>85</v>
      </c>
      <c r="DD940" s="405" t="s">
        <v>917</v>
      </c>
      <c r="DE940" s="405" t="s">
        <v>5</v>
      </c>
      <c r="DF940" s="406" t="s">
        <v>85</v>
      </c>
      <c r="DG940" s="407">
        <v>45859</v>
      </c>
      <c r="DH940" s="405" t="s">
        <v>3798</v>
      </c>
      <c r="DI940" s="406">
        <v>465455</v>
      </c>
      <c r="DJ940" s="408">
        <v>5</v>
      </c>
      <c r="DK940" s="405">
        <v>1</v>
      </c>
      <c r="DL940" s="82">
        <v>340.55</v>
      </c>
      <c r="DM940" s="409">
        <v>1.70275</v>
      </c>
      <c r="DN940" s="82" t="s">
        <v>85</v>
      </c>
      <c r="DO940" s="82" t="s">
        <v>85</v>
      </c>
      <c r="DP940" s="410" t="s">
        <v>85</v>
      </c>
    </row>
    <row r="941" spans="1:120" x14ac:dyDescent="0.25">
      <c r="A941" s="16" t="s">
        <v>3801</v>
      </c>
      <c r="B941" s="16" t="s">
        <v>3802</v>
      </c>
      <c r="C941" s="16" t="s">
        <v>3803</v>
      </c>
      <c r="D941" s="16" t="s">
        <v>3740</v>
      </c>
      <c r="E941" s="16" t="s">
        <v>3804</v>
      </c>
      <c r="F941" s="16" t="s">
        <v>3805</v>
      </c>
      <c r="G941" s="16" t="s">
        <v>3806</v>
      </c>
      <c r="H941" s="16" t="s">
        <v>3807</v>
      </c>
      <c r="I941" s="16" t="s">
        <v>3808</v>
      </c>
      <c r="J941" s="16" t="s">
        <v>1661</v>
      </c>
      <c r="K941" s="16" t="s">
        <v>3809</v>
      </c>
      <c r="L941" s="16" t="s">
        <v>85</v>
      </c>
      <c r="M941" s="16" t="s">
        <v>1216</v>
      </c>
      <c r="N941" s="16" t="s">
        <v>914</v>
      </c>
      <c r="O941" s="16" t="s">
        <v>946</v>
      </c>
      <c r="P941" s="16" t="s">
        <v>914</v>
      </c>
      <c r="Q941" s="16" t="s">
        <v>946</v>
      </c>
      <c r="R941" s="16" t="s">
        <v>915</v>
      </c>
      <c r="S941" s="16" t="s">
        <v>915</v>
      </c>
      <c r="T941" s="16" t="s">
        <v>1216</v>
      </c>
      <c r="U941" s="16" t="s">
        <v>1217</v>
      </c>
      <c r="V941" s="16" t="s">
        <v>916</v>
      </c>
      <c r="W941" s="16" t="s">
        <v>1217</v>
      </c>
      <c r="X941" s="16" t="s">
        <v>934</v>
      </c>
      <c r="Y941" s="16" t="s">
        <v>934</v>
      </c>
      <c r="Z941" s="16" t="s">
        <v>935</v>
      </c>
      <c r="DA941" s="405" t="s">
        <v>5</v>
      </c>
      <c r="DB941" s="405" t="s">
        <v>363</v>
      </c>
      <c r="DC941" s="406" t="s">
        <v>85</v>
      </c>
      <c r="DD941" s="405" t="s">
        <v>917</v>
      </c>
      <c r="DE941" s="405" t="s">
        <v>5</v>
      </c>
      <c r="DF941" s="406" t="s">
        <v>85</v>
      </c>
      <c r="DG941" s="407">
        <v>45859</v>
      </c>
      <c r="DH941" s="405" t="s">
        <v>3804</v>
      </c>
      <c r="DI941" s="406">
        <v>465455</v>
      </c>
      <c r="DJ941" s="408">
        <v>5</v>
      </c>
      <c r="DK941" s="405">
        <v>1</v>
      </c>
      <c r="DL941" s="82">
        <v>319.22000000000003</v>
      </c>
      <c r="DM941" s="409">
        <v>1.5961000000000001</v>
      </c>
      <c r="DN941" s="82" t="s">
        <v>85</v>
      </c>
      <c r="DO941" s="82" t="s">
        <v>85</v>
      </c>
      <c r="DP941" s="410" t="s">
        <v>85</v>
      </c>
    </row>
    <row r="942" spans="1:120" x14ac:dyDescent="0.25">
      <c r="A942" s="16" t="s">
        <v>3810</v>
      </c>
      <c r="B942" s="16" t="s">
        <v>3811</v>
      </c>
      <c r="C942" s="16" t="s">
        <v>3812</v>
      </c>
      <c r="D942" s="16" t="s">
        <v>3740</v>
      </c>
      <c r="E942" s="16" t="s">
        <v>3813</v>
      </c>
      <c r="F942" s="16" t="s">
        <v>3814</v>
      </c>
      <c r="G942" s="16" t="s">
        <v>3815</v>
      </c>
      <c r="H942" s="16" t="s">
        <v>3816</v>
      </c>
      <c r="I942" s="16" t="s">
        <v>1026</v>
      </c>
      <c r="J942" s="16" t="s">
        <v>943</v>
      </c>
      <c r="K942" s="16" t="s">
        <v>1027</v>
      </c>
      <c r="L942" s="16" t="s">
        <v>85</v>
      </c>
      <c r="M942" s="16" t="s">
        <v>984</v>
      </c>
      <c r="N942" s="16" t="s">
        <v>914</v>
      </c>
      <c r="O942" s="16" t="s">
        <v>985</v>
      </c>
      <c r="P942" s="16" t="s">
        <v>914</v>
      </c>
      <c r="Q942" s="16" t="s">
        <v>985</v>
      </c>
      <c r="R942" s="16" t="s">
        <v>915</v>
      </c>
      <c r="S942" s="16" t="s">
        <v>915</v>
      </c>
      <c r="T942" s="16" t="s">
        <v>986</v>
      </c>
      <c r="U942" s="16" t="s">
        <v>987</v>
      </c>
      <c r="V942" s="16" t="s">
        <v>916</v>
      </c>
      <c r="W942" s="16" t="s">
        <v>987</v>
      </c>
      <c r="X942" s="16" t="s">
        <v>934</v>
      </c>
      <c r="Y942" s="16" t="s">
        <v>934</v>
      </c>
      <c r="Z942" s="16" t="s">
        <v>935</v>
      </c>
      <c r="DA942" s="405" t="s">
        <v>5</v>
      </c>
      <c r="DB942" s="405" t="s">
        <v>363</v>
      </c>
      <c r="DC942" s="406" t="s">
        <v>85</v>
      </c>
      <c r="DD942" s="405" t="s">
        <v>917</v>
      </c>
      <c r="DE942" s="405" t="s">
        <v>5</v>
      </c>
      <c r="DF942" s="406" t="s">
        <v>85</v>
      </c>
      <c r="DG942" s="407">
        <v>45859</v>
      </c>
      <c r="DH942" s="405" t="s">
        <v>3813</v>
      </c>
      <c r="DI942" s="406">
        <v>465455</v>
      </c>
      <c r="DJ942" s="408">
        <v>5</v>
      </c>
      <c r="DK942" s="405">
        <v>1</v>
      </c>
      <c r="DL942" s="82">
        <v>340.55</v>
      </c>
      <c r="DM942" s="409">
        <v>1.70275</v>
      </c>
      <c r="DN942" s="82" t="s">
        <v>85</v>
      </c>
      <c r="DO942" s="82" t="s">
        <v>85</v>
      </c>
      <c r="DP942" s="410" t="s">
        <v>85</v>
      </c>
    </row>
    <row r="943" spans="1:120" x14ac:dyDescent="0.25">
      <c r="A943" s="16" t="s">
        <v>3817</v>
      </c>
      <c r="B943" s="16" t="s">
        <v>3818</v>
      </c>
      <c r="C943" s="16" t="s">
        <v>3819</v>
      </c>
      <c r="D943" s="16" t="s">
        <v>3740</v>
      </c>
      <c r="E943" s="16" t="s">
        <v>3820</v>
      </c>
      <c r="F943" s="16" t="s">
        <v>3821</v>
      </c>
      <c r="G943" s="16" t="s">
        <v>3822</v>
      </c>
      <c r="H943" s="16" t="s">
        <v>3821</v>
      </c>
      <c r="I943" s="16" t="s">
        <v>3823</v>
      </c>
      <c r="J943" s="16" t="s">
        <v>928</v>
      </c>
      <c r="K943" s="16" t="s">
        <v>3824</v>
      </c>
      <c r="L943" s="16" t="s">
        <v>85</v>
      </c>
      <c r="M943" s="16" t="s">
        <v>1322</v>
      </c>
      <c r="N943" s="16" t="s">
        <v>914</v>
      </c>
      <c r="O943" s="16" t="s">
        <v>1323</v>
      </c>
      <c r="P943" s="16" t="s">
        <v>914</v>
      </c>
      <c r="Q943" s="16" t="s">
        <v>1323</v>
      </c>
      <c r="R943" s="16" t="s">
        <v>915</v>
      </c>
      <c r="S943" s="16" t="s">
        <v>915</v>
      </c>
      <c r="T943" s="16" t="s">
        <v>1322</v>
      </c>
      <c r="U943" s="16" t="s">
        <v>1324</v>
      </c>
      <c r="V943" s="16" t="s">
        <v>916</v>
      </c>
      <c r="W943" s="16" t="s">
        <v>1324</v>
      </c>
      <c r="X943" s="16" t="s">
        <v>934</v>
      </c>
      <c r="Y943" s="16" t="s">
        <v>934</v>
      </c>
      <c r="Z943" s="16" t="s">
        <v>935</v>
      </c>
      <c r="DA943" s="405" t="s">
        <v>5</v>
      </c>
      <c r="DB943" s="405" t="s">
        <v>363</v>
      </c>
      <c r="DC943" s="406" t="s">
        <v>85</v>
      </c>
      <c r="DD943" s="405" t="s">
        <v>917</v>
      </c>
      <c r="DE943" s="405" t="s">
        <v>5</v>
      </c>
      <c r="DF943" s="406" t="s">
        <v>85</v>
      </c>
      <c r="DG943" s="407">
        <v>45859</v>
      </c>
      <c r="DH943" s="405" t="s">
        <v>3820</v>
      </c>
      <c r="DI943" s="406">
        <v>465455</v>
      </c>
      <c r="DJ943" s="408">
        <v>5</v>
      </c>
      <c r="DK943" s="405">
        <v>1</v>
      </c>
      <c r="DL943" s="82">
        <v>332.47</v>
      </c>
      <c r="DM943" s="409">
        <v>1.6623500000000002</v>
      </c>
      <c r="DN943" s="82" t="s">
        <v>85</v>
      </c>
      <c r="DO943" s="82" t="s">
        <v>85</v>
      </c>
      <c r="DP943" s="410" t="s">
        <v>85</v>
      </c>
    </row>
    <row r="944" spans="1:120" x14ac:dyDescent="0.25">
      <c r="A944" s="16" t="s">
        <v>3825</v>
      </c>
      <c r="B944" s="16" t="s">
        <v>3826</v>
      </c>
      <c r="C944" s="16" t="s">
        <v>3827</v>
      </c>
      <c r="D944" s="16" t="s">
        <v>3740</v>
      </c>
      <c r="E944" s="16" t="s">
        <v>3828</v>
      </c>
      <c r="F944" s="16" t="s">
        <v>3829</v>
      </c>
      <c r="G944" s="16" t="s">
        <v>3830</v>
      </c>
      <c r="H944" s="16" t="s">
        <v>3831</v>
      </c>
      <c r="I944" s="16" t="s">
        <v>3832</v>
      </c>
      <c r="J944" s="16" t="s">
        <v>2699</v>
      </c>
      <c r="K944" s="16" t="s">
        <v>3833</v>
      </c>
      <c r="L944" s="16" t="s">
        <v>85</v>
      </c>
      <c r="M944" s="16" t="s">
        <v>2701</v>
      </c>
      <c r="N944" s="16" t="s">
        <v>914</v>
      </c>
      <c r="O944" s="16" t="s">
        <v>2702</v>
      </c>
      <c r="P944" s="16" t="s">
        <v>914</v>
      </c>
      <c r="Q944" s="16" t="s">
        <v>2702</v>
      </c>
      <c r="R944" s="16" t="s">
        <v>915</v>
      </c>
      <c r="S944" s="16" t="s">
        <v>915</v>
      </c>
      <c r="T944" s="16" t="s">
        <v>2703</v>
      </c>
      <c r="U944" s="16" t="s">
        <v>2704</v>
      </c>
      <c r="V944" s="16" t="s">
        <v>916</v>
      </c>
      <c r="W944" s="16" t="s">
        <v>2704</v>
      </c>
      <c r="X944" s="16" t="s">
        <v>934</v>
      </c>
      <c r="Y944" s="16" t="s">
        <v>934</v>
      </c>
      <c r="Z944" s="16" t="s">
        <v>935</v>
      </c>
      <c r="DA944" s="405" t="s">
        <v>5</v>
      </c>
      <c r="DB944" s="405" t="s">
        <v>363</v>
      </c>
      <c r="DC944" s="406" t="s">
        <v>85</v>
      </c>
      <c r="DD944" s="405" t="s">
        <v>917</v>
      </c>
      <c r="DE944" s="405" t="s">
        <v>5</v>
      </c>
      <c r="DF944" s="406" t="s">
        <v>85</v>
      </c>
      <c r="DG944" s="407">
        <v>45859</v>
      </c>
      <c r="DH944" s="405" t="s">
        <v>3828</v>
      </c>
      <c r="DI944" s="406">
        <v>465455</v>
      </c>
      <c r="DJ944" s="408">
        <v>5</v>
      </c>
      <c r="DK944" s="405">
        <v>1</v>
      </c>
      <c r="DL944" s="82">
        <v>478.9</v>
      </c>
      <c r="DM944" s="409">
        <v>2.3944999999999999</v>
      </c>
      <c r="DN944" s="82" t="s">
        <v>85</v>
      </c>
      <c r="DO944" s="82" t="s">
        <v>85</v>
      </c>
      <c r="DP944" s="410" t="s">
        <v>85</v>
      </c>
    </row>
    <row r="945" spans="1:120" x14ac:dyDescent="0.25">
      <c r="A945" s="16" t="s">
        <v>3834</v>
      </c>
      <c r="B945" s="16" t="s">
        <v>3835</v>
      </c>
      <c r="C945" s="16" t="s">
        <v>3836</v>
      </c>
      <c r="D945" s="16" t="s">
        <v>3740</v>
      </c>
      <c r="E945" s="16" t="s">
        <v>3837</v>
      </c>
      <c r="F945" s="16" t="s">
        <v>3838</v>
      </c>
      <c r="G945" s="16" t="s">
        <v>3839</v>
      </c>
      <c r="H945" s="16" t="s">
        <v>3838</v>
      </c>
      <c r="I945" s="16" t="s">
        <v>1017</v>
      </c>
      <c r="J945" s="16" t="s">
        <v>995</v>
      </c>
      <c r="K945" s="16" t="s">
        <v>1018</v>
      </c>
      <c r="L945" s="16" t="s">
        <v>85</v>
      </c>
      <c r="M945" s="16" t="s">
        <v>3840</v>
      </c>
      <c r="N945" s="16" t="s">
        <v>914</v>
      </c>
      <c r="O945" s="16" t="s">
        <v>3841</v>
      </c>
      <c r="P945" s="16" t="s">
        <v>914</v>
      </c>
      <c r="Q945" s="16" t="s">
        <v>3841</v>
      </c>
      <c r="R945" s="16" t="s">
        <v>915</v>
      </c>
      <c r="S945" s="16" t="s">
        <v>915</v>
      </c>
      <c r="T945" s="16" t="s">
        <v>3840</v>
      </c>
      <c r="U945" s="16" t="s">
        <v>3842</v>
      </c>
      <c r="V945" s="16" t="s">
        <v>916</v>
      </c>
      <c r="W945" s="16" t="s">
        <v>3842</v>
      </c>
      <c r="X945" s="16" t="s">
        <v>934</v>
      </c>
      <c r="Y945" s="16" t="s">
        <v>934</v>
      </c>
      <c r="Z945" s="16" t="s">
        <v>935</v>
      </c>
      <c r="DA945" s="405" t="s">
        <v>5</v>
      </c>
      <c r="DB945" s="405" t="s">
        <v>363</v>
      </c>
      <c r="DC945" s="406" t="s">
        <v>85</v>
      </c>
      <c r="DD945" s="405" t="s">
        <v>917</v>
      </c>
      <c r="DE945" s="405" t="s">
        <v>5</v>
      </c>
      <c r="DF945" s="406" t="s">
        <v>85</v>
      </c>
      <c r="DG945" s="407">
        <v>45859</v>
      </c>
      <c r="DH945" s="405" t="s">
        <v>3837</v>
      </c>
      <c r="DI945" s="406">
        <v>465455</v>
      </c>
      <c r="DJ945" s="408">
        <v>5</v>
      </c>
      <c r="DK945" s="405">
        <v>1</v>
      </c>
      <c r="DL945" s="82">
        <v>433.17</v>
      </c>
      <c r="DM945" s="409">
        <v>2.1658500000000003</v>
      </c>
      <c r="DN945" s="82" t="s">
        <v>85</v>
      </c>
      <c r="DO945" s="82" t="s">
        <v>85</v>
      </c>
      <c r="DP945" s="410" t="s">
        <v>85</v>
      </c>
    </row>
    <row r="946" spans="1:120" x14ac:dyDescent="0.25">
      <c r="A946" s="16" t="s">
        <v>3843</v>
      </c>
      <c r="B946" s="16" t="s">
        <v>3844</v>
      </c>
      <c r="C946" s="16" t="s">
        <v>3845</v>
      </c>
      <c r="D946" s="16" t="s">
        <v>3740</v>
      </c>
      <c r="E946" s="16" t="s">
        <v>3846</v>
      </c>
      <c r="F946" s="16" t="s">
        <v>3847</v>
      </c>
      <c r="G946" s="16" t="s">
        <v>3848</v>
      </c>
      <c r="H946" s="16" t="s">
        <v>3849</v>
      </c>
      <c r="I946" s="16" t="s">
        <v>1163</v>
      </c>
      <c r="J946" s="16" t="s">
        <v>995</v>
      </c>
      <c r="K946" s="16" t="s">
        <v>1164</v>
      </c>
      <c r="L946" s="16" t="s">
        <v>85</v>
      </c>
      <c r="M946" s="16" t="s">
        <v>1165</v>
      </c>
      <c r="N946" s="16" t="s">
        <v>914</v>
      </c>
      <c r="O946" s="16" t="s">
        <v>1166</v>
      </c>
      <c r="P946" s="16" t="s">
        <v>914</v>
      </c>
      <c r="Q946" s="16" t="s">
        <v>1166</v>
      </c>
      <c r="R946" s="16" t="s">
        <v>915</v>
      </c>
      <c r="S946" s="16" t="s">
        <v>915</v>
      </c>
      <c r="T946" s="16" t="s">
        <v>1167</v>
      </c>
      <c r="U946" s="16" t="s">
        <v>1168</v>
      </c>
      <c r="V946" s="16" t="s">
        <v>916</v>
      </c>
      <c r="W946" s="16" t="s">
        <v>1168</v>
      </c>
      <c r="X946" s="16" t="s">
        <v>934</v>
      </c>
      <c r="Y946" s="16" t="s">
        <v>934</v>
      </c>
      <c r="Z946" s="16" t="s">
        <v>935</v>
      </c>
      <c r="DA946" s="405" t="s">
        <v>5</v>
      </c>
      <c r="DB946" s="405" t="s">
        <v>363</v>
      </c>
      <c r="DC946" s="406" t="s">
        <v>85</v>
      </c>
      <c r="DD946" s="405" t="s">
        <v>917</v>
      </c>
      <c r="DE946" s="405" t="s">
        <v>5</v>
      </c>
      <c r="DF946" s="406" t="s">
        <v>85</v>
      </c>
      <c r="DG946" s="407">
        <v>45859</v>
      </c>
      <c r="DH946" s="405" t="s">
        <v>3846</v>
      </c>
      <c r="DI946" s="406">
        <v>465455</v>
      </c>
      <c r="DJ946" s="408">
        <v>5</v>
      </c>
      <c r="DK946" s="405">
        <v>1</v>
      </c>
      <c r="DL946" s="82">
        <v>468.28</v>
      </c>
      <c r="DM946" s="409">
        <v>2.3413999999999997</v>
      </c>
      <c r="DN946" s="82" t="s">
        <v>85</v>
      </c>
      <c r="DO946" s="82" t="s">
        <v>85</v>
      </c>
      <c r="DP946" s="410" t="s">
        <v>85</v>
      </c>
    </row>
    <row r="947" spans="1:120" x14ac:dyDescent="0.25">
      <c r="A947" s="16" t="s">
        <v>3850</v>
      </c>
      <c r="B947" s="16" t="s">
        <v>3851</v>
      </c>
      <c r="C947" s="16" t="s">
        <v>3852</v>
      </c>
      <c r="D947" s="16" t="s">
        <v>3740</v>
      </c>
      <c r="E947" s="16" t="s">
        <v>3853</v>
      </c>
      <c r="F947" s="16" t="s">
        <v>3854</v>
      </c>
      <c r="G947" s="16" t="s">
        <v>3855</v>
      </c>
      <c r="H947" s="16" t="s">
        <v>3854</v>
      </c>
      <c r="I947" s="16" t="s">
        <v>2425</v>
      </c>
      <c r="J947" s="16" t="s">
        <v>928</v>
      </c>
      <c r="K947" s="16" t="s">
        <v>2426</v>
      </c>
      <c r="L947" s="16" t="s">
        <v>85</v>
      </c>
      <c r="M947" s="16" t="s">
        <v>1322</v>
      </c>
      <c r="N947" s="16" t="s">
        <v>914</v>
      </c>
      <c r="O947" s="16" t="s">
        <v>1323</v>
      </c>
      <c r="P947" s="16" t="s">
        <v>914</v>
      </c>
      <c r="Q947" s="16" t="s">
        <v>1323</v>
      </c>
      <c r="R947" s="16" t="s">
        <v>915</v>
      </c>
      <c r="S947" s="16" t="s">
        <v>915</v>
      </c>
      <c r="T947" s="16" t="s">
        <v>1322</v>
      </c>
      <c r="U947" s="16" t="s">
        <v>1324</v>
      </c>
      <c r="V947" s="16" t="s">
        <v>916</v>
      </c>
      <c r="W947" s="16" t="s">
        <v>1324</v>
      </c>
      <c r="X947" s="16" t="s">
        <v>934</v>
      </c>
      <c r="Y947" s="16" t="s">
        <v>934</v>
      </c>
      <c r="Z947" s="16" t="s">
        <v>935</v>
      </c>
      <c r="DA947" s="405" t="s">
        <v>5</v>
      </c>
      <c r="DB947" s="405" t="s">
        <v>363</v>
      </c>
      <c r="DC947" s="406" t="s">
        <v>85</v>
      </c>
      <c r="DD947" s="405" t="s">
        <v>917</v>
      </c>
      <c r="DE947" s="405" t="s">
        <v>5</v>
      </c>
      <c r="DF947" s="406" t="s">
        <v>85</v>
      </c>
      <c r="DG947" s="407">
        <v>45859</v>
      </c>
      <c r="DH947" s="405" t="s">
        <v>3853</v>
      </c>
      <c r="DI947" s="406">
        <v>465455</v>
      </c>
      <c r="DJ947" s="408">
        <v>5</v>
      </c>
      <c r="DK947" s="405">
        <v>1</v>
      </c>
      <c r="DL947" s="82">
        <v>332.47</v>
      </c>
      <c r="DM947" s="409">
        <v>1.6623500000000002</v>
      </c>
      <c r="DN947" s="82" t="s">
        <v>85</v>
      </c>
      <c r="DO947" s="82" t="s">
        <v>85</v>
      </c>
      <c r="DP947" s="410" t="s">
        <v>85</v>
      </c>
    </row>
    <row r="948" spans="1:120" x14ac:dyDescent="0.25">
      <c r="A948" s="16" t="s">
        <v>3856</v>
      </c>
      <c r="B948" s="16" t="s">
        <v>3857</v>
      </c>
      <c r="C948" s="16" t="s">
        <v>3858</v>
      </c>
      <c r="D948" s="16" t="s">
        <v>3740</v>
      </c>
      <c r="E948" s="16" t="s">
        <v>3859</v>
      </c>
      <c r="F948" s="16" t="s">
        <v>3860</v>
      </c>
      <c r="G948" s="16" t="s">
        <v>3861</v>
      </c>
      <c r="H948" s="16" t="s">
        <v>3860</v>
      </c>
      <c r="I948" s="16" t="s">
        <v>2750</v>
      </c>
      <c r="J948" s="16" t="s">
        <v>995</v>
      </c>
      <c r="K948" s="16" t="s">
        <v>2751</v>
      </c>
      <c r="L948" s="16" t="s">
        <v>85</v>
      </c>
      <c r="M948" s="16" t="s">
        <v>1165</v>
      </c>
      <c r="N948" s="16" t="s">
        <v>914</v>
      </c>
      <c r="O948" s="16" t="s">
        <v>1166</v>
      </c>
      <c r="P948" s="16" t="s">
        <v>914</v>
      </c>
      <c r="Q948" s="16" t="s">
        <v>1166</v>
      </c>
      <c r="R948" s="16" t="s">
        <v>915</v>
      </c>
      <c r="S948" s="16" t="s">
        <v>915</v>
      </c>
      <c r="T948" s="16" t="s">
        <v>1167</v>
      </c>
      <c r="U948" s="16" t="s">
        <v>1168</v>
      </c>
      <c r="V948" s="16" t="s">
        <v>916</v>
      </c>
      <c r="W948" s="16" t="s">
        <v>1168</v>
      </c>
      <c r="X948" s="16" t="s">
        <v>934</v>
      </c>
      <c r="Y948" s="16" t="s">
        <v>934</v>
      </c>
      <c r="Z948" s="16" t="s">
        <v>935</v>
      </c>
      <c r="DA948" s="405" t="s">
        <v>5</v>
      </c>
      <c r="DB948" s="405" t="s">
        <v>363</v>
      </c>
      <c r="DC948" s="406" t="s">
        <v>85</v>
      </c>
      <c r="DD948" s="405" t="s">
        <v>917</v>
      </c>
      <c r="DE948" s="405" t="s">
        <v>5</v>
      </c>
      <c r="DF948" s="406" t="s">
        <v>85</v>
      </c>
      <c r="DG948" s="407">
        <v>45859</v>
      </c>
      <c r="DH948" s="405" t="s">
        <v>3859</v>
      </c>
      <c r="DI948" s="406">
        <v>465455</v>
      </c>
      <c r="DJ948" s="408">
        <v>5</v>
      </c>
      <c r="DK948" s="405">
        <v>1</v>
      </c>
      <c r="DL948" s="82">
        <v>468.28</v>
      </c>
      <c r="DM948" s="409">
        <v>2.3413999999999997</v>
      </c>
      <c r="DN948" s="82" t="s">
        <v>85</v>
      </c>
      <c r="DO948" s="82" t="s">
        <v>85</v>
      </c>
      <c r="DP948" s="410" t="s">
        <v>85</v>
      </c>
    </row>
    <row r="949" spans="1:120" x14ac:dyDescent="0.25">
      <c r="A949" s="16" t="s">
        <v>3862</v>
      </c>
      <c r="B949" s="16" t="s">
        <v>3863</v>
      </c>
      <c r="C949" s="16" t="s">
        <v>3864</v>
      </c>
      <c r="D949" s="16" t="s">
        <v>3740</v>
      </c>
      <c r="E949" s="16" t="s">
        <v>3865</v>
      </c>
      <c r="F949" s="16" t="s">
        <v>3866</v>
      </c>
      <c r="G949" s="16" t="s">
        <v>3867</v>
      </c>
      <c r="H949" s="16" t="s">
        <v>3868</v>
      </c>
      <c r="I949" s="16" t="s">
        <v>3869</v>
      </c>
      <c r="J949" s="16" t="s">
        <v>2600</v>
      </c>
      <c r="K949" s="16" t="s">
        <v>3870</v>
      </c>
      <c r="L949" s="16" t="s">
        <v>85</v>
      </c>
      <c r="M949" s="16" t="s">
        <v>1955</v>
      </c>
      <c r="N949" s="16" t="s">
        <v>914</v>
      </c>
      <c r="O949" s="16" t="s">
        <v>1039</v>
      </c>
      <c r="P949" s="16" t="s">
        <v>914</v>
      </c>
      <c r="Q949" s="16" t="s">
        <v>1039</v>
      </c>
      <c r="R949" s="16" t="s">
        <v>915</v>
      </c>
      <c r="S949" s="16" t="s">
        <v>915</v>
      </c>
      <c r="T949" s="16" t="s">
        <v>1955</v>
      </c>
      <c r="U949" s="16" t="s">
        <v>1956</v>
      </c>
      <c r="V949" s="16" t="s">
        <v>916</v>
      </c>
      <c r="W949" s="16" t="s">
        <v>1956</v>
      </c>
      <c r="X949" s="16" t="s">
        <v>934</v>
      </c>
      <c r="Y949" s="16" t="s">
        <v>934</v>
      </c>
      <c r="Z949" s="16" t="s">
        <v>935</v>
      </c>
      <c r="DA949" s="405" t="s">
        <v>5</v>
      </c>
      <c r="DB949" s="405" t="s">
        <v>363</v>
      </c>
      <c r="DC949" s="406" t="s">
        <v>85</v>
      </c>
      <c r="DD949" s="405" t="s">
        <v>917</v>
      </c>
      <c r="DE949" s="405" t="s">
        <v>5</v>
      </c>
      <c r="DF949" s="406" t="s">
        <v>85</v>
      </c>
      <c r="DG949" s="407">
        <v>45859</v>
      </c>
      <c r="DH949" s="405" t="s">
        <v>3865</v>
      </c>
      <c r="DI949" s="406">
        <v>465455</v>
      </c>
      <c r="DJ949" s="408">
        <v>5</v>
      </c>
      <c r="DK949" s="405">
        <v>1</v>
      </c>
      <c r="DL949" s="82">
        <v>311.2</v>
      </c>
      <c r="DM949" s="409">
        <v>1.556</v>
      </c>
      <c r="DN949" s="82" t="s">
        <v>85</v>
      </c>
      <c r="DO949" s="82" t="s">
        <v>85</v>
      </c>
      <c r="DP949" s="410" t="s">
        <v>85</v>
      </c>
    </row>
    <row r="950" spans="1:120" x14ac:dyDescent="0.25">
      <c r="A950" s="16" t="s">
        <v>3871</v>
      </c>
      <c r="B950" s="16" t="s">
        <v>3872</v>
      </c>
      <c r="C950" s="16" t="s">
        <v>3873</v>
      </c>
      <c r="D950" s="16" t="s">
        <v>3740</v>
      </c>
      <c r="E950" s="16" t="s">
        <v>3874</v>
      </c>
      <c r="F950" s="16" t="s">
        <v>3875</v>
      </c>
      <c r="G950" s="16" t="s">
        <v>3876</v>
      </c>
      <c r="H950" s="16" t="s">
        <v>3875</v>
      </c>
      <c r="I950" s="16" t="s">
        <v>2876</v>
      </c>
      <c r="J950" s="16" t="s">
        <v>995</v>
      </c>
      <c r="K950" s="16" t="s">
        <v>2877</v>
      </c>
      <c r="L950" s="16" t="s">
        <v>85</v>
      </c>
      <c r="M950" s="16" t="s">
        <v>1165</v>
      </c>
      <c r="N950" s="16" t="s">
        <v>914</v>
      </c>
      <c r="O950" s="16" t="s">
        <v>1166</v>
      </c>
      <c r="P950" s="16" t="s">
        <v>914</v>
      </c>
      <c r="Q950" s="16" t="s">
        <v>1166</v>
      </c>
      <c r="R950" s="16" t="s">
        <v>915</v>
      </c>
      <c r="S950" s="16" t="s">
        <v>915</v>
      </c>
      <c r="T950" s="16" t="s">
        <v>1167</v>
      </c>
      <c r="U950" s="16" t="s">
        <v>1168</v>
      </c>
      <c r="V950" s="16" t="s">
        <v>916</v>
      </c>
      <c r="W950" s="16" t="s">
        <v>1168</v>
      </c>
      <c r="X950" s="16" t="s">
        <v>934</v>
      </c>
      <c r="Y950" s="16" t="s">
        <v>934</v>
      </c>
      <c r="Z950" s="16" t="s">
        <v>935</v>
      </c>
      <c r="DA950" s="405" t="s">
        <v>5</v>
      </c>
      <c r="DB950" s="405" t="s">
        <v>363</v>
      </c>
      <c r="DC950" s="406" t="s">
        <v>85</v>
      </c>
      <c r="DD950" s="405" t="s">
        <v>917</v>
      </c>
      <c r="DE950" s="405" t="s">
        <v>5</v>
      </c>
      <c r="DF950" s="406" t="s">
        <v>85</v>
      </c>
      <c r="DG950" s="407">
        <v>45859</v>
      </c>
      <c r="DH950" s="405" t="s">
        <v>3874</v>
      </c>
      <c r="DI950" s="406">
        <v>465455</v>
      </c>
      <c r="DJ950" s="408">
        <v>5</v>
      </c>
      <c r="DK950" s="405">
        <v>1</v>
      </c>
      <c r="DL950" s="82">
        <v>468.28</v>
      </c>
      <c r="DM950" s="409">
        <v>2.3413999999999997</v>
      </c>
      <c r="DN950" s="82" t="s">
        <v>85</v>
      </c>
      <c r="DO950" s="82" t="s">
        <v>85</v>
      </c>
      <c r="DP950" s="410" t="s">
        <v>85</v>
      </c>
    </row>
    <row r="951" spans="1:120" x14ac:dyDescent="0.25">
      <c r="A951" s="16" t="s">
        <v>3877</v>
      </c>
      <c r="B951" s="16" t="s">
        <v>3878</v>
      </c>
      <c r="C951" s="16" t="s">
        <v>3879</v>
      </c>
      <c r="D951" s="16" t="s">
        <v>3740</v>
      </c>
      <c r="E951" s="16" t="s">
        <v>3880</v>
      </c>
      <c r="F951" s="16" t="s">
        <v>3881</v>
      </c>
      <c r="G951" s="16" t="s">
        <v>3882</v>
      </c>
      <c r="H951" s="16" t="s">
        <v>3881</v>
      </c>
      <c r="I951" s="16" t="s">
        <v>1099</v>
      </c>
      <c r="J951" s="16" t="s">
        <v>943</v>
      </c>
      <c r="K951" s="16" t="s">
        <v>1100</v>
      </c>
      <c r="L951" s="16" t="s">
        <v>85</v>
      </c>
      <c r="M951" s="16" t="s">
        <v>984</v>
      </c>
      <c r="N951" s="16" t="s">
        <v>914</v>
      </c>
      <c r="O951" s="16" t="s">
        <v>985</v>
      </c>
      <c r="P951" s="16" t="s">
        <v>914</v>
      </c>
      <c r="Q951" s="16" t="s">
        <v>985</v>
      </c>
      <c r="R951" s="16" t="s">
        <v>915</v>
      </c>
      <c r="S951" s="16" t="s">
        <v>915</v>
      </c>
      <c r="T951" s="16" t="s">
        <v>986</v>
      </c>
      <c r="U951" s="16" t="s">
        <v>987</v>
      </c>
      <c r="V951" s="16" t="s">
        <v>916</v>
      </c>
      <c r="W951" s="16" t="s">
        <v>987</v>
      </c>
      <c r="X951" s="16" t="s">
        <v>934</v>
      </c>
      <c r="Y951" s="16" t="s">
        <v>934</v>
      </c>
      <c r="Z951" s="16" t="s">
        <v>935</v>
      </c>
      <c r="DA951" s="405" t="s">
        <v>5</v>
      </c>
      <c r="DB951" s="405" t="s">
        <v>363</v>
      </c>
      <c r="DC951" s="406" t="s">
        <v>85</v>
      </c>
      <c r="DD951" s="405" t="s">
        <v>917</v>
      </c>
      <c r="DE951" s="405" t="s">
        <v>5</v>
      </c>
      <c r="DF951" s="406" t="s">
        <v>85</v>
      </c>
      <c r="DG951" s="407">
        <v>45859</v>
      </c>
      <c r="DH951" s="405" t="s">
        <v>3880</v>
      </c>
      <c r="DI951" s="406">
        <v>465455</v>
      </c>
      <c r="DJ951" s="408">
        <v>5</v>
      </c>
      <c r="DK951" s="405">
        <v>1</v>
      </c>
      <c r="DL951" s="82">
        <v>340.55</v>
      </c>
      <c r="DM951" s="409">
        <v>1.70275</v>
      </c>
      <c r="DN951" s="82" t="s">
        <v>85</v>
      </c>
      <c r="DO951" s="82" t="s">
        <v>85</v>
      </c>
      <c r="DP951" s="410" t="s">
        <v>85</v>
      </c>
    </row>
    <row r="952" spans="1:120" x14ac:dyDescent="0.25">
      <c r="A952" s="16" t="s">
        <v>3883</v>
      </c>
      <c r="B952" s="16" t="s">
        <v>3884</v>
      </c>
      <c r="C952" s="16" t="s">
        <v>3885</v>
      </c>
      <c r="D952" s="16" t="s">
        <v>3740</v>
      </c>
      <c r="E952" s="16" t="s">
        <v>3886</v>
      </c>
      <c r="F952" s="16" t="s">
        <v>3887</v>
      </c>
      <c r="G952" s="16" t="s">
        <v>3888</v>
      </c>
      <c r="H952" s="16" t="s">
        <v>3887</v>
      </c>
      <c r="I952" s="16" t="s">
        <v>3889</v>
      </c>
      <c r="J952" s="16" t="s">
        <v>1356</v>
      </c>
      <c r="K952" s="16" t="s">
        <v>3890</v>
      </c>
      <c r="L952" s="16" t="s">
        <v>85</v>
      </c>
      <c r="M952" s="16" t="s">
        <v>1350</v>
      </c>
      <c r="N952" s="16" t="s">
        <v>914</v>
      </c>
      <c r="O952" s="16" t="s">
        <v>1351</v>
      </c>
      <c r="P952" s="16" t="s">
        <v>914</v>
      </c>
      <c r="Q952" s="16" t="s">
        <v>1351</v>
      </c>
      <c r="R952" s="16" t="s">
        <v>915</v>
      </c>
      <c r="S952" s="16" t="s">
        <v>915</v>
      </c>
      <c r="T952" s="16" t="s">
        <v>1352</v>
      </c>
      <c r="U952" s="16" t="s">
        <v>1353</v>
      </c>
      <c r="V952" s="16" t="s">
        <v>916</v>
      </c>
      <c r="W952" s="16" t="s">
        <v>1353</v>
      </c>
      <c r="X952" s="16" t="s">
        <v>934</v>
      </c>
      <c r="Y952" s="16" t="s">
        <v>934</v>
      </c>
      <c r="Z952" s="16" t="s">
        <v>935</v>
      </c>
      <c r="DA952" s="405" t="s">
        <v>5</v>
      </c>
      <c r="DB952" s="405" t="s">
        <v>363</v>
      </c>
      <c r="DC952" s="406" t="s">
        <v>85</v>
      </c>
      <c r="DD952" s="405" t="s">
        <v>917</v>
      </c>
      <c r="DE952" s="405" t="s">
        <v>5</v>
      </c>
      <c r="DF952" s="406" t="s">
        <v>85</v>
      </c>
      <c r="DG952" s="407">
        <v>45859</v>
      </c>
      <c r="DH952" s="405" t="s">
        <v>3886</v>
      </c>
      <c r="DI952" s="406">
        <v>465455</v>
      </c>
      <c r="DJ952" s="408">
        <v>5</v>
      </c>
      <c r="DK952" s="405">
        <v>1</v>
      </c>
      <c r="DL952" s="82">
        <v>303.3</v>
      </c>
      <c r="DM952" s="409">
        <v>1.5165000000000002</v>
      </c>
      <c r="DN952" s="82" t="s">
        <v>85</v>
      </c>
      <c r="DO952" s="82" t="s">
        <v>85</v>
      </c>
      <c r="DP952" s="410" t="s">
        <v>85</v>
      </c>
    </row>
    <row r="953" spans="1:120" x14ac:dyDescent="0.25">
      <c r="A953" s="16" t="s">
        <v>3891</v>
      </c>
      <c r="B953" s="16" t="s">
        <v>3892</v>
      </c>
      <c r="C953" s="16" t="s">
        <v>3893</v>
      </c>
      <c r="D953" s="16" t="s">
        <v>3740</v>
      </c>
      <c r="E953" s="16" t="s">
        <v>3894</v>
      </c>
      <c r="F953" s="16" t="s">
        <v>3895</v>
      </c>
      <c r="G953" s="16" t="s">
        <v>3896</v>
      </c>
      <c r="H953" s="16" t="s">
        <v>3895</v>
      </c>
      <c r="I953" s="16" t="s">
        <v>1150</v>
      </c>
      <c r="J953" s="16" t="s">
        <v>943</v>
      </c>
      <c r="K953" s="16" t="s">
        <v>1151</v>
      </c>
      <c r="L953" s="16" t="s">
        <v>85</v>
      </c>
      <c r="M953" s="16" t="s">
        <v>3897</v>
      </c>
      <c r="N953" s="16" t="s">
        <v>914</v>
      </c>
      <c r="O953" s="16" t="s">
        <v>1153</v>
      </c>
      <c r="P953" s="16" t="s">
        <v>914</v>
      </c>
      <c r="Q953" s="16" t="s">
        <v>1153</v>
      </c>
      <c r="R953" s="16" t="s">
        <v>915</v>
      </c>
      <c r="S953" s="16" t="s">
        <v>915</v>
      </c>
      <c r="T953" s="16" t="s">
        <v>1154</v>
      </c>
      <c r="U953" s="16" t="s">
        <v>1155</v>
      </c>
      <c r="V953" s="16" t="s">
        <v>1763</v>
      </c>
      <c r="W953" s="16" t="s">
        <v>3898</v>
      </c>
      <c r="X953" s="16" t="s">
        <v>934</v>
      </c>
      <c r="Y953" s="16" t="s">
        <v>934</v>
      </c>
      <c r="Z953" s="16" t="s">
        <v>935</v>
      </c>
      <c r="DA953" s="405" t="s">
        <v>5</v>
      </c>
      <c r="DB953" s="405" t="s">
        <v>363</v>
      </c>
      <c r="DC953" s="406" t="s">
        <v>85</v>
      </c>
      <c r="DD953" s="405" t="s">
        <v>917</v>
      </c>
      <c r="DE953" s="405" t="s">
        <v>5</v>
      </c>
      <c r="DF953" s="406" t="s">
        <v>85</v>
      </c>
      <c r="DG953" s="407">
        <v>45859</v>
      </c>
      <c r="DH953" s="405" t="s">
        <v>3894</v>
      </c>
      <c r="DI953" s="406">
        <v>465455</v>
      </c>
      <c r="DJ953" s="408">
        <v>5</v>
      </c>
      <c r="DK953" s="405">
        <v>2</v>
      </c>
      <c r="DL953" s="82">
        <v>308.62</v>
      </c>
      <c r="DM953" s="409">
        <v>1.5431000000000001</v>
      </c>
      <c r="DN953" s="82" t="s">
        <v>85</v>
      </c>
      <c r="DO953" s="82" t="s">
        <v>85</v>
      </c>
      <c r="DP953" s="410" t="s">
        <v>85</v>
      </c>
    </row>
    <row r="954" spans="1:120" x14ac:dyDescent="0.25">
      <c r="A954" s="16" t="s">
        <v>3899</v>
      </c>
      <c r="B954" s="16" t="s">
        <v>3900</v>
      </c>
      <c r="C954" s="16" t="s">
        <v>3901</v>
      </c>
      <c r="D954" s="16" t="s">
        <v>3740</v>
      </c>
      <c r="E954" s="16" t="s">
        <v>3902</v>
      </c>
      <c r="F954" s="16" t="s">
        <v>3903</v>
      </c>
      <c r="G954" s="16" t="s">
        <v>3904</v>
      </c>
      <c r="H954" s="16" t="s">
        <v>3903</v>
      </c>
      <c r="I954" s="16" t="s">
        <v>994</v>
      </c>
      <c r="J954" s="16" t="s">
        <v>995</v>
      </c>
      <c r="K954" s="16" t="s">
        <v>996</v>
      </c>
      <c r="L954" s="16" t="s">
        <v>85</v>
      </c>
      <c r="M954" s="16" t="s">
        <v>1165</v>
      </c>
      <c r="N954" s="16" t="s">
        <v>914</v>
      </c>
      <c r="O954" s="16" t="s">
        <v>1166</v>
      </c>
      <c r="P954" s="16" t="s">
        <v>914</v>
      </c>
      <c r="Q954" s="16" t="s">
        <v>1166</v>
      </c>
      <c r="R954" s="16" t="s">
        <v>915</v>
      </c>
      <c r="S954" s="16" t="s">
        <v>915</v>
      </c>
      <c r="T954" s="16" t="s">
        <v>1167</v>
      </c>
      <c r="U954" s="16" t="s">
        <v>1168</v>
      </c>
      <c r="V954" s="16" t="s">
        <v>916</v>
      </c>
      <c r="W954" s="16" t="s">
        <v>1168</v>
      </c>
      <c r="X954" s="16" t="s">
        <v>934</v>
      </c>
      <c r="Y954" s="16" t="s">
        <v>934</v>
      </c>
      <c r="Z954" s="16" t="s">
        <v>935</v>
      </c>
      <c r="DA954" s="405" t="s">
        <v>5</v>
      </c>
      <c r="DB954" s="405" t="s">
        <v>363</v>
      </c>
      <c r="DC954" s="406" t="s">
        <v>85</v>
      </c>
      <c r="DD954" s="405" t="s">
        <v>917</v>
      </c>
      <c r="DE954" s="405" t="s">
        <v>5</v>
      </c>
      <c r="DF954" s="406" t="s">
        <v>85</v>
      </c>
      <c r="DG954" s="407">
        <v>45859</v>
      </c>
      <c r="DH954" s="405" t="s">
        <v>3902</v>
      </c>
      <c r="DI954" s="406">
        <v>465455</v>
      </c>
      <c r="DJ954" s="408">
        <v>5</v>
      </c>
      <c r="DK954" s="405">
        <v>1</v>
      </c>
      <c r="DL954" s="82">
        <v>468.28</v>
      </c>
      <c r="DM954" s="409">
        <v>2.3413999999999997</v>
      </c>
      <c r="DN954" s="82" t="s">
        <v>85</v>
      </c>
      <c r="DO954" s="82" t="s">
        <v>85</v>
      </c>
      <c r="DP954" s="410" t="s">
        <v>85</v>
      </c>
    </row>
    <row r="955" spans="1:120" x14ac:dyDescent="0.25">
      <c r="A955" s="16" t="s">
        <v>3905</v>
      </c>
      <c r="B955" s="16" t="s">
        <v>3906</v>
      </c>
      <c r="C955" s="16" t="s">
        <v>3907</v>
      </c>
      <c r="D955" s="16" t="s">
        <v>3740</v>
      </c>
      <c r="E955" s="16" t="s">
        <v>3908</v>
      </c>
      <c r="F955" s="16" t="s">
        <v>3909</v>
      </c>
      <c r="G955" s="16" t="s">
        <v>3910</v>
      </c>
      <c r="H955" s="16" t="s">
        <v>3911</v>
      </c>
      <c r="I955" s="16" t="s">
        <v>2876</v>
      </c>
      <c r="J955" s="16" t="s">
        <v>995</v>
      </c>
      <c r="K955" s="16" t="s">
        <v>2877</v>
      </c>
      <c r="L955" s="16" t="s">
        <v>85</v>
      </c>
      <c r="M955" s="16" t="s">
        <v>1165</v>
      </c>
      <c r="N955" s="16" t="s">
        <v>914</v>
      </c>
      <c r="O955" s="16" t="s">
        <v>1166</v>
      </c>
      <c r="P955" s="16" t="s">
        <v>914</v>
      </c>
      <c r="Q955" s="16" t="s">
        <v>1166</v>
      </c>
      <c r="R955" s="16" t="s">
        <v>915</v>
      </c>
      <c r="S955" s="16" t="s">
        <v>915</v>
      </c>
      <c r="T955" s="16" t="s">
        <v>1167</v>
      </c>
      <c r="U955" s="16" t="s">
        <v>1168</v>
      </c>
      <c r="V955" s="16" t="s">
        <v>916</v>
      </c>
      <c r="W955" s="16" t="s">
        <v>1168</v>
      </c>
      <c r="X955" s="16" t="s">
        <v>934</v>
      </c>
      <c r="Y955" s="16" t="s">
        <v>934</v>
      </c>
      <c r="Z955" s="16" t="s">
        <v>935</v>
      </c>
      <c r="DA955" s="405" t="s">
        <v>5</v>
      </c>
      <c r="DB955" s="405" t="s">
        <v>363</v>
      </c>
      <c r="DC955" s="406" t="s">
        <v>85</v>
      </c>
      <c r="DD955" s="405" t="s">
        <v>917</v>
      </c>
      <c r="DE955" s="405" t="s">
        <v>5</v>
      </c>
      <c r="DF955" s="406" t="s">
        <v>85</v>
      </c>
      <c r="DG955" s="407">
        <v>45859</v>
      </c>
      <c r="DH955" s="405" t="s">
        <v>3908</v>
      </c>
      <c r="DI955" s="406">
        <v>465455</v>
      </c>
      <c r="DJ955" s="408">
        <v>5</v>
      </c>
      <c r="DK955" s="405">
        <v>1</v>
      </c>
      <c r="DL955" s="82">
        <v>468.28</v>
      </c>
      <c r="DM955" s="409">
        <v>2.3413999999999997</v>
      </c>
      <c r="DN955" s="82" t="s">
        <v>85</v>
      </c>
      <c r="DO955" s="82" t="s">
        <v>85</v>
      </c>
      <c r="DP955" s="410" t="s">
        <v>85</v>
      </c>
    </row>
    <row r="956" spans="1:120" x14ac:dyDescent="0.25">
      <c r="A956" s="16" t="s">
        <v>3912</v>
      </c>
      <c r="B956" s="16" t="s">
        <v>3913</v>
      </c>
      <c r="C956" s="16" t="s">
        <v>3914</v>
      </c>
      <c r="D956" s="16" t="s">
        <v>3740</v>
      </c>
      <c r="E956" s="16" t="s">
        <v>3915</v>
      </c>
      <c r="F956" s="16" t="s">
        <v>3916</v>
      </c>
      <c r="G956" s="16" t="s">
        <v>3917</v>
      </c>
      <c r="H956" s="16" t="s">
        <v>3918</v>
      </c>
      <c r="I956" s="16" t="s">
        <v>1690</v>
      </c>
      <c r="J956" s="16" t="s">
        <v>928</v>
      </c>
      <c r="K956" s="16" t="s">
        <v>1691</v>
      </c>
      <c r="L956" s="16" t="s">
        <v>85</v>
      </c>
      <c r="M956" s="16" t="s">
        <v>1322</v>
      </c>
      <c r="N956" s="16" t="s">
        <v>914</v>
      </c>
      <c r="O956" s="16" t="s">
        <v>1323</v>
      </c>
      <c r="P956" s="16" t="s">
        <v>914</v>
      </c>
      <c r="Q956" s="16" t="s">
        <v>1323</v>
      </c>
      <c r="R956" s="16" t="s">
        <v>915</v>
      </c>
      <c r="S956" s="16" t="s">
        <v>915</v>
      </c>
      <c r="T956" s="16" t="s">
        <v>1322</v>
      </c>
      <c r="U956" s="16" t="s">
        <v>1324</v>
      </c>
      <c r="V956" s="16" t="s">
        <v>916</v>
      </c>
      <c r="W956" s="16" t="s">
        <v>1324</v>
      </c>
      <c r="X956" s="16" t="s">
        <v>934</v>
      </c>
      <c r="Y956" s="16" t="s">
        <v>934</v>
      </c>
      <c r="Z956" s="16" t="s">
        <v>935</v>
      </c>
      <c r="DA956" s="405" t="s">
        <v>5</v>
      </c>
      <c r="DB956" s="405" t="s">
        <v>363</v>
      </c>
      <c r="DC956" s="406" t="s">
        <v>85</v>
      </c>
      <c r="DD956" s="405" t="s">
        <v>917</v>
      </c>
      <c r="DE956" s="405" t="s">
        <v>5</v>
      </c>
      <c r="DF956" s="406" t="s">
        <v>85</v>
      </c>
      <c r="DG956" s="407">
        <v>45859</v>
      </c>
      <c r="DH956" s="405" t="s">
        <v>3915</v>
      </c>
      <c r="DI956" s="406">
        <v>465455</v>
      </c>
      <c r="DJ956" s="408">
        <v>5</v>
      </c>
      <c r="DK956" s="405">
        <v>1</v>
      </c>
      <c r="DL956" s="82">
        <v>332.47</v>
      </c>
      <c r="DM956" s="409">
        <v>1.6623500000000002</v>
      </c>
      <c r="DN956" s="82" t="s">
        <v>85</v>
      </c>
      <c r="DO956" s="82" t="s">
        <v>85</v>
      </c>
      <c r="DP956" s="410" t="s">
        <v>85</v>
      </c>
    </row>
    <row r="957" spans="1:120" x14ac:dyDescent="0.25">
      <c r="A957" s="16" t="s">
        <v>3919</v>
      </c>
      <c r="B957" s="16" t="s">
        <v>3920</v>
      </c>
      <c r="C957" s="16" t="s">
        <v>3921</v>
      </c>
      <c r="D957" s="16" t="s">
        <v>3740</v>
      </c>
      <c r="E957" s="16" t="s">
        <v>3922</v>
      </c>
      <c r="F957" s="16" t="s">
        <v>3923</v>
      </c>
      <c r="G957" s="16" t="s">
        <v>3924</v>
      </c>
      <c r="H957" s="16" t="s">
        <v>3925</v>
      </c>
      <c r="I957" s="16" t="s">
        <v>1929</v>
      </c>
      <c r="J957" s="16" t="s">
        <v>995</v>
      </c>
      <c r="K957" s="16" t="s">
        <v>1930</v>
      </c>
      <c r="L957" s="16" t="s">
        <v>85</v>
      </c>
      <c r="M957" s="16" t="s">
        <v>1165</v>
      </c>
      <c r="N957" s="16" t="s">
        <v>914</v>
      </c>
      <c r="O957" s="16" t="s">
        <v>1166</v>
      </c>
      <c r="P957" s="16" t="s">
        <v>914</v>
      </c>
      <c r="Q957" s="16" t="s">
        <v>1166</v>
      </c>
      <c r="R957" s="16" t="s">
        <v>915</v>
      </c>
      <c r="S957" s="16" t="s">
        <v>915</v>
      </c>
      <c r="T957" s="16" t="s">
        <v>1167</v>
      </c>
      <c r="U957" s="16" t="s">
        <v>1168</v>
      </c>
      <c r="V957" s="16" t="s">
        <v>916</v>
      </c>
      <c r="W957" s="16" t="s">
        <v>1168</v>
      </c>
      <c r="X957" s="16" t="s">
        <v>934</v>
      </c>
      <c r="Y957" s="16" t="s">
        <v>934</v>
      </c>
      <c r="Z957" s="16" t="s">
        <v>935</v>
      </c>
      <c r="DA957" s="405" t="s">
        <v>5</v>
      </c>
      <c r="DB957" s="405" t="s">
        <v>363</v>
      </c>
      <c r="DC957" s="406" t="s">
        <v>85</v>
      </c>
      <c r="DD957" s="405" t="s">
        <v>917</v>
      </c>
      <c r="DE957" s="405" t="s">
        <v>5</v>
      </c>
      <c r="DF957" s="406" t="s">
        <v>85</v>
      </c>
      <c r="DG957" s="407">
        <v>45859</v>
      </c>
      <c r="DH957" s="405" t="s">
        <v>3922</v>
      </c>
      <c r="DI957" s="406">
        <v>465455</v>
      </c>
      <c r="DJ957" s="408">
        <v>5</v>
      </c>
      <c r="DK957" s="405">
        <v>1</v>
      </c>
      <c r="DL957" s="82">
        <v>468.28</v>
      </c>
      <c r="DM957" s="409">
        <v>2.3413999999999997</v>
      </c>
      <c r="DN957" s="82" t="s">
        <v>85</v>
      </c>
      <c r="DO957" s="82" t="s">
        <v>85</v>
      </c>
      <c r="DP957" s="410" t="s">
        <v>85</v>
      </c>
    </row>
    <row r="958" spans="1:120" x14ac:dyDescent="0.25">
      <c r="A958" s="16" t="s">
        <v>3926</v>
      </c>
      <c r="B958" s="16" t="s">
        <v>3927</v>
      </c>
      <c r="C958" s="16" t="s">
        <v>3928</v>
      </c>
      <c r="D958" s="16" t="s">
        <v>3740</v>
      </c>
      <c r="E958" s="16" t="s">
        <v>3929</v>
      </c>
      <c r="F958" s="16" t="s">
        <v>3930</v>
      </c>
      <c r="G958" s="16" t="s">
        <v>3931</v>
      </c>
      <c r="H958" s="16" t="s">
        <v>3932</v>
      </c>
      <c r="I958" s="16" t="s">
        <v>2556</v>
      </c>
      <c r="J958" s="16" t="s">
        <v>928</v>
      </c>
      <c r="K958" s="16" t="s">
        <v>2557</v>
      </c>
      <c r="L958" s="16" t="s">
        <v>85</v>
      </c>
      <c r="M958" s="16" t="s">
        <v>1322</v>
      </c>
      <c r="N958" s="16" t="s">
        <v>914</v>
      </c>
      <c r="O958" s="16" t="s">
        <v>1323</v>
      </c>
      <c r="P958" s="16" t="s">
        <v>914</v>
      </c>
      <c r="Q958" s="16" t="s">
        <v>1323</v>
      </c>
      <c r="R958" s="16" t="s">
        <v>915</v>
      </c>
      <c r="S958" s="16" t="s">
        <v>915</v>
      </c>
      <c r="T958" s="16" t="s">
        <v>1322</v>
      </c>
      <c r="U958" s="16" t="s">
        <v>1324</v>
      </c>
      <c r="V958" s="16" t="s">
        <v>916</v>
      </c>
      <c r="W958" s="16" t="s">
        <v>1324</v>
      </c>
      <c r="X958" s="16" t="s">
        <v>934</v>
      </c>
      <c r="Y958" s="16" t="s">
        <v>934</v>
      </c>
      <c r="Z958" s="16" t="s">
        <v>935</v>
      </c>
      <c r="DA958" s="405" t="s">
        <v>5</v>
      </c>
      <c r="DB958" s="405" t="s">
        <v>363</v>
      </c>
      <c r="DC958" s="406" t="s">
        <v>85</v>
      </c>
      <c r="DD958" s="405" t="s">
        <v>917</v>
      </c>
      <c r="DE958" s="405" t="s">
        <v>5</v>
      </c>
      <c r="DF958" s="406" t="s">
        <v>85</v>
      </c>
      <c r="DG958" s="407">
        <v>45859</v>
      </c>
      <c r="DH958" s="405" t="s">
        <v>3929</v>
      </c>
      <c r="DI958" s="406">
        <v>465455</v>
      </c>
      <c r="DJ958" s="408">
        <v>5</v>
      </c>
      <c r="DK958" s="405">
        <v>1</v>
      </c>
      <c r="DL958" s="82">
        <v>332.47</v>
      </c>
      <c r="DM958" s="409">
        <v>1.6623500000000002</v>
      </c>
      <c r="DN958" s="82" t="s">
        <v>85</v>
      </c>
      <c r="DO958" s="82" t="s">
        <v>85</v>
      </c>
      <c r="DP958" s="410" t="s">
        <v>85</v>
      </c>
    </row>
    <row r="959" spans="1:120" x14ac:dyDescent="0.25">
      <c r="A959" s="16" t="s">
        <v>3933</v>
      </c>
      <c r="B959" s="16" t="s">
        <v>3934</v>
      </c>
      <c r="C959" s="16" t="s">
        <v>3935</v>
      </c>
      <c r="D959" s="16" t="s">
        <v>3740</v>
      </c>
      <c r="E959" s="16" t="s">
        <v>3936</v>
      </c>
      <c r="F959" s="16" t="s">
        <v>3937</v>
      </c>
      <c r="G959" s="16" t="s">
        <v>3938</v>
      </c>
      <c r="H959" s="16" t="s">
        <v>3939</v>
      </c>
      <c r="I959" s="16" t="s">
        <v>1026</v>
      </c>
      <c r="J959" s="16" t="s">
        <v>943</v>
      </c>
      <c r="K959" s="16" t="s">
        <v>1027</v>
      </c>
      <c r="L959" s="16" t="s">
        <v>85</v>
      </c>
      <c r="M959" s="16" t="s">
        <v>984</v>
      </c>
      <c r="N959" s="16" t="s">
        <v>914</v>
      </c>
      <c r="O959" s="16" t="s">
        <v>985</v>
      </c>
      <c r="P959" s="16" t="s">
        <v>914</v>
      </c>
      <c r="Q959" s="16" t="s">
        <v>985</v>
      </c>
      <c r="R959" s="16" t="s">
        <v>915</v>
      </c>
      <c r="S959" s="16" t="s">
        <v>915</v>
      </c>
      <c r="T959" s="16" t="s">
        <v>986</v>
      </c>
      <c r="U959" s="16" t="s">
        <v>987</v>
      </c>
      <c r="V959" s="16" t="s">
        <v>916</v>
      </c>
      <c r="W959" s="16" t="s">
        <v>987</v>
      </c>
      <c r="X959" s="16" t="s">
        <v>934</v>
      </c>
      <c r="Y959" s="16" t="s">
        <v>934</v>
      </c>
      <c r="Z959" s="16" t="s">
        <v>935</v>
      </c>
      <c r="DA959" s="405" t="s">
        <v>5</v>
      </c>
      <c r="DB959" s="405" t="s">
        <v>363</v>
      </c>
      <c r="DC959" s="406" t="s">
        <v>85</v>
      </c>
      <c r="DD959" s="405" t="s">
        <v>917</v>
      </c>
      <c r="DE959" s="405" t="s">
        <v>5</v>
      </c>
      <c r="DF959" s="406" t="s">
        <v>85</v>
      </c>
      <c r="DG959" s="407">
        <v>45859</v>
      </c>
      <c r="DH959" s="405" t="s">
        <v>3936</v>
      </c>
      <c r="DI959" s="406">
        <v>465455</v>
      </c>
      <c r="DJ959" s="408">
        <v>5</v>
      </c>
      <c r="DK959" s="405">
        <v>1</v>
      </c>
      <c r="DL959" s="82">
        <v>340.55</v>
      </c>
      <c r="DM959" s="409">
        <v>1.70275</v>
      </c>
      <c r="DN959" s="82" t="s">
        <v>85</v>
      </c>
      <c r="DO959" s="82" t="s">
        <v>85</v>
      </c>
      <c r="DP959" s="410" t="s">
        <v>85</v>
      </c>
    </row>
    <row r="960" spans="1:120" x14ac:dyDescent="0.25">
      <c r="A960" s="16" t="s">
        <v>3940</v>
      </c>
      <c r="B960" s="16" t="s">
        <v>3941</v>
      </c>
      <c r="C960" s="16" t="s">
        <v>3942</v>
      </c>
      <c r="D960" s="16" t="s">
        <v>3740</v>
      </c>
      <c r="E960" s="16" t="s">
        <v>3943</v>
      </c>
      <c r="F960" s="16" t="s">
        <v>3944</v>
      </c>
      <c r="G960" s="16" t="s">
        <v>3945</v>
      </c>
      <c r="H960" s="16" t="s">
        <v>3946</v>
      </c>
      <c r="I960" s="16" t="s">
        <v>1066</v>
      </c>
      <c r="J960" s="16" t="s">
        <v>943</v>
      </c>
      <c r="K960" s="16" t="s">
        <v>1067</v>
      </c>
      <c r="L960" s="16" t="s">
        <v>85</v>
      </c>
      <c r="M960" s="16" t="s">
        <v>984</v>
      </c>
      <c r="N960" s="16" t="s">
        <v>914</v>
      </c>
      <c r="O960" s="16" t="s">
        <v>985</v>
      </c>
      <c r="P960" s="16" t="s">
        <v>914</v>
      </c>
      <c r="Q960" s="16" t="s">
        <v>985</v>
      </c>
      <c r="R960" s="16" t="s">
        <v>915</v>
      </c>
      <c r="S960" s="16" t="s">
        <v>915</v>
      </c>
      <c r="T960" s="16" t="s">
        <v>986</v>
      </c>
      <c r="U960" s="16" t="s">
        <v>987</v>
      </c>
      <c r="V960" s="16" t="s">
        <v>916</v>
      </c>
      <c r="W960" s="16" t="s">
        <v>987</v>
      </c>
      <c r="X960" s="16" t="s">
        <v>934</v>
      </c>
      <c r="Y960" s="16" t="s">
        <v>934</v>
      </c>
      <c r="Z960" s="16" t="s">
        <v>935</v>
      </c>
      <c r="DA960" s="405" t="s">
        <v>5</v>
      </c>
      <c r="DB960" s="405" t="s">
        <v>363</v>
      </c>
      <c r="DC960" s="406" t="s">
        <v>85</v>
      </c>
      <c r="DD960" s="405" t="s">
        <v>917</v>
      </c>
      <c r="DE960" s="405" t="s">
        <v>5</v>
      </c>
      <c r="DF960" s="406" t="s">
        <v>85</v>
      </c>
      <c r="DG960" s="407">
        <v>45859</v>
      </c>
      <c r="DH960" s="405" t="s">
        <v>3943</v>
      </c>
      <c r="DI960" s="406">
        <v>465455</v>
      </c>
      <c r="DJ960" s="408">
        <v>5</v>
      </c>
      <c r="DK960" s="405">
        <v>1</v>
      </c>
      <c r="DL960" s="82">
        <v>340.55</v>
      </c>
      <c r="DM960" s="409">
        <v>1.70275</v>
      </c>
      <c r="DN960" s="82" t="s">
        <v>85</v>
      </c>
      <c r="DO960" s="82" t="s">
        <v>85</v>
      </c>
      <c r="DP960" s="410" t="s">
        <v>85</v>
      </c>
    </row>
    <row r="961" spans="1:120" x14ac:dyDescent="0.25">
      <c r="A961" s="16" t="s">
        <v>3947</v>
      </c>
      <c r="B961" s="16" t="s">
        <v>3948</v>
      </c>
      <c r="C961" s="16" t="s">
        <v>3949</v>
      </c>
      <c r="D961" s="16" t="s">
        <v>3740</v>
      </c>
      <c r="E961" s="16" t="s">
        <v>3950</v>
      </c>
      <c r="F961" s="16" t="s">
        <v>3951</v>
      </c>
      <c r="G961" s="16" t="s">
        <v>3952</v>
      </c>
      <c r="H961" s="16" t="s">
        <v>3953</v>
      </c>
      <c r="I961" s="16" t="s">
        <v>1248</v>
      </c>
      <c r="J961" s="16" t="s">
        <v>995</v>
      </c>
      <c r="K961" s="16" t="s">
        <v>1249</v>
      </c>
      <c r="L961" s="16" t="s">
        <v>85</v>
      </c>
      <c r="M961" s="16" t="s">
        <v>1165</v>
      </c>
      <c r="N961" s="16" t="s">
        <v>914</v>
      </c>
      <c r="O961" s="16" t="s">
        <v>1166</v>
      </c>
      <c r="P961" s="16" t="s">
        <v>914</v>
      </c>
      <c r="Q961" s="16" t="s">
        <v>1166</v>
      </c>
      <c r="R961" s="16" t="s">
        <v>915</v>
      </c>
      <c r="S961" s="16" t="s">
        <v>915</v>
      </c>
      <c r="T961" s="16" t="s">
        <v>1167</v>
      </c>
      <c r="U961" s="16" t="s">
        <v>1168</v>
      </c>
      <c r="V961" s="16" t="s">
        <v>916</v>
      </c>
      <c r="W961" s="16" t="s">
        <v>1168</v>
      </c>
      <c r="X961" s="16" t="s">
        <v>934</v>
      </c>
      <c r="Y961" s="16" t="s">
        <v>934</v>
      </c>
      <c r="Z961" s="16" t="s">
        <v>935</v>
      </c>
      <c r="DA961" s="405" t="s">
        <v>5</v>
      </c>
      <c r="DB961" s="405" t="s">
        <v>363</v>
      </c>
      <c r="DC961" s="406" t="s">
        <v>85</v>
      </c>
      <c r="DD961" s="405" t="s">
        <v>917</v>
      </c>
      <c r="DE961" s="405" t="s">
        <v>5</v>
      </c>
      <c r="DF961" s="406" t="s">
        <v>85</v>
      </c>
      <c r="DG961" s="407">
        <v>45859</v>
      </c>
      <c r="DH961" s="405" t="s">
        <v>3950</v>
      </c>
      <c r="DI961" s="406">
        <v>465455</v>
      </c>
      <c r="DJ961" s="408">
        <v>5</v>
      </c>
      <c r="DK961" s="405">
        <v>1</v>
      </c>
      <c r="DL961" s="82">
        <v>468.28</v>
      </c>
      <c r="DM961" s="409">
        <v>2.3413999999999997</v>
      </c>
      <c r="DN961" s="82" t="s">
        <v>85</v>
      </c>
      <c r="DO961" s="82" t="s">
        <v>85</v>
      </c>
      <c r="DP961" s="410" t="s">
        <v>85</v>
      </c>
    </row>
    <row r="962" spans="1:120" x14ac:dyDescent="0.25">
      <c r="A962" s="16" t="s">
        <v>3954</v>
      </c>
      <c r="B962" s="16" t="s">
        <v>3955</v>
      </c>
      <c r="C962" s="16" t="s">
        <v>3956</v>
      </c>
      <c r="D962" s="16" t="s">
        <v>3740</v>
      </c>
      <c r="E962" s="16" t="s">
        <v>3957</v>
      </c>
      <c r="F962" s="16" t="s">
        <v>3958</v>
      </c>
      <c r="G962" s="16" t="s">
        <v>3959</v>
      </c>
      <c r="H962" s="16" t="s">
        <v>3960</v>
      </c>
      <c r="I962" s="16" t="s">
        <v>3961</v>
      </c>
      <c r="J962" s="16" t="s">
        <v>3962</v>
      </c>
      <c r="K962" s="16" t="s">
        <v>3963</v>
      </c>
      <c r="L962" s="16" t="s">
        <v>85</v>
      </c>
      <c r="M962" s="16" t="s">
        <v>1829</v>
      </c>
      <c r="N962" s="16" t="s">
        <v>914</v>
      </c>
      <c r="O962" s="16" t="s">
        <v>1830</v>
      </c>
      <c r="P962" s="16" t="s">
        <v>914</v>
      </c>
      <c r="Q962" s="16" t="s">
        <v>1830</v>
      </c>
      <c r="R962" s="16" t="s">
        <v>915</v>
      </c>
      <c r="S962" s="16" t="s">
        <v>915</v>
      </c>
      <c r="T962" s="16" t="s">
        <v>1829</v>
      </c>
      <c r="U962" s="16" t="s">
        <v>1831</v>
      </c>
      <c r="V962" s="16" t="s">
        <v>916</v>
      </c>
      <c r="W962" s="16" t="s">
        <v>1831</v>
      </c>
      <c r="X962" s="16" t="s">
        <v>934</v>
      </c>
      <c r="Y962" s="16" t="s">
        <v>934</v>
      </c>
      <c r="Z962" s="16" t="s">
        <v>935</v>
      </c>
      <c r="DA962" s="405" t="s">
        <v>5</v>
      </c>
      <c r="DB962" s="405" t="s">
        <v>363</v>
      </c>
      <c r="DC962" s="406" t="s">
        <v>85</v>
      </c>
      <c r="DD962" s="405" t="s">
        <v>917</v>
      </c>
      <c r="DE962" s="405" t="s">
        <v>5</v>
      </c>
      <c r="DF962" s="406" t="s">
        <v>85</v>
      </c>
      <c r="DG962" s="407">
        <v>45859</v>
      </c>
      <c r="DH962" s="405" t="s">
        <v>3957</v>
      </c>
      <c r="DI962" s="406">
        <v>465455</v>
      </c>
      <c r="DJ962" s="408">
        <v>5</v>
      </c>
      <c r="DK962" s="405">
        <v>1</v>
      </c>
      <c r="DL962" s="82">
        <v>242.05</v>
      </c>
      <c r="DM962" s="409">
        <v>1.21025</v>
      </c>
      <c r="DN962" s="82" t="s">
        <v>85</v>
      </c>
      <c r="DO962" s="82" t="s">
        <v>85</v>
      </c>
      <c r="DP962" s="410" t="s">
        <v>85</v>
      </c>
    </row>
    <row r="963" spans="1:120" x14ac:dyDescent="0.25">
      <c r="A963" s="16" t="s">
        <v>3964</v>
      </c>
      <c r="B963" s="16" t="s">
        <v>3965</v>
      </c>
      <c r="C963" s="16" t="s">
        <v>3966</v>
      </c>
      <c r="D963" s="16" t="s">
        <v>3740</v>
      </c>
      <c r="E963" s="16" t="s">
        <v>3967</v>
      </c>
      <c r="F963" s="16" t="s">
        <v>3968</v>
      </c>
      <c r="G963" s="16" t="s">
        <v>3969</v>
      </c>
      <c r="H963" s="16" t="s">
        <v>3968</v>
      </c>
      <c r="I963" s="16" t="s">
        <v>927</v>
      </c>
      <c r="J963" s="16" t="s">
        <v>928</v>
      </c>
      <c r="K963" s="16" t="s">
        <v>929</v>
      </c>
      <c r="L963" s="16" t="s">
        <v>85</v>
      </c>
      <c r="M963" s="16" t="s">
        <v>1322</v>
      </c>
      <c r="N963" s="16" t="s">
        <v>914</v>
      </c>
      <c r="O963" s="16" t="s">
        <v>1323</v>
      </c>
      <c r="P963" s="16" t="s">
        <v>914</v>
      </c>
      <c r="Q963" s="16" t="s">
        <v>1323</v>
      </c>
      <c r="R963" s="16" t="s">
        <v>915</v>
      </c>
      <c r="S963" s="16" t="s">
        <v>915</v>
      </c>
      <c r="T963" s="16" t="s">
        <v>1322</v>
      </c>
      <c r="U963" s="16" t="s">
        <v>1324</v>
      </c>
      <c r="V963" s="16" t="s">
        <v>916</v>
      </c>
      <c r="W963" s="16" t="s">
        <v>1324</v>
      </c>
      <c r="X963" s="16" t="s">
        <v>934</v>
      </c>
      <c r="Y963" s="16" t="s">
        <v>934</v>
      </c>
      <c r="Z963" s="16" t="s">
        <v>935</v>
      </c>
      <c r="DA963" s="405" t="s">
        <v>5</v>
      </c>
      <c r="DB963" s="405" t="s">
        <v>363</v>
      </c>
      <c r="DC963" s="406" t="s">
        <v>85</v>
      </c>
      <c r="DD963" s="405" t="s">
        <v>917</v>
      </c>
      <c r="DE963" s="405" t="s">
        <v>5</v>
      </c>
      <c r="DF963" s="406" t="s">
        <v>85</v>
      </c>
      <c r="DG963" s="407">
        <v>45859</v>
      </c>
      <c r="DH963" s="405" t="s">
        <v>3967</v>
      </c>
      <c r="DI963" s="406">
        <v>465455</v>
      </c>
      <c r="DJ963" s="408">
        <v>5</v>
      </c>
      <c r="DK963" s="405">
        <v>1</v>
      </c>
      <c r="DL963" s="82">
        <v>332.47</v>
      </c>
      <c r="DM963" s="409">
        <v>1.6623500000000002</v>
      </c>
      <c r="DN963" s="82" t="s">
        <v>85</v>
      </c>
      <c r="DO963" s="82" t="s">
        <v>85</v>
      </c>
      <c r="DP963" s="410" t="s">
        <v>85</v>
      </c>
    </row>
    <row r="964" spans="1:120" x14ac:dyDescent="0.25">
      <c r="A964" s="16" t="s">
        <v>3970</v>
      </c>
      <c r="B964" s="16" t="s">
        <v>3971</v>
      </c>
      <c r="C964" s="16" t="s">
        <v>3972</v>
      </c>
      <c r="D964" s="16" t="s">
        <v>3740</v>
      </c>
      <c r="E964" s="16" t="s">
        <v>3973</v>
      </c>
      <c r="F964" s="16" t="s">
        <v>3974</v>
      </c>
      <c r="G964" s="16" t="s">
        <v>3975</v>
      </c>
      <c r="H964" s="16" t="s">
        <v>3976</v>
      </c>
      <c r="I964" s="16" t="s">
        <v>1929</v>
      </c>
      <c r="J964" s="16" t="s">
        <v>995</v>
      </c>
      <c r="K964" s="16" t="s">
        <v>1930</v>
      </c>
      <c r="L964" s="16" t="s">
        <v>85</v>
      </c>
      <c r="M964" s="16" t="s">
        <v>1165</v>
      </c>
      <c r="N964" s="16" t="s">
        <v>914</v>
      </c>
      <c r="O964" s="16" t="s">
        <v>1166</v>
      </c>
      <c r="P964" s="16" t="s">
        <v>914</v>
      </c>
      <c r="Q964" s="16" t="s">
        <v>1166</v>
      </c>
      <c r="R964" s="16" t="s">
        <v>915</v>
      </c>
      <c r="S964" s="16" t="s">
        <v>915</v>
      </c>
      <c r="T964" s="16" t="s">
        <v>1167</v>
      </c>
      <c r="U964" s="16" t="s">
        <v>1168</v>
      </c>
      <c r="V964" s="16" t="s">
        <v>916</v>
      </c>
      <c r="W964" s="16" t="s">
        <v>1168</v>
      </c>
      <c r="X964" s="16" t="s">
        <v>934</v>
      </c>
      <c r="Y964" s="16" t="s">
        <v>934</v>
      </c>
      <c r="Z964" s="16" t="s">
        <v>935</v>
      </c>
      <c r="DA964" s="405" t="s">
        <v>5</v>
      </c>
      <c r="DB964" s="405" t="s">
        <v>363</v>
      </c>
      <c r="DC964" s="406" t="s">
        <v>85</v>
      </c>
      <c r="DD964" s="405" t="s">
        <v>917</v>
      </c>
      <c r="DE964" s="405" t="s">
        <v>5</v>
      </c>
      <c r="DF964" s="406" t="s">
        <v>85</v>
      </c>
      <c r="DG964" s="407">
        <v>45859</v>
      </c>
      <c r="DH964" s="405" t="s">
        <v>3973</v>
      </c>
      <c r="DI964" s="406">
        <v>465455</v>
      </c>
      <c r="DJ964" s="408">
        <v>5</v>
      </c>
      <c r="DK964" s="405">
        <v>1</v>
      </c>
      <c r="DL964" s="82">
        <v>468.28</v>
      </c>
      <c r="DM964" s="409">
        <v>2.3413999999999997</v>
      </c>
      <c r="DN964" s="82" t="s">
        <v>85</v>
      </c>
      <c r="DO964" s="82" t="s">
        <v>85</v>
      </c>
      <c r="DP964" s="410" t="s">
        <v>85</v>
      </c>
    </row>
    <row r="965" spans="1:120" x14ac:dyDescent="0.25">
      <c r="A965" s="16" t="s">
        <v>3977</v>
      </c>
      <c r="B965" s="16" t="s">
        <v>3978</v>
      </c>
      <c r="C965" s="16" t="s">
        <v>3979</v>
      </c>
      <c r="D965" s="16" t="s">
        <v>3740</v>
      </c>
      <c r="E965" s="16" t="s">
        <v>3980</v>
      </c>
      <c r="F965" s="16" t="s">
        <v>3981</v>
      </c>
      <c r="G965" s="16" t="s">
        <v>3982</v>
      </c>
      <c r="H965" s="16" t="s">
        <v>3983</v>
      </c>
      <c r="I965" s="16" t="s">
        <v>1278</v>
      </c>
      <c r="J965" s="16" t="s">
        <v>1109</v>
      </c>
      <c r="K965" s="16" t="s">
        <v>1279</v>
      </c>
      <c r="L965" s="16" t="s">
        <v>85</v>
      </c>
      <c r="M965" s="16" t="s">
        <v>1311</v>
      </c>
      <c r="N965" s="16" t="s">
        <v>914</v>
      </c>
      <c r="O965" s="16" t="s">
        <v>1312</v>
      </c>
      <c r="P965" s="16" t="s">
        <v>914</v>
      </c>
      <c r="Q965" s="16" t="s">
        <v>1312</v>
      </c>
      <c r="R965" s="16" t="s">
        <v>915</v>
      </c>
      <c r="S965" s="16" t="s">
        <v>915</v>
      </c>
      <c r="T965" s="16" t="s">
        <v>1311</v>
      </c>
      <c r="U965" s="16" t="s">
        <v>1313</v>
      </c>
      <c r="V965" s="16" t="s">
        <v>916</v>
      </c>
      <c r="W965" s="16" t="s">
        <v>1313</v>
      </c>
      <c r="X965" s="16" t="s">
        <v>934</v>
      </c>
      <c r="Y965" s="16" t="s">
        <v>934</v>
      </c>
      <c r="Z965" s="16" t="s">
        <v>935</v>
      </c>
      <c r="DA965" s="405" t="s">
        <v>5</v>
      </c>
      <c r="DB965" s="405" t="s">
        <v>363</v>
      </c>
      <c r="DC965" s="406" t="s">
        <v>85</v>
      </c>
      <c r="DD965" s="405" t="s">
        <v>917</v>
      </c>
      <c r="DE965" s="405" t="s">
        <v>5</v>
      </c>
      <c r="DF965" s="406" t="s">
        <v>85</v>
      </c>
      <c r="DG965" s="407">
        <v>45859</v>
      </c>
      <c r="DH965" s="405" t="s">
        <v>3980</v>
      </c>
      <c r="DI965" s="406">
        <v>465455</v>
      </c>
      <c r="DJ965" s="408">
        <v>5</v>
      </c>
      <c r="DK965" s="405">
        <v>1</v>
      </c>
      <c r="DL965" s="82">
        <v>531.54</v>
      </c>
      <c r="DM965" s="409">
        <v>2.6576999999999997</v>
      </c>
      <c r="DN965" s="82" t="s">
        <v>85</v>
      </c>
      <c r="DO965" s="82" t="s">
        <v>85</v>
      </c>
      <c r="DP965" s="410" t="s">
        <v>85</v>
      </c>
    </row>
    <row r="966" spans="1:120" x14ac:dyDescent="0.25">
      <c r="A966" s="16" t="s">
        <v>3984</v>
      </c>
      <c r="B966" s="16" t="s">
        <v>3985</v>
      </c>
      <c r="C966" s="16" t="s">
        <v>3986</v>
      </c>
      <c r="D966" s="16" t="s">
        <v>3740</v>
      </c>
      <c r="E966" s="16" t="s">
        <v>3987</v>
      </c>
      <c r="F966" s="16" t="s">
        <v>3988</v>
      </c>
      <c r="G966" s="16" t="s">
        <v>3989</v>
      </c>
      <c r="H966" s="16" t="s">
        <v>3990</v>
      </c>
      <c r="I966" s="16" t="s">
        <v>1711</v>
      </c>
      <c r="J966" s="16" t="s">
        <v>943</v>
      </c>
      <c r="K966" s="16" t="s">
        <v>1712</v>
      </c>
      <c r="L966" s="16" t="s">
        <v>85</v>
      </c>
      <c r="M966" s="16" t="s">
        <v>984</v>
      </c>
      <c r="N966" s="16" t="s">
        <v>914</v>
      </c>
      <c r="O966" s="16" t="s">
        <v>985</v>
      </c>
      <c r="P966" s="16" t="s">
        <v>914</v>
      </c>
      <c r="Q966" s="16" t="s">
        <v>985</v>
      </c>
      <c r="R966" s="16" t="s">
        <v>915</v>
      </c>
      <c r="S966" s="16" t="s">
        <v>915</v>
      </c>
      <c r="T966" s="16" t="s">
        <v>986</v>
      </c>
      <c r="U966" s="16" t="s">
        <v>987</v>
      </c>
      <c r="V966" s="16" t="s">
        <v>916</v>
      </c>
      <c r="W966" s="16" t="s">
        <v>987</v>
      </c>
      <c r="X966" s="16" t="s">
        <v>934</v>
      </c>
      <c r="Y966" s="16" t="s">
        <v>934</v>
      </c>
      <c r="Z966" s="16" t="s">
        <v>935</v>
      </c>
      <c r="DA966" s="405" t="s">
        <v>5</v>
      </c>
      <c r="DB966" s="405" t="s">
        <v>363</v>
      </c>
      <c r="DC966" s="406" t="s">
        <v>85</v>
      </c>
      <c r="DD966" s="405" t="s">
        <v>917</v>
      </c>
      <c r="DE966" s="405" t="s">
        <v>5</v>
      </c>
      <c r="DF966" s="406" t="s">
        <v>85</v>
      </c>
      <c r="DG966" s="407">
        <v>45859</v>
      </c>
      <c r="DH966" s="405" t="s">
        <v>3987</v>
      </c>
      <c r="DI966" s="406">
        <v>465455</v>
      </c>
      <c r="DJ966" s="408">
        <v>5</v>
      </c>
      <c r="DK966" s="405">
        <v>1</v>
      </c>
      <c r="DL966" s="82">
        <v>340.55</v>
      </c>
      <c r="DM966" s="409">
        <v>1.70275</v>
      </c>
      <c r="DN966" s="82" t="s">
        <v>85</v>
      </c>
      <c r="DO966" s="82" t="s">
        <v>85</v>
      </c>
      <c r="DP966" s="410" t="s">
        <v>85</v>
      </c>
    </row>
    <row r="967" spans="1:120" x14ac:dyDescent="0.25">
      <c r="A967" s="16" t="s">
        <v>3984</v>
      </c>
      <c r="B967" s="16" t="s">
        <v>3985</v>
      </c>
      <c r="C967" s="16" t="s">
        <v>3986</v>
      </c>
      <c r="D967" s="16" t="s">
        <v>3740</v>
      </c>
      <c r="E967" s="16" t="s">
        <v>3987</v>
      </c>
      <c r="F967" s="16" t="s">
        <v>3988</v>
      </c>
      <c r="G967" s="16" t="s">
        <v>3989</v>
      </c>
      <c r="H967" s="16" t="s">
        <v>3990</v>
      </c>
      <c r="I967" s="16" t="s">
        <v>2136</v>
      </c>
      <c r="J967" s="16" t="s">
        <v>943</v>
      </c>
      <c r="K967" s="16" t="s">
        <v>2137</v>
      </c>
      <c r="L967" s="16" t="s">
        <v>85</v>
      </c>
      <c r="M967" s="16" t="s">
        <v>984</v>
      </c>
      <c r="N967" s="16" t="s">
        <v>914</v>
      </c>
      <c r="O967" s="16" t="s">
        <v>985</v>
      </c>
      <c r="P967" s="16" t="s">
        <v>914</v>
      </c>
      <c r="Q967" s="16" t="s">
        <v>985</v>
      </c>
      <c r="R967" s="16" t="s">
        <v>915</v>
      </c>
      <c r="S967" s="16" t="s">
        <v>915</v>
      </c>
      <c r="T967" s="16" t="s">
        <v>986</v>
      </c>
      <c r="U967" s="16" t="s">
        <v>987</v>
      </c>
      <c r="V967" s="16" t="s">
        <v>916</v>
      </c>
      <c r="W967" s="16" t="s">
        <v>987</v>
      </c>
      <c r="X967" s="16" t="s">
        <v>934</v>
      </c>
      <c r="Y967" s="16" t="s">
        <v>934</v>
      </c>
      <c r="Z967" s="16" t="s">
        <v>935</v>
      </c>
      <c r="DA967" s="405" t="s">
        <v>5</v>
      </c>
      <c r="DB967" s="405" t="s">
        <v>363</v>
      </c>
      <c r="DC967" s="406" t="s">
        <v>85</v>
      </c>
      <c r="DD967" s="405" t="s">
        <v>917</v>
      </c>
      <c r="DE967" s="405" t="s">
        <v>5</v>
      </c>
      <c r="DF967" s="406" t="s">
        <v>85</v>
      </c>
      <c r="DG967" s="407">
        <v>45859</v>
      </c>
      <c r="DH967" s="405" t="s">
        <v>3987</v>
      </c>
      <c r="DI967" s="406">
        <v>465455</v>
      </c>
      <c r="DJ967" s="408">
        <v>5</v>
      </c>
      <c r="DK967" s="405">
        <v>1</v>
      </c>
      <c r="DL967" s="82">
        <v>340.55</v>
      </c>
      <c r="DM967" s="409">
        <v>1.70275</v>
      </c>
      <c r="DN967" s="82" t="s">
        <v>85</v>
      </c>
      <c r="DO967" s="82" t="s">
        <v>85</v>
      </c>
      <c r="DP967" s="410" t="s">
        <v>85</v>
      </c>
    </row>
    <row r="968" spans="1:120" x14ac:dyDescent="0.25">
      <c r="A968" s="16" t="s">
        <v>3991</v>
      </c>
      <c r="B968" s="16" t="s">
        <v>3992</v>
      </c>
      <c r="C968" s="16" t="s">
        <v>3993</v>
      </c>
      <c r="D968" s="16" t="s">
        <v>3740</v>
      </c>
      <c r="E968" s="16" t="s">
        <v>3994</v>
      </c>
      <c r="F968" s="16" t="s">
        <v>3995</v>
      </c>
      <c r="G968" s="16" t="s">
        <v>3996</v>
      </c>
      <c r="H968" s="16" t="s">
        <v>3997</v>
      </c>
      <c r="I968" s="16" t="s">
        <v>3998</v>
      </c>
      <c r="J968" s="16" t="s">
        <v>956</v>
      </c>
      <c r="K968" s="16" t="s">
        <v>3999</v>
      </c>
      <c r="L968" s="16" t="s">
        <v>85</v>
      </c>
      <c r="M968" s="16" t="s">
        <v>1396</v>
      </c>
      <c r="N968" s="16" t="s">
        <v>914</v>
      </c>
      <c r="O968" s="16" t="s">
        <v>1397</v>
      </c>
      <c r="P968" s="16" t="s">
        <v>914</v>
      </c>
      <c r="Q968" s="16" t="s">
        <v>1397</v>
      </c>
      <c r="R968" s="16" t="s">
        <v>915</v>
      </c>
      <c r="S968" s="16" t="s">
        <v>915</v>
      </c>
      <c r="T968" s="16" t="s">
        <v>1396</v>
      </c>
      <c r="U968" s="16" t="s">
        <v>1398</v>
      </c>
      <c r="V968" s="16" t="s">
        <v>916</v>
      </c>
      <c r="W968" s="16" t="s">
        <v>1398</v>
      </c>
      <c r="X968" s="16" t="s">
        <v>934</v>
      </c>
      <c r="Y968" s="16" t="s">
        <v>934</v>
      </c>
      <c r="Z968" s="16" t="s">
        <v>935</v>
      </c>
      <c r="DA968" s="405" t="s">
        <v>5</v>
      </c>
      <c r="DB968" s="405" t="s">
        <v>363</v>
      </c>
      <c r="DC968" s="406" t="s">
        <v>85</v>
      </c>
      <c r="DD968" s="405" t="s">
        <v>917</v>
      </c>
      <c r="DE968" s="405" t="s">
        <v>5</v>
      </c>
      <c r="DF968" s="406" t="s">
        <v>85</v>
      </c>
      <c r="DG968" s="407">
        <v>45859</v>
      </c>
      <c r="DH968" s="405" t="s">
        <v>3994</v>
      </c>
      <c r="DI968" s="406">
        <v>465455</v>
      </c>
      <c r="DJ968" s="408">
        <v>5</v>
      </c>
      <c r="DK968" s="405">
        <v>1</v>
      </c>
      <c r="DL968" s="82">
        <v>265.92</v>
      </c>
      <c r="DM968" s="409">
        <v>1.3296000000000001</v>
      </c>
      <c r="DN968" s="82" t="s">
        <v>85</v>
      </c>
      <c r="DO968" s="82" t="s">
        <v>85</v>
      </c>
      <c r="DP968" s="410" t="s">
        <v>85</v>
      </c>
    </row>
    <row r="969" spans="1:120" x14ac:dyDescent="0.25">
      <c r="A969" s="16" t="s">
        <v>4000</v>
      </c>
      <c r="B969" s="16" t="s">
        <v>4001</v>
      </c>
      <c r="C969" s="16" t="s">
        <v>4002</v>
      </c>
      <c r="D969" s="16" t="s">
        <v>3740</v>
      </c>
      <c r="E969" s="16" t="s">
        <v>4003</v>
      </c>
      <c r="F969" s="16" t="s">
        <v>4004</v>
      </c>
      <c r="G969" s="16" t="s">
        <v>4005</v>
      </c>
      <c r="H969" s="16" t="s">
        <v>3995</v>
      </c>
      <c r="I969" s="16" t="s">
        <v>1007</v>
      </c>
      <c r="J969" s="16" t="s">
        <v>928</v>
      </c>
      <c r="K969" s="16" t="s">
        <v>1008</v>
      </c>
      <c r="L969" s="16" t="s">
        <v>85</v>
      </c>
      <c r="M969" s="16" t="s">
        <v>1322</v>
      </c>
      <c r="N969" s="16" t="s">
        <v>914</v>
      </c>
      <c r="O969" s="16" t="s">
        <v>1323</v>
      </c>
      <c r="P969" s="16" t="s">
        <v>914</v>
      </c>
      <c r="Q969" s="16" t="s">
        <v>1323</v>
      </c>
      <c r="R969" s="16" t="s">
        <v>915</v>
      </c>
      <c r="S969" s="16" t="s">
        <v>915</v>
      </c>
      <c r="T969" s="16" t="s">
        <v>1322</v>
      </c>
      <c r="U969" s="16" t="s">
        <v>1324</v>
      </c>
      <c r="V969" s="16" t="s">
        <v>916</v>
      </c>
      <c r="W969" s="16" t="s">
        <v>1324</v>
      </c>
      <c r="X969" s="16" t="s">
        <v>934</v>
      </c>
      <c r="Y969" s="16" t="s">
        <v>934</v>
      </c>
      <c r="Z969" s="16" t="s">
        <v>935</v>
      </c>
      <c r="DA969" s="405" t="s">
        <v>5</v>
      </c>
      <c r="DB969" s="405" t="s">
        <v>363</v>
      </c>
      <c r="DC969" s="406" t="s">
        <v>85</v>
      </c>
      <c r="DD969" s="405" t="s">
        <v>917</v>
      </c>
      <c r="DE969" s="405" t="s">
        <v>5</v>
      </c>
      <c r="DF969" s="406" t="s">
        <v>85</v>
      </c>
      <c r="DG969" s="407">
        <v>45859</v>
      </c>
      <c r="DH969" s="405" t="s">
        <v>4003</v>
      </c>
      <c r="DI969" s="406">
        <v>465455</v>
      </c>
      <c r="DJ969" s="408">
        <v>5</v>
      </c>
      <c r="DK969" s="405">
        <v>1</v>
      </c>
      <c r="DL969" s="82">
        <v>332.47</v>
      </c>
      <c r="DM969" s="409">
        <v>1.6623500000000002</v>
      </c>
      <c r="DN969" s="82" t="s">
        <v>85</v>
      </c>
      <c r="DO969" s="82" t="s">
        <v>85</v>
      </c>
      <c r="DP969" s="410" t="s">
        <v>85</v>
      </c>
    </row>
    <row r="970" spans="1:120" x14ac:dyDescent="0.25">
      <c r="A970" s="16" t="s">
        <v>4006</v>
      </c>
      <c r="B970" s="16" t="s">
        <v>4007</v>
      </c>
      <c r="C970" s="16" t="s">
        <v>4008</v>
      </c>
      <c r="D970" s="16" t="s">
        <v>3740</v>
      </c>
      <c r="E970" s="16" t="s">
        <v>4009</v>
      </c>
      <c r="F970" s="16" t="s">
        <v>4010</v>
      </c>
      <c r="G970" s="16" t="s">
        <v>4011</v>
      </c>
      <c r="H970" s="16" t="s">
        <v>4012</v>
      </c>
      <c r="I970" s="16" t="s">
        <v>1163</v>
      </c>
      <c r="J970" s="16" t="s">
        <v>995</v>
      </c>
      <c r="K970" s="16" t="s">
        <v>1164</v>
      </c>
      <c r="L970" s="16" t="s">
        <v>85</v>
      </c>
      <c r="M970" s="16" t="s">
        <v>1165</v>
      </c>
      <c r="N970" s="16" t="s">
        <v>914</v>
      </c>
      <c r="O970" s="16" t="s">
        <v>1166</v>
      </c>
      <c r="P970" s="16" t="s">
        <v>914</v>
      </c>
      <c r="Q970" s="16" t="s">
        <v>1166</v>
      </c>
      <c r="R970" s="16" t="s">
        <v>915</v>
      </c>
      <c r="S970" s="16" t="s">
        <v>915</v>
      </c>
      <c r="T970" s="16" t="s">
        <v>1167</v>
      </c>
      <c r="U970" s="16" t="s">
        <v>1168</v>
      </c>
      <c r="V970" s="16" t="s">
        <v>916</v>
      </c>
      <c r="W970" s="16" t="s">
        <v>1168</v>
      </c>
      <c r="X970" s="16" t="s">
        <v>934</v>
      </c>
      <c r="Y970" s="16" t="s">
        <v>934</v>
      </c>
      <c r="Z970" s="16" t="s">
        <v>935</v>
      </c>
      <c r="DA970" s="405" t="s">
        <v>5</v>
      </c>
      <c r="DB970" s="405" t="s">
        <v>363</v>
      </c>
      <c r="DC970" s="406" t="s">
        <v>85</v>
      </c>
      <c r="DD970" s="405" t="s">
        <v>917</v>
      </c>
      <c r="DE970" s="405" t="s">
        <v>5</v>
      </c>
      <c r="DF970" s="406" t="s">
        <v>85</v>
      </c>
      <c r="DG970" s="407">
        <v>45859</v>
      </c>
      <c r="DH970" s="405" t="s">
        <v>4009</v>
      </c>
      <c r="DI970" s="406">
        <v>465455</v>
      </c>
      <c r="DJ970" s="408">
        <v>5</v>
      </c>
      <c r="DK970" s="405">
        <v>1</v>
      </c>
      <c r="DL970" s="82">
        <v>468.28</v>
      </c>
      <c r="DM970" s="409">
        <v>2.3413999999999997</v>
      </c>
      <c r="DN970" s="82" t="s">
        <v>85</v>
      </c>
      <c r="DO970" s="82" t="s">
        <v>85</v>
      </c>
      <c r="DP970" s="410" t="s">
        <v>85</v>
      </c>
    </row>
    <row r="971" spans="1:120" x14ac:dyDescent="0.25">
      <c r="A971" s="16" t="s">
        <v>4013</v>
      </c>
      <c r="B971" s="16" t="s">
        <v>4014</v>
      </c>
      <c r="C971" s="16" t="s">
        <v>4015</v>
      </c>
      <c r="D971" s="16" t="s">
        <v>3740</v>
      </c>
      <c r="E971" s="16" t="s">
        <v>4016</v>
      </c>
      <c r="F971" s="16" t="s">
        <v>4010</v>
      </c>
      <c r="G971" s="16" t="s">
        <v>4017</v>
      </c>
      <c r="H971" s="16" t="s">
        <v>4010</v>
      </c>
      <c r="I971" s="16" t="s">
        <v>4018</v>
      </c>
      <c r="J971" s="16" t="s">
        <v>1109</v>
      </c>
      <c r="K971" s="16" t="s">
        <v>4019</v>
      </c>
      <c r="L971" s="16" t="s">
        <v>85</v>
      </c>
      <c r="M971" s="16" t="s">
        <v>1311</v>
      </c>
      <c r="N971" s="16" t="s">
        <v>914</v>
      </c>
      <c r="O971" s="16" t="s">
        <v>1312</v>
      </c>
      <c r="P971" s="16" t="s">
        <v>914</v>
      </c>
      <c r="Q971" s="16" t="s">
        <v>1312</v>
      </c>
      <c r="R971" s="16" t="s">
        <v>915</v>
      </c>
      <c r="S971" s="16" t="s">
        <v>915</v>
      </c>
      <c r="T971" s="16" t="s">
        <v>1311</v>
      </c>
      <c r="U971" s="16" t="s">
        <v>1313</v>
      </c>
      <c r="V971" s="16" t="s">
        <v>916</v>
      </c>
      <c r="W971" s="16" t="s">
        <v>1313</v>
      </c>
      <c r="X971" s="16" t="s">
        <v>934</v>
      </c>
      <c r="Y971" s="16" t="s">
        <v>934</v>
      </c>
      <c r="Z971" s="16" t="s">
        <v>935</v>
      </c>
      <c r="DA971" s="405" t="s">
        <v>5</v>
      </c>
      <c r="DB971" s="405" t="s">
        <v>363</v>
      </c>
      <c r="DC971" s="406" t="s">
        <v>85</v>
      </c>
      <c r="DD971" s="405" t="s">
        <v>917</v>
      </c>
      <c r="DE971" s="405" t="s">
        <v>5</v>
      </c>
      <c r="DF971" s="406" t="s">
        <v>85</v>
      </c>
      <c r="DG971" s="407">
        <v>45859</v>
      </c>
      <c r="DH971" s="405" t="s">
        <v>4016</v>
      </c>
      <c r="DI971" s="406">
        <v>465455</v>
      </c>
      <c r="DJ971" s="408">
        <v>5</v>
      </c>
      <c r="DK971" s="405">
        <v>1</v>
      </c>
      <c r="DL971" s="82">
        <v>531.54</v>
      </c>
      <c r="DM971" s="409">
        <v>2.6576999999999997</v>
      </c>
      <c r="DN971" s="82" t="s">
        <v>85</v>
      </c>
      <c r="DO971" s="82" t="s">
        <v>85</v>
      </c>
      <c r="DP971" s="410" t="s">
        <v>85</v>
      </c>
    </row>
    <row r="972" spans="1:120" x14ac:dyDescent="0.25">
      <c r="A972" s="16" t="s">
        <v>4020</v>
      </c>
      <c r="B972" s="16" t="s">
        <v>4021</v>
      </c>
      <c r="C972" s="16" t="s">
        <v>4022</v>
      </c>
      <c r="D972" s="16" t="s">
        <v>3740</v>
      </c>
      <c r="E972" s="16" t="s">
        <v>4023</v>
      </c>
      <c r="F972" s="16" t="s">
        <v>4024</v>
      </c>
      <c r="G972" s="16" t="s">
        <v>4025</v>
      </c>
      <c r="H972" s="16" t="s">
        <v>4026</v>
      </c>
      <c r="I972" s="16" t="s">
        <v>1386</v>
      </c>
      <c r="J972" s="16" t="s">
        <v>1109</v>
      </c>
      <c r="K972" s="16" t="s">
        <v>1387</v>
      </c>
      <c r="L972" s="16" t="s">
        <v>85</v>
      </c>
      <c r="M972" s="16" t="s">
        <v>1311</v>
      </c>
      <c r="N972" s="16" t="s">
        <v>914</v>
      </c>
      <c r="O972" s="16" t="s">
        <v>1312</v>
      </c>
      <c r="P972" s="16" t="s">
        <v>914</v>
      </c>
      <c r="Q972" s="16" t="s">
        <v>1312</v>
      </c>
      <c r="R972" s="16" t="s">
        <v>915</v>
      </c>
      <c r="S972" s="16" t="s">
        <v>915</v>
      </c>
      <c r="T972" s="16" t="s">
        <v>1311</v>
      </c>
      <c r="U972" s="16" t="s">
        <v>1313</v>
      </c>
      <c r="V972" s="16" t="s">
        <v>916</v>
      </c>
      <c r="W972" s="16" t="s">
        <v>1313</v>
      </c>
      <c r="X972" s="16" t="s">
        <v>934</v>
      </c>
      <c r="Y972" s="16" t="s">
        <v>934</v>
      </c>
      <c r="Z972" s="16" t="s">
        <v>935</v>
      </c>
      <c r="DA972" s="405" t="s">
        <v>5</v>
      </c>
      <c r="DB972" s="405" t="s">
        <v>363</v>
      </c>
      <c r="DC972" s="406" t="s">
        <v>85</v>
      </c>
      <c r="DD972" s="405" t="s">
        <v>917</v>
      </c>
      <c r="DE972" s="405" t="s">
        <v>5</v>
      </c>
      <c r="DF972" s="406" t="s">
        <v>85</v>
      </c>
      <c r="DG972" s="407">
        <v>45859</v>
      </c>
      <c r="DH972" s="405" t="s">
        <v>4023</v>
      </c>
      <c r="DI972" s="406">
        <v>465455</v>
      </c>
      <c r="DJ972" s="408">
        <v>5</v>
      </c>
      <c r="DK972" s="405">
        <v>1</v>
      </c>
      <c r="DL972" s="82">
        <v>531.54</v>
      </c>
      <c r="DM972" s="409">
        <v>2.6576999999999997</v>
      </c>
      <c r="DN972" s="82" t="s">
        <v>85</v>
      </c>
      <c r="DO972" s="82" t="s">
        <v>85</v>
      </c>
      <c r="DP972" s="410" t="s">
        <v>85</v>
      </c>
    </row>
    <row r="973" spans="1:120" x14ac:dyDescent="0.25">
      <c r="A973" s="16" t="s">
        <v>4027</v>
      </c>
      <c r="B973" s="16" t="s">
        <v>4028</v>
      </c>
      <c r="C973" s="16" t="s">
        <v>4029</v>
      </c>
      <c r="D973" s="16" t="s">
        <v>3740</v>
      </c>
      <c r="E973" s="16" t="s">
        <v>4030</v>
      </c>
      <c r="F973" s="16" t="s">
        <v>4031</v>
      </c>
      <c r="G973" s="16" t="s">
        <v>4032</v>
      </c>
      <c r="H973" s="16" t="s">
        <v>4033</v>
      </c>
      <c r="I973" s="16" t="s">
        <v>1108</v>
      </c>
      <c r="J973" s="16" t="s">
        <v>1109</v>
      </c>
      <c r="K973" s="16" t="s">
        <v>1110</v>
      </c>
      <c r="L973" s="16" t="s">
        <v>85</v>
      </c>
      <c r="M973" s="16" t="s">
        <v>1311</v>
      </c>
      <c r="N973" s="16" t="s">
        <v>914</v>
      </c>
      <c r="O973" s="16" t="s">
        <v>1312</v>
      </c>
      <c r="P973" s="16" t="s">
        <v>914</v>
      </c>
      <c r="Q973" s="16" t="s">
        <v>1312</v>
      </c>
      <c r="R973" s="16" t="s">
        <v>915</v>
      </c>
      <c r="S973" s="16" t="s">
        <v>915</v>
      </c>
      <c r="T973" s="16" t="s">
        <v>1311</v>
      </c>
      <c r="U973" s="16" t="s">
        <v>1313</v>
      </c>
      <c r="V973" s="16" t="s">
        <v>916</v>
      </c>
      <c r="W973" s="16" t="s">
        <v>1313</v>
      </c>
      <c r="X973" s="16" t="s">
        <v>934</v>
      </c>
      <c r="Y973" s="16" t="s">
        <v>934</v>
      </c>
      <c r="Z973" s="16" t="s">
        <v>935</v>
      </c>
      <c r="DA973" s="405" t="s">
        <v>5</v>
      </c>
      <c r="DB973" s="405" t="s">
        <v>363</v>
      </c>
      <c r="DC973" s="406" t="s">
        <v>85</v>
      </c>
      <c r="DD973" s="405" t="s">
        <v>917</v>
      </c>
      <c r="DE973" s="405" t="s">
        <v>5</v>
      </c>
      <c r="DF973" s="406" t="s">
        <v>85</v>
      </c>
      <c r="DG973" s="407">
        <v>45859</v>
      </c>
      <c r="DH973" s="405" t="s">
        <v>4030</v>
      </c>
      <c r="DI973" s="406">
        <v>465455</v>
      </c>
      <c r="DJ973" s="408">
        <v>5</v>
      </c>
      <c r="DK973" s="405">
        <v>1</v>
      </c>
      <c r="DL973" s="82">
        <v>531.54</v>
      </c>
      <c r="DM973" s="409">
        <v>2.6576999999999997</v>
      </c>
      <c r="DN973" s="82" t="s">
        <v>85</v>
      </c>
      <c r="DO973" s="82" t="s">
        <v>85</v>
      </c>
      <c r="DP973" s="410" t="s">
        <v>85</v>
      </c>
    </row>
    <row r="974" spans="1:120" x14ac:dyDescent="0.25">
      <c r="A974" s="16" t="s">
        <v>4034</v>
      </c>
      <c r="B974" s="16" t="s">
        <v>4035</v>
      </c>
      <c r="C974" s="16" t="s">
        <v>4036</v>
      </c>
      <c r="D974" s="16" t="s">
        <v>3740</v>
      </c>
      <c r="E974" s="16" t="s">
        <v>4037</v>
      </c>
      <c r="F974" s="16" t="s">
        <v>4038</v>
      </c>
      <c r="G974" s="16" t="s">
        <v>4039</v>
      </c>
      <c r="H974" s="16" t="s">
        <v>4040</v>
      </c>
      <c r="I974" s="16" t="s">
        <v>4041</v>
      </c>
      <c r="J974" s="16" t="s">
        <v>1123</v>
      </c>
      <c r="K974" s="16" t="s">
        <v>4042</v>
      </c>
      <c r="L974" s="16" t="s">
        <v>85</v>
      </c>
      <c r="M974" s="16" t="s">
        <v>1238</v>
      </c>
      <c r="N974" s="16" t="s">
        <v>914</v>
      </c>
      <c r="O974" s="16" t="s">
        <v>1239</v>
      </c>
      <c r="P974" s="16" t="s">
        <v>914</v>
      </c>
      <c r="Q974" s="16" t="s">
        <v>1239</v>
      </c>
      <c r="R974" s="16" t="s">
        <v>915</v>
      </c>
      <c r="S974" s="16" t="s">
        <v>915</v>
      </c>
      <c r="T974" s="16" t="s">
        <v>1238</v>
      </c>
      <c r="U974" s="16" t="s">
        <v>1240</v>
      </c>
      <c r="V974" s="16" t="s">
        <v>916</v>
      </c>
      <c r="W974" s="16" t="s">
        <v>1240</v>
      </c>
      <c r="X974" s="16" t="s">
        <v>934</v>
      </c>
      <c r="Y974" s="16" t="s">
        <v>934</v>
      </c>
      <c r="Z974" s="16" t="s">
        <v>935</v>
      </c>
      <c r="DA974" s="405" t="s">
        <v>5</v>
      </c>
      <c r="DB974" s="405" t="s">
        <v>363</v>
      </c>
      <c r="DC974" s="406" t="s">
        <v>85</v>
      </c>
      <c r="DD974" s="405" t="s">
        <v>917</v>
      </c>
      <c r="DE974" s="405" t="s">
        <v>5</v>
      </c>
      <c r="DF974" s="406" t="s">
        <v>85</v>
      </c>
      <c r="DG974" s="407">
        <v>45859</v>
      </c>
      <c r="DH974" s="405" t="s">
        <v>4037</v>
      </c>
      <c r="DI974" s="406">
        <v>465455</v>
      </c>
      <c r="DJ974" s="408">
        <v>5</v>
      </c>
      <c r="DK974" s="405">
        <v>1</v>
      </c>
      <c r="DL974" s="82">
        <v>383.16</v>
      </c>
      <c r="DM974" s="409">
        <v>1.9158000000000002</v>
      </c>
      <c r="DN974" s="82" t="s">
        <v>85</v>
      </c>
      <c r="DO974" s="82" t="s">
        <v>85</v>
      </c>
      <c r="DP974" s="410" t="s">
        <v>85</v>
      </c>
    </row>
    <row r="975" spans="1:120" x14ac:dyDescent="0.25">
      <c r="A975" s="16" t="s">
        <v>4043</v>
      </c>
      <c r="B975" s="16" t="s">
        <v>4044</v>
      </c>
      <c r="C975" s="16" t="s">
        <v>4045</v>
      </c>
      <c r="D975" s="16" t="s">
        <v>3740</v>
      </c>
      <c r="E975" s="16" t="s">
        <v>4046</v>
      </c>
      <c r="F975" s="16" t="s">
        <v>4047</v>
      </c>
      <c r="G975" s="16" t="s">
        <v>4048</v>
      </c>
      <c r="H975" s="16" t="s">
        <v>4047</v>
      </c>
      <c r="I975" s="16" t="s">
        <v>927</v>
      </c>
      <c r="J975" s="16" t="s">
        <v>928</v>
      </c>
      <c r="K975" s="16" t="s">
        <v>929</v>
      </c>
      <c r="L975" s="16" t="s">
        <v>85</v>
      </c>
      <c r="M975" s="16" t="s">
        <v>1322</v>
      </c>
      <c r="N975" s="16" t="s">
        <v>914</v>
      </c>
      <c r="O975" s="16" t="s">
        <v>1323</v>
      </c>
      <c r="P975" s="16" t="s">
        <v>914</v>
      </c>
      <c r="Q975" s="16" t="s">
        <v>1323</v>
      </c>
      <c r="R975" s="16" t="s">
        <v>915</v>
      </c>
      <c r="S975" s="16" t="s">
        <v>915</v>
      </c>
      <c r="T975" s="16" t="s">
        <v>1322</v>
      </c>
      <c r="U975" s="16" t="s">
        <v>1324</v>
      </c>
      <c r="V975" s="16" t="s">
        <v>916</v>
      </c>
      <c r="W975" s="16" t="s">
        <v>1324</v>
      </c>
      <c r="X975" s="16" t="s">
        <v>934</v>
      </c>
      <c r="Y975" s="16" t="s">
        <v>934</v>
      </c>
      <c r="Z975" s="16" t="s">
        <v>935</v>
      </c>
      <c r="DA975" s="405" t="s">
        <v>5</v>
      </c>
      <c r="DB975" s="405" t="s">
        <v>363</v>
      </c>
      <c r="DC975" s="406" t="s">
        <v>85</v>
      </c>
      <c r="DD975" s="405" t="s">
        <v>917</v>
      </c>
      <c r="DE975" s="405" t="s">
        <v>5</v>
      </c>
      <c r="DF975" s="406" t="s">
        <v>85</v>
      </c>
      <c r="DG975" s="407">
        <v>45859</v>
      </c>
      <c r="DH975" s="405" t="s">
        <v>4046</v>
      </c>
      <c r="DI975" s="406">
        <v>465455</v>
      </c>
      <c r="DJ975" s="408">
        <v>5</v>
      </c>
      <c r="DK975" s="405">
        <v>1</v>
      </c>
      <c r="DL975" s="82">
        <v>332.47</v>
      </c>
      <c r="DM975" s="409">
        <v>1.6623500000000002</v>
      </c>
      <c r="DN975" s="82" t="s">
        <v>85</v>
      </c>
      <c r="DO975" s="82" t="s">
        <v>85</v>
      </c>
      <c r="DP975" s="410" t="s">
        <v>85</v>
      </c>
    </row>
    <row r="976" spans="1:120" x14ac:dyDescent="0.25">
      <c r="A976" s="16" t="s">
        <v>4043</v>
      </c>
      <c r="B976" s="16" t="s">
        <v>4044</v>
      </c>
      <c r="C976" s="16" t="s">
        <v>4045</v>
      </c>
      <c r="D976" s="16" t="s">
        <v>3740</v>
      </c>
      <c r="E976" s="16" t="s">
        <v>4046</v>
      </c>
      <c r="F976" s="16" t="s">
        <v>4047</v>
      </c>
      <c r="G976" s="16" t="s">
        <v>4048</v>
      </c>
      <c r="H976" s="16" t="s">
        <v>4047</v>
      </c>
      <c r="I976" s="16" t="s">
        <v>4049</v>
      </c>
      <c r="J976" s="16" t="s">
        <v>928</v>
      </c>
      <c r="K976" s="16" t="s">
        <v>4050</v>
      </c>
      <c r="L976" s="16" t="s">
        <v>85</v>
      </c>
      <c r="M976" s="16" t="s">
        <v>1322</v>
      </c>
      <c r="N976" s="16" t="s">
        <v>914</v>
      </c>
      <c r="O976" s="16" t="s">
        <v>1323</v>
      </c>
      <c r="P976" s="16" t="s">
        <v>914</v>
      </c>
      <c r="Q976" s="16" t="s">
        <v>1323</v>
      </c>
      <c r="R976" s="16" t="s">
        <v>915</v>
      </c>
      <c r="S976" s="16" t="s">
        <v>915</v>
      </c>
      <c r="T976" s="16" t="s">
        <v>1322</v>
      </c>
      <c r="U976" s="16" t="s">
        <v>1324</v>
      </c>
      <c r="V976" s="16" t="s">
        <v>916</v>
      </c>
      <c r="W976" s="16" t="s">
        <v>1324</v>
      </c>
      <c r="X976" s="16" t="s">
        <v>934</v>
      </c>
      <c r="Y976" s="16" t="s">
        <v>934</v>
      </c>
      <c r="Z976" s="16" t="s">
        <v>935</v>
      </c>
      <c r="DA976" s="405" t="s">
        <v>5</v>
      </c>
      <c r="DB976" s="405" t="s">
        <v>363</v>
      </c>
      <c r="DC976" s="406" t="s">
        <v>85</v>
      </c>
      <c r="DD976" s="405" t="s">
        <v>917</v>
      </c>
      <c r="DE976" s="405" t="s">
        <v>5</v>
      </c>
      <c r="DF976" s="406" t="s">
        <v>85</v>
      </c>
      <c r="DG976" s="407">
        <v>45859</v>
      </c>
      <c r="DH976" s="405" t="s">
        <v>4046</v>
      </c>
      <c r="DI976" s="406">
        <v>465455</v>
      </c>
      <c r="DJ976" s="408">
        <v>5</v>
      </c>
      <c r="DK976" s="405">
        <v>1</v>
      </c>
      <c r="DL976" s="82">
        <v>332.47</v>
      </c>
      <c r="DM976" s="409">
        <v>1.6623500000000002</v>
      </c>
      <c r="DN976" s="82" t="s">
        <v>85</v>
      </c>
      <c r="DO976" s="82" t="s">
        <v>85</v>
      </c>
      <c r="DP976" s="410" t="s">
        <v>85</v>
      </c>
    </row>
    <row r="977" spans="1:120" x14ac:dyDescent="0.25">
      <c r="A977" s="16" t="s">
        <v>4051</v>
      </c>
      <c r="B977" s="16" t="s">
        <v>4052</v>
      </c>
      <c r="C977" s="16" t="s">
        <v>4053</v>
      </c>
      <c r="D977" s="16" t="s">
        <v>3740</v>
      </c>
      <c r="E977" s="16" t="s">
        <v>4054</v>
      </c>
      <c r="F977" s="16" t="s">
        <v>4055</v>
      </c>
      <c r="G977" s="16" t="s">
        <v>4056</v>
      </c>
      <c r="H977" s="16" t="s">
        <v>4055</v>
      </c>
      <c r="I977" s="16" t="s">
        <v>1638</v>
      </c>
      <c r="J977" s="16" t="s">
        <v>943</v>
      </c>
      <c r="K977" s="16" t="s">
        <v>1639</v>
      </c>
      <c r="L977" s="16" t="s">
        <v>85</v>
      </c>
      <c r="M977" s="16" t="s">
        <v>984</v>
      </c>
      <c r="N977" s="16" t="s">
        <v>914</v>
      </c>
      <c r="O977" s="16" t="s">
        <v>985</v>
      </c>
      <c r="P977" s="16" t="s">
        <v>914</v>
      </c>
      <c r="Q977" s="16" t="s">
        <v>985</v>
      </c>
      <c r="R977" s="16" t="s">
        <v>915</v>
      </c>
      <c r="S977" s="16" t="s">
        <v>915</v>
      </c>
      <c r="T977" s="16" t="s">
        <v>986</v>
      </c>
      <c r="U977" s="16" t="s">
        <v>987</v>
      </c>
      <c r="V977" s="16" t="s">
        <v>916</v>
      </c>
      <c r="W977" s="16" t="s">
        <v>987</v>
      </c>
      <c r="X977" s="16" t="s">
        <v>934</v>
      </c>
      <c r="Y977" s="16" t="s">
        <v>934</v>
      </c>
      <c r="Z977" s="16" t="s">
        <v>935</v>
      </c>
      <c r="DA977" s="405" t="s">
        <v>5</v>
      </c>
      <c r="DB977" s="405" t="s">
        <v>363</v>
      </c>
      <c r="DC977" s="406" t="s">
        <v>85</v>
      </c>
      <c r="DD977" s="405" t="s">
        <v>917</v>
      </c>
      <c r="DE977" s="405" t="s">
        <v>5</v>
      </c>
      <c r="DF977" s="406" t="s">
        <v>85</v>
      </c>
      <c r="DG977" s="407">
        <v>45859</v>
      </c>
      <c r="DH977" s="405" t="s">
        <v>4054</v>
      </c>
      <c r="DI977" s="406">
        <v>465455</v>
      </c>
      <c r="DJ977" s="408">
        <v>5</v>
      </c>
      <c r="DK977" s="405">
        <v>1</v>
      </c>
      <c r="DL977" s="82">
        <v>340.55</v>
      </c>
      <c r="DM977" s="409">
        <v>1.70275</v>
      </c>
      <c r="DN977" s="82" t="s">
        <v>85</v>
      </c>
      <c r="DO977" s="82" t="s">
        <v>85</v>
      </c>
      <c r="DP977" s="410" t="s">
        <v>85</v>
      </c>
    </row>
    <row r="978" spans="1:120" x14ac:dyDescent="0.25">
      <c r="A978" s="16" t="s">
        <v>4057</v>
      </c>
      <c r="B978" s="16" t="s">
        <v>4058</v>
      </c>
      <c r="C978" s="16" t="s">
        <v>4059</v>
      </c>
      <c r="D978" s="16" t="s">
        <v>3740</v>
      </c>
      <c r="E978" s="16" t="s">
        <v>4060</v>
      </c>
      <c r="F978" s="16" t="s">
        <v>4061</v>
      </c>
      <c r="G978" s="16" t="s">
        <v>4062</v>
      </c>
      <c r="H978" s="16" t="s">
        <v>4063</v>
      </c>
      <c r="I978" s="16" t="s">
        <v>1269</v>
      </c>
      <c r="J978" s="16" t="s">
        <v>943</v>
      </c>
      <c r="K978" s="16" t="s">
        <v>1270</v>
      </c>
      <c r="L978" s="16" t="s">
        <v>85</v>
      </c>
      <c r="M978" s="16" t="s">
        <v>984</v>
      </c>
      <c r="N978" s="16" t="s">
        <v>914</v>
      </c>
      <c r="O978" s="16" t="s">
        <v>985</v>
      </c>
      <c r="P978" s="16" t="s">
        <v>914</v>
      </c>
      <c r="Q978" s="16" t="s">
        <v>985</v>
      </c>
      <c r="R978" s="16" t="s">
        <v>915</v>
      </c>
      <c r="S978" s="16" t="s">
        <v>915</v>
      </c>
      <c r="T978" s="16" t="s">
        <v>986</v>
      </c>
      <c r="U978" s="16" t="s">
        <v>987</v>
      </c>
      <c r="V978" s="16" t="s">
        <v>916</v>
      </c>
      <c r="W978" s="16" t="s">
        <v>987</v>
      </c>
      <c r="X978" s="16" t="s">
        <v>934</v>
      </c>
      <c r="Y978" s="16" t="s">
        <v>934</v>
      </c>
      <c r="Z978" s="16" t="s">
        <v>935</v>
      </c>
      <c r="DA978" s="405" t="s">
        <v>5</v>
      </c>
      <c r="DB978" s="405" t="s">
        <v>363</v>
      </c>
      <c r="DC978" s="406" t="s">
        <v>85</v>
      </c>
      <c r="DD978" s="405" t="s">
        <v>917</v>
      </c>
      <c r="DE978" s="405" t="s">
        <v>5</v>
      </c>
      <c r="DF978" s="406" t="s">
        <v>85</v>
      </c>
      <c r="DG978" s="407">
        <v>45859</v>
      </c>
      <c r="DH978" s="405" t="s">
        <v>4060</v>
      </c>
      <c r="DI978" s="406">
        <v>465455</v>
      </c>
      <c r="DJ978" s="408">
        <v>5</v>
      </c>
      <c r="DK978" s="405">
        <v>1</v>
      </c>
      <c r="DL978" s="82">
        <v>340.55</v>
      </c>
      <c r="DM978" s="409">
        <v>1.70275</v>
      </c>
      <c r="DN978" s="82" t="s">
        <v>85</v>
      </c>
      <c r="DO978" s="82" t="s">
        <v>85</v>
      </c>
      <c r="DP978" s="410" t="s">
        <v>85</v>
      </c>
    </row>
    <row r="979" spans="1:120" x14ac:dyDescent="0.25">
      <c r="A979" s="16" t="s">
        <v>4064</v>
      </c>
      <c r="B979" s="16" t="s">
        <v>4065</v>
      </c>
      <c r="C979" s="16" t="s">
        <v>4066</v>
      </c>
      <c r="D979" s="16" t="s">
        <v>3740</v>
      </c>
      <c r="E979" s="16" t="s">
        <v>4067</v>
      </c>
      <c r="F979" s="16" t="s">
        <v>4068</v>
      </c>
      <c r="G979" s="16" t="s">
        <v>4069</v>
      </c>
      <c r="H979" s="16" t="s">
        <v>4070</v>
      </c>
      <c r="I979" s="16" t="s">
        <v>1150</v>
      </c>
      <c r="J979" s="16" t="s">
        <v>943</v>
      </c>
      <c r="K979" s="16" t="s">
        <v>1151</v>
      </c>
      <c r="L979" s="16" t="s">
        <v>85</v>
      </c>
      <c r="M979" s="16" t="s">
        <v>984</v>
      </c>
      <c r="N979" s="16" t="s">
        <v>914</v>
      </c>
      <c r="O979" s="16" t="s">
        <v>985</v>
      </c>
      <c r="P979" s="16" t="s">
        <v>914</v>
      </c>
      <c r="Q979" s="16" t="s">
        <v>985</v>
      </c>
      <c r="R979" s="16" t="s">
        <v>915</v>
      </c>
      <c r="S979" s="16" t="s">
        <v>915</v>
      </c>
      <c r="T979" s="16" t="s">
        <v>986</v>
      </c>
      <c r="U979" s="16" t="s">
        <v>987</v>
      </c>
      <c r="V979" s="16" t="s">
        <v>916</v>
      </c>
      <c r="W979" s="16" t="s">
        <v>987</v>
      </c>
      <c r="X979" s="16" t="s">
        <v>934</v>
      </c>
      <c r="Y979" s="16" t="s">
        <v>934</v>
      </c>
      <c r="Z979" s="16" t="s">
        <v>935</v>
      </c>
      <c r="DA979" s="405" t="s">
        <v>5</v>
      </c>
      <c r="DB979" s="405" t="s">
        <v>363</v>
      </c>
      <c r="DC979" s="406" t="s">
        <v>85</v>
      </c>
      <c r="DD979" s="405" t="s">
        <v>917</v>
      </c>
      <c r="DE979" s="405" t="s">
        <v>5</v>
      </c>
      <c r="DF979" s="406" t="s">
        <v>85</v>
      </c>
      <c r="DG979" s="407">
        <v>45859</v>
      </c>
      <c r="DH979" s="405" t="s">
        <v>4067</v>
      </c>
      <c r="DI979" s="406">
        <v>465455</v>
      </c>
      <c r="DJ979" s="408">
        <v>5</v>
      </c>
      <c r="DK979" s="405">
        <v>1</v>
      </c>
      <c r="DL979" s="82">
        <v>340.55</v>
      </c>
      <c r="DM979" s="409">
        <v>1.70275</v>
      </c>
      <c r="DN979" s="82" t="s">
        <v>85</v>
      </c>
      <c r="DO979" s="82" t="s">
        <v>85</v>
      </c>
      <c r="DP979" s="410" t="s">
        <v>85</v>
      </c>
    </row>
    <row r="980" spans="1:120" x14ac:dyDescent="0.25">
      <c r="A980" s="16" t="s">
        <v>4071</v>
      </c>
      <c r="B980" s="16" t="s">
        <v>4072</v>
      </c>
      <c r="C980" s="16" t="s">
        <v>4073</v>
      </c>
      <c r="D980" s="16" t="s">
        <v>3740</v>
      </c>
      <c r="E980" s="16" t="s">
        <v>4074</v>
      </c>
      <c r="F980" s="16" t="s">
        <v>4068</v>
      </c>
      <c r="G980" s="16" t="s">
        <v>4075</v>
      </c>
      <c r="H980" s="16" t="s">
        <v>4076</v>
      </c>
      <c r="I980" s="16" t="s">
        <v>976</v>
      </c>
      <c r="J980" s="16" t="s">
        <v>956</v>
      </c>
      <c r="K980" s="16" t="s">
        <v>977</v>
      </c>
      <c r="L980" s="16" t="s">
        <v>85</v>
      </c>
      <c r="M980" s="16" t="s">
        <v>1396</v>
      </c>
      <c r="N980" s="16" t="s">
        <v>914</v>
      </c>
      <c r="O980" s="16" t="s">
        <v>1397</v>
      </c>
      <c r="P980" s="16" t="s">
        <v>914</v>
      </c>
      <c r="Q980" s="16" t="s">
        <v>1397</v>
      </c>
      <c r="R980" s="16" t="s">
        <v>915</v>
      </c>
      <c r="S980" s="16" t="s">
        <v>915</v>
      </c>
      <c r="T980" s="16" t="s">
        <v>1396</v>
      </c>
      <c r="U980" s="16" t="s">
        <v>1398</v>
      </c>
      <c r="V980" s="16" t="s">
        <v>916</v>
      </c>
      <c r="W980" s="16" t="s">
        <v>1398</v>
      </c>
      <c r="X980" s="16" t="s">
        <v>934</v>
      </c>
      <c r="Y980" s="16" t="s">
        <v>934</v>
      </c>
      <c r="Z980" s="16" t="s">
        <v>935</v>
      </c>
      <c r="DA980" s="405" t="s">
        <v>5</v>
      </c>
      <c r="DB980" s="405" t="s">
        <v>363</v>
      </c>
      <c r="DC980" s="406" t="s">
        <v>85</v>
      </c>
      <c r="DD980" s="405" t="s">
        <v>917</v>
      </c>
      <c r="DE980" s="405" t="s">
        <v>5</v>
      </c>
      <c r="DF980" s="406" t="s">
        <v>85</v>
      </c>
      <c r="DG980" s="407">
        <v>45859</v>
      </c>
      <c r="DH980" s="405" t="s">
        <v>4074</v>
      </c>
      <c r="DI980" s="406">
        <v>465455</v>
      </c>
      <c r="DJ980" s="408">
        <v>5</v>
      </c>
      <c r="DK980" s="405">
        <v>1</v>
      </c>
      <c r="DL980" s="82">
        <v>265.92</v>
      </c>
      <c r="DM980" s="409">
        <v>1.3296000000000001</v>
      </c>
      <c r="DN980" s="82" t="s">
        <v>85</v>
      </c>
      <c r="DO980" s="82" t="s">
        <v>85</v>
      </c>
      <c r="DP980" s="410" t="s">
        <v>85</v>
      </c>
    </row>
    <row r="981" spans="1:120" x14ac:dyDescent="0.25">
      <c r="A981" s="16" t="s">
        <v>4077</v>
      </c>
      <c r="B981" s="16" t="s">
        <v>4078</v>
      </c>
      <c r="C981" s="16" t="s">
        <v>4079</v>
      </c>
      <c r="D981" s="16" t="s">
        <v>3740</v>
      </c>
      <c r="E981" s="16" t="s">
        <v>4080</v>
      </c>
      <c r="F981" s="16" t="s">
        <v>4081</v>
      </c>
      <c r="G981" s="16" t="s">
        <v>4082</v>
      </c>
      <c r="H981" s="16" t="s">
        <v>4083</v>
      </c>
      <c r="I981" s="16" t="s">
        <v>2271</v>
      </c>
      <c r="J981" s="16" t="s">
        <v>995</v>
      </c>
      <c r="K981" s="16" t="s">
        <v>2272</v>
      </c>
      <c r="L981" s="16" t="s">
        <v>85</v>
      </c>
      <c r="M981" s="16" t="s">
        <v>1165</v>
      </c>
      <c r="N981" s="16" t="s">
        <v>914</v>
      </c>
      <c r="O981" s="16" t="s">
        <v>1166</v>
      </c>
      <c r="P981" s="16" t="s">
        <v>914</v>
      </c>
      <c r="Q981" s="16" t="s">
        <v>1166</v>
      </c>
      <c r="R981" s="16" t="s">
        <v>915</v>
      </c>
      <c r="S981" s="16" t="s">
        <v>915</v>
      </c>
      <c r="T981" s="16" t="s">
        <v>1167</v>
      </c>
      <c r="U981" s="16" t="s">
        <v>1168</v>
      </c>
      <c r="V981" s="16" t="s">
        <v>916</v>
      </c>
      <c r="W981" s="16" t="s">
        <v>1168</v>
      </c>
      <c r="X981" s="16" t="s">
        <v>934</v>
      </c>
      <c r="Y981" s="16" t="s">
        <v>934</v>
      </c>
      <c r="Z981" s="16" t="s">
        <v>935</v>
      </c>
      <c r="DA981" s="405" t="s">
        <v>5</v>
      </c>
      <c r="DB981" s="405" t="s">
        <v>363</v>
      </c>
      <c r="DC981" s="406" t="s">
        <v>85</v>
      </c>
      <c r="DD981" s="405" t="s">
        <v>917</v>
      </c>
      <c r="DE981" s="405" t="s">
        <v>5</v>
      </c>
      <c r="DF981" s="406" t="s">
        <v>85</v>
      </c>
      <c r="DG981" s="407">
        <v>45859</v>
      </c>
      <c r="DH981" s="405" t="s">
        <v>4080</v>
      </c>
      <c r="DI981" s="406">
        <v>465455</v>
      </c>
      <c r="DJ981" s="408">
        <v>5</v>
      </c>
      <c r="DK981" s="405">
        <v>1</v>
      </c>
      <c r="DL981" s="82">
        <v>468.28</v>
      </c>
      <c r="DM981" s="409">
        <v>2.3413999999999997</v>
      </c>
      <c r="DN981" s="82" t="s">
        <v>85</v>
      </c>
      <c r="DO981" s="82" t="s">
        <v>85</v>
      </c>
      <c r="DP981" s="410" t="s">
        <v>85</v>
      </c>
    </row>
    <row r="982" spans="1:120" x14ac:dyDescent="0.25">
      <c r="A982" s="16" t="s">
        <v>4084</v>
      </c>
      <c r="B982" s="16" t="s">
        <v>4085</v>
      </c>
      <c r="C982" s="16" t="s">
        <v>4086</v>
      </c>
      <c r="D982" s="16" t="s">
        <v>3740</v>
      </c>
      <c r="E982" s="16" t="s">
        <v>4087</v>
      </c>
      <c r="F982" s="16" t="s">
        <v>4088</v>
      </c>
      <c r="G982" s="16" t="s">
        <v>4089</v>
      </c>
      <c r="H982" s="16" t="s">
        <v>4090</v>
      </c>
      <c r="I982" s="16" t="s">
        <v>2750</v>
      </c>
      <c r="J982" s="16" t="s">
        <v>995</v>
      </c>
      <c r="K982" s="16" t="s">
        <v>2751</v>
      </c>
      <c r="L982" s="16" t="s">
        <v>85</v>
      </c>
      <c r="M982" s="16" t="s">
        <v>1165</v>
      </c>
      <c r="N982" s="16" t="s">
        <v>914</v>
      </c>
      <c r="O982" s="16" t="s">
        <v>1166</v>
      </c>
      <c r="P982" s="16" t="s">
        <v>914</v>
      </c>
      <c r="Q982" s="16" t="s">
        <v>1166</v>
      </c>
      <c r="R982" s="16" t="s">
        <v>915</v>
      </c>
      <c r="S982" s="16" t="s">
        <v>915</v>
      </c>
      <c r="T982" s="16" t="s">
        <v>1167</v>
      </c>
      <c r="U982" s="16" t="s">
        <v>1168</v>
      </c>
      <c r="V982" s="16" t="s">
        <v>916</v>
      </c>
      <c r="W982" s="16" t="s">
        <v>1168</v>
      </c>
      <c r="X982" s="16" t="s">
        <v>934</v>
      </c>
      <c r="Y982" s="16" t="s">
        <v>934</v>
      </c>
      <c r="Z982" s="16" t="s">
        <v>935</v>
      </c>
      <c r="DA982" s="405" t="s">
        <v>5</v>
      </c>
      <c r="DB982" s="405" t="s">
        <v>363</v>
      </c>
      <c r="DC982" s="406" t="s">
        <v>85</v>
      </c>
      <c r="DD982" s="405" t="s">
        <v>917</v>
      </c>
      <c r="DE982" s="405" t="s">
        <v>5</v>
      </c>
      <c r="DF982" s="406" t="s">
        <v>85</v>
      </c>
      <c r="DG982" s="407">
        <v>45859</v>
      </c>
      <c r="DH982" s="405" t="s">
        <v>4087</v>
      </c>
      <c r="DI982" s="406">
        <v>465455</v>
      </c>
      <c r="DJ982" s="408">
        <v>5</v>
      </c>
      <c r="DK982" s="405">
        <v>1</v>
      </c>
      <c r="DL982" s="82">
        <v>468.28</v>
      </c>
      <c r="DM982" s="409">
        <v>2.3413999999999997</v>
      </c>
      <c r="DN982" s="82" t="s">
        <v>85</v>
      </c>
      <c r="DO982" s="82" t="s">
        <v>85</v>
      </c>
      <c r="DP982" s="410" t="s">
        <v>85</v>
      </c>
    </row>
    <row r="983" spans="1:120" x14ac:dyDescent="0.25">
      <c r="A983" s="16" t="s">
        <v>4091</v>
      </c>
      <c r="B983" s="16" t="s">
        <v>4092</v>
      </c>
      <c r="C983" s="16" t="s">
        <v>4093</v>
      </c>
      <c r="D983" s="16" t="s">
        <v>3740</v>
      </c>
      <c r="E983" s="16" t="s">
        <v>4094</v>
      </c>
      <c r="F983" s="16" t="s">
        <v>4095</v>
      </c>
      <c r="G983" s="16" t="s">
        <v>4096</v>
      </c>
      <c r="H983" s="16" t="s">
        <v>4095</v>
      </c>
      <c r="I983" s="16" t="s">
        <v>4097</v>
      </c>
      <c r="J983" s="16" t="s">
        <v>1847</v>
      </c>
      <c r="K983" s="16" t="s">
        <v>4098</v>
      </c>
      <c r="L983" s="16" t="s">
        <v>85</v>
      </c>
      <c r="M983" s="16" t="s">
        <v>1849</v>
      </c>
      <c r="N983" s="16" t="s">
        <v>914</v>
      </c>
      <c r="O983" s="16" t="s">
        <v>1850</v>
      </c>
      <c r="P983" s="16" t="s">
        <v>914</v>
      </c>
      <c r="Q983" s="16" t="s">
        <v>1850</v>
      </c>
      <c r="R983" s="16" t="s">
        <v>915</v>
      </c>
      <c r="S983" s="16" t="s">
        <v>915</v>
      </c>
      <c r="T983" s="16" t="s">
        <v>1851</v>
      </c>
      <c r="U983" s="16" t="s">
        <v>1852</v>
      </c>
      <c r="V983" s="16" t="s">
        <v>916</v>
      </c>
      <c r="W983" s="16" t="s">
        <v>1852</v>
      </c>
      <c r="X983" s="16" t="s">
        <v>934</v>
      </c>
      <c r="Y983" s="16" t="s">
        <v>934</v>
      </c>
      <c r="Z983" s="16" t="s">
        <v>935</v>
      </c>
      <c r="DA983" s="405" t="s">
        <v>5</v>
      </c>
      <c r="DB983" s="405" t="s">
        <v>363</v>
      </c>
      <c r="DC983" s="406" t="s">
        <v>85</v>
      </c>
      <c r="DD983" s="405" t="s">
        <v>917</v>
      </c>
      <c r="DE983" s="405" t="s">
        <v>5</v>
      </c>
      <c r="DF983" s="406" t="s">
        <v>85</v>
      </c>
      <c r="DG983" s="407">
        <v>45859</v>
      </c>
      <c r="DH983" s="405" t="s">
        <v>4094</v>
      </c>
      <c r="DI983" s="406">
        <v>465455</v>
      </c>
      <c r="DJ983" s="408">
        <v>5</v>
      </c>
      <c r="DK983" s="405">
        <v>1</v>
      </c>
      <c r="DL983" s="82">
        <v>447.02</v>
      </c>
      <c r="DM983" s="409">
        <v>2.2351000000000001</v>
      </c>
      <c r="DN983" s="82" t="s">
        <v>85</v>
      </c>
      <c r="DO983" s="82" t="s">
        <v>85</v>
      </c>
      <c r="DP983" s="410" t="s">
        <v>85</v>
      </c>
    </row>
    <row r="984" spans="1:120" x14ac:dyDescent="0.25">
      <c r="A984" s="16" t="s">
        <v>4099</v>
      </c>
      <c r="B984" s="16" t="s">
        <v>4100</v>
      </c>
      <c r="C984" s="16" t="s">
        <v>4101</v>
      </c>
      <c r="D984" s="16" t="s">
        <v>3740</v>
      </c>
      <c r="E984" s="16" t="s">
        <v>4102</v>
      </c>
      <c r="F984" s="16" t="s">
        <v>4103</v>
      </c>
      <c r="G984" s="16" t="s">
        <v>4104</v>
      </c>
      <c r="H984" s="16" t="s">
        <v>4105</v>
      </c>
      <c r="I984" s="16" t="s">
        <v>1099</v>
      </c>
      <c r="J984" s="16" t="s">
        <v>943</v>
      </c>
      <c r="K984" s="16" t="s">
        <v>1100</v>
      </c>
      <c r="L984" s="16" t="s">
        <v>85</v>
      </c>
      <c r="M984" s="16" t="s">
        <v>984</v>
      </c>
      <c r="N984" s="16" t="s">
        <v>914</v>
      </c>
      <c r="O984" s="16" t="s">
        <v>985</v>
      </c>
      <c r="P984" s="16" t="s">
        <v>914</v>
      </c>
      <c r="Q984" s="16" t="s">
        <v>985</v>
      </c>
      <c r="R984" s="16" t="s">
        <v>915</v>
      </c>
      <c r="S984" s="16" t="s">
        <v>915</v>
      </c>
      <c r="T984" s="16" t="s">
        <v>986</v>
      </c>
      <c r="U984" s="16" t="s">
        <v>987</v>
      </c>
      <c r="V984" s="16" t="s">
        <v>916</v>
      </c>
      <c r="W984" s="16" t="s">
        <v>987</v>
      </c>
      <c r="X984" s="16" t="s">
        <v>934</v>
      </c>
      <c r="Y984" s="16" t="s">
        <v>934</v>
      </c>
      <c r="Z984" s="16" t="s">
        <v>935</v>
      </c>
      <c r="DA984" s="405" t="s">
        <v>5</v>
      </c>
      <c r="DB984" s="405" t="s">
        <v>363</v>
      </c>
      <c r="DC984" s="406" t="s">
        <v>85</v>
      </c>
      <c r="DD984" s="405" t="s">
        <v>917</v>
      </c>
      <c r="DE984" s="405" t="s">
        <v>5</v>
      </c>
      <c r="DF984" s="406" t="s">
        <v>85</v>
      </c>
      <c r="DG984" s="407">
        <v>45859</v>
      </c>
      <c r="DH984" s="405" t="s">
        <v>4102</v>
      </c>
      <c r="DI984" s="406">
        <v>465455</v>
      </c>
      <c r="DJ984" s="408">
        <v>5</v>
      </c>
      <c r="DK984" s="405">
        <v>1</v>
      </c>
      <c r="DL984" s="82">
        <v>340.55</v>
      </c>
      <c r="DM984" s="409">
        <v>1.70275</v>
      </c>
      <c r="DN984" s="82" t="s">
        <v>85</v>
      </c>
      <c r="DO984" s="82" t="s">
        <v>85</v>
      </c>
      <c r="DP984" s="410" t="s">
        <v>85</v>
      </c>
    </row>
    <row r="985" spans="1:120" x14ac:dyDescent="0.25">
      <c r="A985" s="16" t="s">
        <v>4106</v>
      </c>
      <c r="B985" s="16" t="s">
        <v>4107</v>
      </c>
      <c r="C985" s="16" t="s">
        <v>4108</v>
      </c>
      <c r="D985" s="16" t="s">
        <v>3740</v>
      </c>
      <c r="E985" s="16" t="s">
        <v>4109</v>
      </c>
      <c r="F985" s="16" t="s">
        <v>4110</v>
      </c>
      <c r="G985" s="16" t="s">
        <v>4111</v>
      </c>
      <c r="H985" s="16" t="s">
        <v>4112</v>
      </c>
      <c r="I985" s="16" t="s">
        <v>1278</v>
      </c>
      <c r="J985" s="16" t="s">
        <v>1109</v>
      </c>
      <c r="K985" s="16" t="s">
        <v>1279</v>
      </c>
      <c r="L985" s="16" t="s">
        <v>85</v>
      </c>
      <c r="M985" s="16" t="s">
        <v>1311</v>
      </c>
      <c r="N985" s="16" t="s">
        <v>914</v>
      </c>
      <c r="O985" s="16" t="s">
        <v>1312</v>
      </c>
      <c r="P985" s="16" t="s">
        <v>914</v>
      </c>
      <c r="Q985" s="16" t="s">
        <v>1312</v>
      </c>
      <c r="R985" s="16" t="s">
        <v>915</v>
      </c>
      <c r="S985" s="16" t="s">
        <v>915</v>
      </c>
      <c r="T985" s="16" t="s">
        <v>1311</v>
      </c>
      <c r="U985" s="16" t="s">
        <v>1313</v>
      </c>
      <c r="V985" s="16" t="s">
        <v>916</v>
      </c>
      <c r="W985" s="16" t="s">
        <v>1313</v>
      </c>
      <c r="X985" s="16" t="s">
        <v>934</v>
      </c>
      <c r="Y985" s="16" t="s">
        <v>934</v>
      </c>
      <c r="Z985" s="16" t="s">
        <v>935</v>
      </c>
      <c r="DA985" s="405" t="s">
        <v>5</v>
      </c>
      <c r="DB985" s="405" t="s">
        <v>363</v>
      </c>
      <c r="DC985" s="406" t="s">
        <v>85</v>
      </c>
      <c r="DD985" s="405" t="s">
        <v>917</v>
      </c>
      <c r="DE985" s="405" t="s">
        <v>5</v>
      </c>
      <c r="DF985" s="406" t="s">
        <v>85</v>
      </c>
      <c r="DG985" s="407">
        <v>45859</v>
      </c>
      <c r="DH985" s="405" t="s">
        <v>4109</v>
      </c>
      <c r="DI985" s="406">
        <v>465455</v>
      </c>
      <c r="DJ985" s="408">
        <v>5</v>
      </c>
      <c r="DK985" s="405">
        <v>1</v>
      </c>
      <c r="DL985" s="82">
        <v>531.54</v>
      </c>
      <c r="DM985" s="409">
        <v>2.6576999999999997</v>
      </c>
      <c r="DN985" s="82" t="s">
        <v>85</v>
      </c>
      <c r="DO985" s="82" t="s">
        <v>85</v>
      </c>
      <c r="DP985" s="410" t="s">
        <v>85</v>
      </c>
    </row>
    <row r="986" spans="1:120" x14ac:dyDescent="0.25">
      <c r="A986" s="16" t="s">
        <v>4113</v>
      </c>
      <c r="B986" s="16" t="s">
        <v>4114</v>
      </c>
      <c r="C986" s="16" t="s">
        <v>4115</v>
      </c>
      <c r="D986" s="16" t="s">
        <v>3740</v>
      </c>
      <c r="E986" s="16" t="s">
        <v>4116</v>
      </c>
      <c r="F986" s="16" t="s">
        <v>4110</v>
      </c>
      <c r="G986" s="16" t="s">
        <v>4117</v>
      </c>
      <c r="H986" s="16" t="s">
        <v>4110</v>
      </c>
      <c r="I986" s="16" t="s">
        <v>1737</v>
      </c>
      <c r="J986" s="16" t="s">
        <v>1123</v>
      </c>
      <c r="K986" s="16" t="s">
        <v>1738</v>
      </c>
      <c r="L986" s="16" t="s">
        <v>85</v>
      </c>
      <c r="M986" s="16" t="s">
        <v>1238</v>
      </c>
      <c r="N986" s="16" t="s">
        <v>914</v>
      </c>
      <c r="O986" s="16" t="s">
        <v>1239</v>
      </c>
      <c r="P986" s="16" t="s">
        <v>914</v>
      </c>
      <c r="Q986" s="16" t="s">
        <v>1239</v>
      </c>
      <c r="R986" s="16" t="s">
        <v>915</v>
      </c>
      <c r="S986" s="16" t="s">
        <v>915</v>
      </c>
      <c r="T986" s="16" t="s">
        <v>1238</v>
      </c>
      <c r="U986" s="16" t="s">
        <v>1240</v>
      </c>
      <c r="V986" s="16" t="s">
        <v>916</v>
      </c>
      <c r="W986" s="16" t="s">
        <v>1240</v>
      </c>
      <c r="X986" s="16" t="s">
        <v>934</v>
      </c>
      <c r="Y986" s="16" t="s">
        <v>934</v>
      </c>
      <c r="Z986" s="16" t="s">
        <v>935</v>
      </c>
      <c r="DA986" s="405" t="s">
        <v>5</v>
      </c>
      <c r="DB986" s="405" t="s">
        <v>363</v>
      </c>
      <c r="DC986" s="406" t="s">
        <v>85</v>
      </c>
      <c r="DD986" s="405" t="s">
        <v>917</v>
      </c>
      <c r="DE986" s="405" t="s">
        <v>5</v>
      </c>
      <c r="DF986" s="406" t="s">
        <v>85</v>
      </c>
      <c r="DG986" s="407">
        <v>45859</v>
      </c>
      <c r="DH986" s="405" t="s">
        <v>4116</v>
      </c>
      <c r="DI986" s="406">
        <v>465455</v>
      </c>
      <c r="DJ986" s="408">
        <v>5</v>
      </c>
      <c r="DK986" s="405">
        <v>1</v>
      </c>
      <c r="DL986" s="82">
        <v>383.16</v>
      </c>
      <c r="DM986" s="409">
        <v>1.9158000000000002</v>
      </c>
      <c r="DN986" s="82" t="s">
        <v>85</v>
      </c>
      <c r="DO986" s="82" t="s">
        <v>85</v>
      </c>
      <c r="DP986" s="410" t="s">
        <v>85</v>
      </c>
    </row>
    <row r="987" spans="1:120" x14ac:dyDescent="0.25">
      <c r="A987" s="16" t="s">
        <v>4118</v>
      </c>
      <c r="B987" s="16" t="s">
        <v>4119</v>
      </c>
      <c r="C987" s="16" t="s">
        <v>4120</v>
      </c>
      <c r="D987" s="16" t="s">
        <v>3740</v>
      </c>
      <c r="E987" s="16" t="s">
        <v>4121</v>
      </c>
      <c r="F987" s="16" t="s">
        <v>4122</v>
      </c>
      <c r="G987" s="16" t="s">
        <v>4123</v>
      </c>
      <c r="H987" s="16" t="s">
        <v>4122</v>
      </c>
      <c r="I987" s="16" t="s">
        <v>4124</v>
      </c>
      <c r="J987" s="16" t="s">
        <v>1109</v>
      </c>
      <c r="K987" s="16" t="s">
        <v>4125</v>
      </c>
      <c r="L987" s="16" t="s">
        <v>85</v>
      </c>
      <c r="M987" s="16" t="s">
        <v>1311</v>
      </c>
      <c r="N987" s="16" t="s">
        <v>914</v>
      </c>
      <c r="O987" s="16" t="s">
        <v>1312</v>
      </c>
      <c r="P987" s="16" t="s">
        <v>914</v>
      </c>
      <c r="Q987" s="16" t="s">
        <v>1312</v>
      </c>
      <c r="R987" s="16" t="s">
        <v>915</v>
      </c>
      <c r="S987" s="16" t="s">
        <v>915</v>
      </c>
      <c r="T987" s="16" t="s">
        <v>1311</v>
      </c>
      <c r="U987" s="16" t="s">
        <v>1313</v>
      </c>
      <c r="V987" s="16" t="s">
        <v>916</v>
      </c>
      <c r="W987" s="16" t="s">
        <v>1313</v>
      </c>
      <c r="X987" s="16" t="s">
        <v>934</v>
      </c>
      <c r="Y987" s="16" t="s">
        <v>934</v>
      </c>
      <c r="Z987" s="16" t="s">
        <v>935</v>
      </c>
      <c r="DA987" s="405" t="s">
        <v>5</v>
      </c>
      <c r="DB987" s="405" t="s">
        <v>363</v>
      </c>
      <c r="DC987" s="406" t="s">
        <v>85</v>
      </c>
      <c r="DD987" s="405" t="s">
        <v>917</v>
      </c>
      <c r="DE987" s="405" t="s">
        <v>5</v>
      </c>
      <c r="DF987" s="406" t="s">
        <v>85</v>
      </c>
      <c r="DG987" s="407">
        <v>45859</v>
      </c>
      <c r="DH987" s="405" t="s">
        <v>4121</v>
      </c>
      <c r="DI987" s="406">
        <v>465455</v>
      </c>
      <c r="DJ987" s="408">
        <v>5</v>
      </c>
      <c r="DK987" s="405">
        <v>1</v>
      </c>
      <c r="DL987" s="82">
        <v>531.54</v>
      </c>
      <c r="DM987" s="409">
        <v>2.6576999999999997</v>
      </c>
      <c r="DN987" s="82" t="s">
        <v>85</v>
      </c>
      <c r="DO987" s="82" t="s">
        <v>85</v>
      </c>
      <c r="DP987" s="410" t="s">
        <v>85</v>
      </c>
    </row>
    <row r="988" spans="1:120" x14ac:dyDescent="0.25">
      <c r="A988" s="16" t="s">
        <v>4126</v>
      </c>
      <c r="B988" s="16" t="s">
        <v>4127</v>
      </c>
      <c r="C988" s="16" t="s">
        <v>4128</v>
      </c>
      <c r="D988" s="16" t="s">
        <v>3740</v>
      </c>
      <c r="E988" s="16" t="s">
        <v>4129</v>
      </c>
      <c r="F988" s="16" t="s">
        <v>4130</v>
      </c>
      <c r="G988" s="16" t="s">
        <v>4131</v>
      </c>
      <c r="H988" s="16" t="s">
        <v>4132</v>
      </c>
      <c r="I988" s="16" t="s">
        <v>1781</v>
      </c>
      <c r="J988" s="16" t="s">
        <v>995</v>
      </c>
      <c r="K988" s="16" t="s">
        <v>1782</v>
      </c>
      <c r="L988" s="16" t="s">
        <v>85</v>
      </c>
      <c r="M988" s="16" t="s">
        <v>1165</v>
      </c>
      <c r="N988" s="16" t="s">
        <v>914</v>
      </c>
      <c r="O988" s="16" t="s">
        <v>1166</v>
      </c>
      <c r="P988" s="16" t="s">
        <v>914</v>
      </c>
      <c r="Q988" s="16" t="s">
        <v>1166</v>
      </c>
      <c r="R988" s="16" t="s">
        <v>915</v>
      </c>
      <c r="S988" s="16" t="s">
        <v>915</v>
      </c>
      <c r="T988" s="16" t="s">
        <v>1167</v>
      </c>
      <c r="U988" s="16" t="s">
        <v>1168</v>
      </c>
      <c r="V988" s="16" t="s">
        <v>916</v>
      </c>
      <c r="W988" s="16" t="s">
        <v>1168</v>
      </c>
      <c r="X988" s="16" t="s">
        <v>934</v>
      </c>
      <c r="Y988" s="16" t="s">
        <v>934</v>
      </c>
      <c r="Z988" s="16" t="s">
        <v>935</v>
      </c>
      <c r="DA988" s="405" t="s">
        <v>5</v>
      </c>
      <c r="DB988" s="405" t="s">
        <v>363</v>
      </c>
      <c r="DC988" s="406" t="s">
        <v>85</v>
      </c>
      <c r="DD988" s="405" t="s">
        <v>917</v>
      </c>
      <c r="DE988" s="405" t="s">
        <v>5</v>
      </c>
      <c r="DF988" s="406" t="s">
        <v>85</v>
      </c>
      <c r="DG988" s="407">
        <v>45859</v>
      </c>
      <c r="DH988" s="405" t="s">
        <v>4129</v>
      </c>
      <c r="DI988" s="406">
        <v>465455</v>
      </c>
      <c r="DJ988" s="408">
        <v>5</v>
      </c>
      <c r="DK988" s="405">
        <v>1</v>
      </c>
      <c r="DL988" s="82">
        <v>468.28</v>
      </c>
      <c r="DM988" s="409">
        <v>2.3413999999999997</v>
      </c>
      <c r="DN988" s="82" t="s">
        <v>85</v>
      </c>
      <c r="DO988" s="82" t="s">
        <v>85</v>
      </c>
      <c r="DP988" s="410" t="s">
        <v>85</v>
      </c>
    </row>
    <row r="989" spans="1:120" x14ac:dyDescent="0.25">
      <c r="A989" s="16" t="s">
        <v>4133</v>
      </c>
      <c r="B989" s="16" t="s">
        <v>4134</v>
      </c>
      <c r="C989" s="16" t="s">
        <v>4135</v>
      </c>
      <c r="D989" s="16" t="s">
        <v>3740</v>
      </c>
      <c r="E989" s="16" t="s">
        <v>4136</v>
      </c>
      <c r="F989" s="16" t="s">
        <v>4137</v>
      </c>
      <c r="G989" s="16" t="s">
        <v>4138</v>
      </c>
      <c r="H989" s="16" t="s">
        <v>4137</v>
      </c>
      <c r="I989" s="16" t="s">
        <v>1278</v>
      </c>
      <c r="J989" s="16" t="s">
        <v>1109</v>
      </c>
      <c r="K989" s="16" t="s">
        <v>1279</v>
      </c>
      <c r="L989" s="16" t="s">
        <v>85</v>
      </c>
      <c r="M989" s="16" t="s">
        <v>1311</v>
      </c>
      <c r="N989" s="16" t="s">
        <v>914</v>
      </c>
      <c r="O989" s="16" t="s">
        <v>1312</v>
      </c>
      <c r="P989" s="16" t="s">
        <v>914</v>
      </c>
      <c r="Q989" s="16" t="s">
        <v>1312</v>
      </c>
      <c r="R989" s="16" t="s">
        <v>915</v>
      </c>
      <c r="S989" s="16" t="s">
        <v>915</v>
      </c>
      <c r="T989" s="16" t="s">
        <v>1311</v>
      </c>
      <c r="U989" s="16" t="s">
        <v>1313</v>
      </c>
      <c r="V989" s="16" t="s">
        <v>916</v>
      </c>
      <c r="W989" s="16" t="s">
        <v>1313</v>
      </c>
      <c r="X989" s="16" t="s">
        <v>934</v>
      </c>
      <c r="Y989" s="16" t="s">
        <v>934</v>
      </c>
      <c r="Z989" s="16" t="s">
        <v>935</v>
      </c>
      <c r="DA989" s="405" t="s">
        <v>5</v>
      </c>
      <c r="DB989" s="405" t="s">
        <v>363</v>
      </c>
      <c r="DC989" s="406" t="s">
        <v>85</v>
      </c>
      <c r="DD989" s="405" t="s">
        <v>917</v>
      </c>
      <c r="DE989" s="405" t="s">
        <v>5</v>
      </c>
      <c r="DF989" s="406" t="s">
        <v>85</v>
      </c>
      <c r="DG989" s="407">
        <v>45859</v>
      </c>
      <c r="DH989" s="405" t="s">
        <v>4136</v>
      </c>
      <c r="DI989" s="406">
        <v>465455</v>
      </c>
      <c r="DJ989" s="408">
        <v>5</v>
      </c>
      <c r="DK989" s="405">
        <v>1</v>
      </c>
      <c r="DL989" s="82">
        <v>531.54</v>
      </c>
      <c r="DM989" s="409">
        <v>2.6576999999999997</v>
      </c>
      <c r="DN989" s="82" t="s">
        <v>85</v>
      </c>
      <c r="DO989" s="82" t="s">
        <v>85</v>
      </c>
      <c r="DP989" s="410" t="s">
        <v>85</v>
      </c>
    </row>
    <row r="990" spans="1:120" x14ac:dyDescent="0.25">
      <c r="A990" s="16" t="s">
        <v>4139</v>
      </c>
      <c r="B990" s="16" t="s">
        <v>4140</v>
      </c>
      <c r="C990" s="16" t="s">
        <v>4141</v>
      </c>
      <c r="D990" s="16" t="s">
        <v>3740</v>
      </c>
      <c r="E990" s="16" t="s">
        <v>4142</v>
      </c>
      <c r="F990" s="16" t="s">
        <v>4143</v>
      </c>
      <c r="G990" s="16" t="s">
        <v>4144</v>
      </c>
      <c r="H990" s="16" t="s">
        <v>4145</v>
      </c>
      <c r="I990" s="16" t="s">
        <v>1099</v>
      </c>
      <c r="J990" s="16" t="s">
        <v>943</v>
      </c>
      <c r="K990" s="16" t="s">
        <v>1100</v>
      </c>
      <c r="L990" s="16" t="s">
        <v>85</v>
      </c>
      <c r="M990" s="16" t="s">
        <v>984</v>
      </c>
      <c r="N990" s="16" t="s">
        <v>914</v>
      </c>
      <c r="O990" s="16" t="s">
        <v>985</v>
      </c>
      <c r="P990" s="16" t="s">
        <v>914</v>
      </c>
      <c r="Q990" s="16" t="s">
        <v>985</v>
      </c>
      <c r="R990" s="16" t="s">
        <v>915</v>
      </c>
      <c r="S990" s="16" t="s">
        <v>915</v>
      </c>
      <c r="T990" s="16" t="s">
        <v>986</v>
      </c>
      <c r="U990" s="16" t="s">
        <v>987</v>
      </c>
      <c r="V990" s="16" t="s">
        <v>916</v>
      </c>
      <c r="W990" s="16" t="s">
        <v>987</v>
      </c>
      <c r="X990" s="16" t="s">
        <v>934</v>
      </c>
      <c r="Y990" s="16" t="s">
        <v>934</v>
      </c>
      <c r="Z990" s="16" t="s">
        <v>935</v>
      </c>
      <c r="DA990" s="405" t="s">
        <v>5</v>
      </c>
      <c r="DB990" s="405" t="s">
        <v>363</v>
      </c>
      <c r="DC990" s="406" t="s">
        <v>85</v>
      </c>
      <c r="DD990" s="405" t="s">
        <v>917</v>
      </c>
      <c r="DE990" s="405" t="s">
        <v>5</v>
      </c>
      <c r="DF990" s="406" t="s">
        <v>85</v>
      </c>
      <c r="DG990" s="407">
        <v>45859</v>
      </c>
      <c r="DH990" s="405" t="s">
        <v>4142</v>
      </c>
      <c r="DI990" s="406">
        <v>465455</v>
      </c>
      <c r="DJ990" s="408">
        <v>5</v>
      </c>
      <c r="DK990" s="405">
        <v>1</v>
      </c>
      <c r="DL990" s="82">
        <v>340.55</v>
      </c>
      <c r="DM990" s="409">
        <v>1.70275</v>
      </c>
      <c r="DN990" s="82" t="s">
        <v>85</v>
      </c>
      <c r="DO990" s="82" t="s">
        <v>85</v>
      </c>
      <c r="DP990" s="410" t="s">
        <v>85</v>
      </c>
    </row>
    <row r="991" spans="1:120" x14ac:dyDescent="0.25">
      <c r="A991" s="16" t="s">
        <v>4146</v>
      </c>
      <c r="B991" s="16" t="s">
        <v>4147</v>
      </c>
      <c r="C991" s="16" t="s">
        <v>4148</v>
      </c>
      <c r="D991" s="16" t="s">
        <v>3740</v>
      </c>
      <c r="E991" s="16" t="s">
        <v>4149</v>
      </c>
      <c r="F991" s="16" t="s">
        <v>4150</v>
      </c>
      <c r="G991" s="16" t="s">
        <v>4151</v>
      </c>
      <c r="H991" s="16" t="s">
        <v>4143</v>
      </c>
      <c r="I991" s="16" t="s">
        <v>3224</v>
      </c>
      <c r="J991" s="16" t="s">
        <v>928</v>
      </c>
      <c r="K991" s="16" t="s">
        <v>3225</v>
      </c>
      <c r="L991" s="16" t="s">
        <v>85</v>
      </c>
      <c r="M991" s="16" t="s">
        <v>1322</v>
      </c>
      <c r="N991" s="16" t="s">
        <v>914</v>
      </c>
      <c r="O991" s="16" t="s">
        <v>1323</v>
      </c>
      <c r="P991" s="16" t="s">
        <v>914</v>
      </c>
      <c r="Q991" s="16" t="s">
        <v>1323</v>
      </c>
      <c r="R991" s="16" t="s">
        <v>915</v>
      </c>
      <c r="S991" s="16" t="s">
        <v>915</v>
      </c>
      <c r="T991" s="16" t="s">
        <v>1322</v>
      </c>
      <c r="U991" s="16" t="s">
        <v>1324</v>
      </c>
      <c r="V991" s="16" t="s">
        <v>916</v>
      </c>
      <c r="W991" s="16" t="s">
        <v>1324</v>
      </c>
      <c r="X991" s="16" t="s">
        <v>934</v>
      </c>
      <c r="Y991" s="16" t="s">
        <v>934</v>
      </c>
      <c r="Z991" s="16" t="s">
        <v>935</v>
      </c>
      <c r="DA991" s="405" t="s">
        <v>5</v>
      </c>
      <c r="DB991" s="405" t="s">
        <v>363</v>
      </c>
      <c r="DC991" s="406" t="s">
        <v>85</v>
      </c>
      <c r="DD991" s="405" t="s">
        <v>917</v>
      </c>
      <c r="DE991" s="405" t="s">
        <v>5</v>
      </c>
      <c r="DF991" s="406" t="s">
        <v>85</v>
      </c>
      <c r="DG991" s="407">
        <v>45859</v>
      </c>
      <c r="DH991" s="405" t="s">
        <v>4149</v>
      </c>
      <c r="DI991" s="406">
        <v>465455</v>
      </c>
      <c r="DJ991" s="408">
        <v>5</v>
      </c>
      <c r="DK991" s="405">
        <v>1</v>
      </c>
      <c r="DL991" s="82">
        <v>332.47</v>
      </c>
      <c r="DM991" s="409">
        <v>1.6623500000000002</v>
      </c>
      <c r="DN991" s="82" t="s">
        <v>85</v>
      </c>
      <c r="DO991" s="82" t="s">
        <v>85</v>
      </c>
      <c r="DP991" s="410" t="s">
        <v>85</v>
      </c>
    </row>
    <row r="992" spans="1:120" x14ac:dyDescent="0.25">
      <c r="A992" s="16" t="s">
        <v>4152</v>
      </c>
      <c r="B992" s="16" t="s">
        <v>4153</v>
      </c>
      <c r="C992" s="16" t="s">
        <v>4154</v>
      </c>
      <c r="D992" s="16" t="s">
        <v>3740</v>
      </c>
      <c r="E992" s="16" t="s">
        <v>4155</v>
      </c>
      <c r="F992" s="16" t="s">
        <v>4156</v>
      </c>
      <c r="G992" s="16" t="s">
        <v>4157</v>
      </c>
      <c r="H992" s="16" t="s">
        <v>4158</v>
      </c>
      <c r="I992" s="16" t="s">
        <v>4159</v>
      </c>
      <c r="J992" s="16" t="s">
        <v>1354</v>
      </c>
      <c r="K992" s="16" t="s">
        <v>4160</v>
      </c>
      <c r="L992" s="16" t="s">
        <v>85</v>
      </c>
      <c r="M992" s="16" t="s">
        <v>945</v>
      </c>
      <c r="N992" s="16" t="s">
        <v>914</v>
      </c>
      <c r="O992" s="16" t="s">
        <v>946</v>
      </c>
      <c r="P992" s="16" t="s">
        <v>914</v>
      </c>
      <c r="Q992" s="16" t="s">
        <v>946</v>
      </c>
      <c r="R992" s="16" t="s">
        <v>915</v>
      </c>
      <c r="S992" s="16" t="s">
        <v>915</v>
      </c>
      <c r="T992" s="16" t="s">
        <v>945</v>
      </c>
      <c r="U992" s="16" t="s">
        <v>947</v>
      </c>
      <c r="V992" s="16" t="s">
        <v>916</v>
      </c>
      <c r="W992" s="16" t="s">
        <v>947</v>
      </c>
      <c r="X992" s="16" t="s">
        <v>934</v>
      </c>
      <c r="Y992" s="16" t="s">
        <v>934</v>
      </c>
      <c r="Z992" s="16" t="s">
        <v>935</v>
      </c>
      <c r="DA992" s="405" t="s">
        <v>5</v>
      </c>
      <c r="DB992" s="405" t="s">
        <v>363</v>
      </c>
      <c r="DC992" s="406" t="s">
        <v>85</v>
      </c>
      <c r="DD992" s="405" t="s">
        <v>917</v>
      </c>
      <c r="DE992" s="405" t="s">
        <v>5</v>
      </c>
      <c r="DF992" s="406" t="s">
        <v>85</v>
      </c>
      <c r="DG992" s="407">
        <v>45859</v>
      </c>
      <c r="DH992" s="405" t="s">
        <v>4155</v>
      </c>
      <c r="DI992" s="406">
        <v>465455</v>
      </c>
      <c r="DJ992" s="408">
        <v>5</v>
      </c>
      <c r="DK992" s="405">
        <v>1</v>
      </c>
      <c r="DL992" s="82">
        <v>319.27</v>
      </c>
      <c r="DM992" s="409">
        <v>1.5963499999999999</v>
      </c>
      <c r="DN992" s="82" t="s">
        <v>85</v>
      </c>
      <c r="DO992" s="82" t="s">
        <v>85</v>
      </c>
      <c r="DP992" s="410" t="s">
        <v>85</v>
      </c>
    </row>
    <row r="993" spans="1:120" x14ac:dyDescent="0.25">
      <c r="A993" s="16" t="s">
        <v>4161</v>
      </c>
      <c r="B993" s="16" t="s">
        <v>4162</v>
      </c>
      <c r="C993" s="16" t="s">
        <v>4163</v>
      </c>
      <c r="D993" s="16" t="s">
        <v>3740</v>
      </c>
      <c r="E993" s="16" t="s">
        <v>4164</v>
      </c>
      <c r="F993" s="16" t="s">
        <v>4165</v>
      </c>
      <c r="G993" s="16" t="s">
        <v>4166</v>
      </c>
      <c r="H993" s="16" t="s">
        <v>4165</v>
      </c>
      <c r="I993" s="16" t="s">
        <v>1970</v>
      </c>
      <c r="J993" s="16" t="s">
        <v>995</v>
      </c>
      <c r="K993" s="16" t="s">
        <v>1971</v>
      </c>
      <c r="L993" s="16" t="s">
        <v>85</v>
      </c>
      <c r="M993" s="16" t="s">
        <v>1165</v>
      </c>
      <c r="N993" s="16" t="s">
        <v>914</v>
      </c>
      <c r="O993" s="16" t="s">
        <v>1166</v>
      </c>
      <c r="P993" s="16" t="s">
        <v>914</v>
      </c>
      <c r="Q993" s="16" t="s">
        <v>1166</v>
      </c>
      <c r="R993" s="16" t="s">
        <v>915</v>
      </c>
      <c r="S993" s="16" t="s">
        <v>915</v>
      </c>
      <c r="T993" s="16" t="s">
        <v>1167</v>
      </c>
      <c r="U993" s="16" t="s">
        <v>1168</v>
      </c>
      <c r="V993" s="16" t="s">
        <v>916</v>
      </c>
      <c r="W993" s="16" t="s">
        <v>1168</v>
      </c>
      <c r="X993" s="16" t="s">
        <v>934</v>
      </c>
      <c r="Y993" s="16" t="s">
        <v>934</v>
      </c>
      <c r="Z993" s="16" t="s">
        <v>935</v>
      </c>
      <c r="DA993" s="405" t="s">
        <v>5</v>
      </c>
      <c r="DB993" s="405" t="s">
        <v>363</v>
      </c>
      <c r="DC993" s="406" t="s">
        <v>85</v>
      </c>
      <c r="DD993" s="405" t="s">
        <v>917</v>
      </c>
      <c r="DE993" s="405" t="s">
        <v>5</v>
      </c>
      <c r="DF993" s="406" t="s">
        <v>85</v>
      </c>
      <c r="DG993" s="407">
        <v>45859</v>
      </c>
      <c r="DH993" s="405" t="s">
        <v>4164</v>
      </c>
      <c r="DI993" s="406">
        <v>465455</v>
      </c>
      <c r="DJ993" s="408">
        <v>5</v>
      </c>
      <c r="DK993" s="405">
        <v>1</v>
      </c>
      <c r="DL993" s="82">
        <v>468.28</v>
      </c>
      <c r="DM993" s="409">
        <v>2.3413999999999997</v>
      </c>
      <c r="DN993" s="82" t="s">
        <v>85</v>
      </c>
      <c r="DO993" s="82" t="s">
        <v>85</v>
      </c>
      <c r="DP993" s="410" t="s">
        <v>85</v>
      </c>
    </row>
    <row r="994" spans="1:120" x14ac:dyDescent="0.25">
      <c r="A994" s="16" t="s">
        <v>4167</v>
      </c>
      <c r="B994" s="16" t="s">
        <v>4168</v>
      </c>
      <c r="C994" s="16" t="s">
        <v>4169</v>
      </c>
      <c r="D994" s="16" t="s">
        <v>3740</v>
      </c>
      <c r="E994" s="16" t="s">
        <v>4170</v>
      </c>
      <c r="F994" s="16" t="s">
        <v>4171</v>
      </c>
      <c r="G994" s="16" t="s">
        <v>4172</v>
      </c>
      <c r="H994" s="16" t="s">
        <v>4171</v>
      </c>
      <c r="I994" s="16" t="s">
        <v>1368</v>
      </c>
      <c r="J994" s="16" t="s">
        <v>1123</v>
      </c>
      <c r="K994" s="16" t="s">
        <v>1369</v>
      </c>
      <c r="L994" s="16" t="s">
        <v>85</v>
      </c>
      <c r="M994" s="16" t="s">
        <v>1238</v>
      </c>
      <c r="N994" s="16" t="s">
        <v>914</v>
      </c>
      <c r="O994" s="16" t="s">
        <v>1239</v>
      </c>
      <c r="P994" s="16" t="s">
        <v>914</v>
      </c>
      <c r="Q994" s="16" t="s">
        <v>1239</v>
      </c>
      <c r="R994" s="16" t="s">
        <v>915</v>
      </c>
      <c r="S994" s="16" t="s">
        <v>915</v>
      </c>
      <c r="T994" s="16" t="s">
        <v>1238</v>
      </c>
      <c r="U994" s="16" t="s">
        <v>1240</v>
      </c>
      <c r="V994" s="16" t="s">
        <v>916</v>
      </c>
      <c r="W994" s="16" t="s">
        <v>1240</v>
      </c>
      <c r="X994" s="16" t="s">
        <v>934</v>
      </c>
      <c r="Y994" s="16" t="s">
        <v>934</v>
      </c>
      <c r="Z994" s="16" t="s">
        <v>935</v>
      </c>
      <c r="DA994" s="405" t="s">
        <v>5</v>
      </c>
      <c r="DB994" s="405" t="s">
        <v>363</v>
      </c>
      <c r="DC994" s="406" t="s">
        <v>85</v>
      </c>
      <c r="DD994" s="405" t="s">
        <v>917</v>
      </c>
      <c r="DE994" s="405" t="s">
        <v>5</v>
      </c>
      <c r="DF994" s="406" t="s">
        <v>85</v>
      </c>
      <c r="DG994" s="407">
        <v>45859</v>
      </c>
      <c r="DH994" s="405" t="s">
        <v>4170</v>
      </c>
      <c r="DI994" s="406">
        <v>465455</v>
      </c>
      <c r="DJ994" s="408">
        <v>5</v>
      </c>
      <c r="DK994" s="405">
        <v>1</v>
      </c>
      <c r="DL994" s="82">
        <v>383.16</v>
      </c>
      <c r="DM994" s="409">
        <v>1.9158000000000002</v>
      </c>
      <c r="DN994" s="82" t="s">
        <v>85</v>
      </c>
      <c r="DO994" s="82" t="s">
        <v>85</v>
      </c>
      <c r="DP994" s="410" t="s">
        <v>85</v>
      </c>
    </row>
    <row r="995" spans="1:120" x14ac:dyDescent="0.25">
      <c r="A995" s="16" t="s">
        <v>4173</v>
      </c>
      <c r="B995" s="16" t="s">
        <v>4174</v>
      </c>
      <c r="C995" s="16" t="s">
        <v>4175</v>
      </c>
      <c r="D995" s="16" t="s">
        <v>3740</v>
      </c>
      <c r="E995" s="16" t="s">
        <v>4176</v>
      </c>
      <c r="F995" s="16" t="s">
        <v>4177</v>
      </c>
      <c r="G995" s="16" t="s">
        <v>4178</v>
      </c>
      <c r="H995" s="16" t="s">
        <v>4179</v>
      </c>
      <c r="I995" s="16" t="s">
        <v>2136</v>
      </c>
      <c r="J995" s="16" t="s">
        <v>943</v>
      </c>
      <c r="K995" s="16" t="s">
        <v>2137</v>
      </c>
      <c r="L995" s="16" t="s">
        <v>85</v>
      </c>
      <c r="M995" s="16" t="s">
        <v>984</v>
      </c>
      <c r="N995" s="16" t="s">
        <v>914</v>
      </c>
      <c r="O995" s="16" t="s">
        <v>985</v>
      </c>
      <c r="P995" s="16" t="s">
        <v>914</v>
      </c>
      <c r="Q995" s="16" t="s">
        <v>985</v>
      </c>
      <c r="R995" s="16" t="s">
        <v>915</v>
      </c>
      <c r="S995" s="16" t="s">
        <v>915</v>
      </c>
      <c r="T995" s="16" t="s">
        <v>986</v>
      </c>
      <c r="U995" s="16" t="s">
        <v>987</v>
      </c>
      <c r="V995" s="16" t="s">
        <v>916</v>
      </c>
      <c r="W995" s="16" t="s">
        <v>987</v>
      </c>
      <c r="X995" s="16" t="s">
        <v>934</v>
      </c>
      <c r="Y995" s="16" t="s">
        <v>934</v>
      </c>
      <c r="Z995" s="16" t="s">
        <v>935</v>
      </c>
      <c r="DA995" s="405" t="s">
        <v>5</v>
      </c>
      <c r="DB995" s="405" t="s">
        <v>363</v>
      </c>
      <c r="DC995" s="406" t="s">
        <v>85</v>
      </c>
      <c r="DD995" s="405" t="s">
        <v>917</v>
      </c>
      <c r="DE995" s="405" t="s">
        <v>5</v>
      </c>
      <c r="DF995" s="406" t="s">
        <v>85</v>
      </c>
      <c r="DG995" s="407">
        <v>45859</v>
      </c>
      <c r="DH995" s="405" t="s">
        <v>4176</v>
      </c>
      <c r="DI995" s="406">
        <v>465455</v>
      </c>
      <c r="DJ995" s="408">
        <v>5</v>
      </c>
      <c r="DK995" s="405">
        <v>1</v>
      </c>
      <c r="DL995" s="82">
        <v>340.55</v>
      </c>
      <c r="DM995" s="409">
        <v>1.70275</v>
      </c>
      <c r="DN995" s="82" t="s">
        <v>85</v>
      </c>
      <c r="DO995" s="82" t="s">
        <v>85</v>
      </c>
      <c r="DP995" s="410" t="s">
        <v>85</v>
      </c>
    </row>
    <row r="996" spans="1:120" x14ac:dyDescent="0.25">
      <c r="A996" s="16" t="s">
        <v>4180</v>
      </c>
      <c r="B996" s="16" t="s">
        <v>4181</v>
      </c>
      <c r="C996" s="16" t="s">
        <v>4182</v>
      </c>
      <c r="D996" s="16" t="s">
        <v>3740</v>
      </c>
      <c r="E996" s="16" t="s">
        <v>4183</v>
      </c>
      <c r="F996" s="16" t="s">
        <v>4184</v>
      </c>
      <c r="G996" s="16" t="s">
        <v>4185</v>
      </c>
      <c r="H996" s="16" t="s">
        <v>4184</v>
      </c>
      <c r="I996" s="16" t="s">
        <v>1150</v>
      </c>
      <c r="J996" s="16" t="s">
        <v>943</v>
      </c>
      <c r="K996" s="16" t="s">
        <v>1151</v>
      </c>
      <c r="L996" s="16" t="s">
        <v>85</v>
      </c>
      <c r="M996" s="16" t="s">
        <v>984</v>
      </c>
      <c r="N996" s="16" t="s">
        <v>914</v>
      </c>
      <c r="O996" s="16" t="s">
        <v>985</v>
      </c>
      <c r="P996" s="16" t="s">
        <v>914</v>
      </c>
      <c r="Q996" s="16" t="s">
        <v>985</v>
      </c>
      <c r="R996" s="16" t="s">
        <v>915</v>
      </c>
      <c r="S996" s="16" t="s">
        <v>915</v>
      </c>
      <c r="T996" s="16" t="s">
        <v>986</v>
      </c>
      <c r="U996" s="16" t="s">
        <v>987</v>
      </c>
      <c r="V996" s="16" t="s">
        <v>916</v>
      </c>
      <c r="W996" s="16" t="s">
        <v>987</v>
      </c>
      <c r="X996" s="16" t="s">
        <v>934</v>
      </c>
      <c r="Y996" s="16" t="s">
        <v>934</v>
      </c>
      <c r="Z996" s="16" t="s">
        <v>935</v>
      </c>
      <c r="DA996" s="405" t="s">
        <v>5</v>
      </c>
      <c r="DB996" s="405" t="s">
        <v>363</v>
      </c>
      <c r="DC996" s="406" t="s">
        <v>85</v>
      </c>
      <c r="DD996" s="405" t="s">
        <v>917</v>
      </c>
      <c r="DE996" s="405" t="s">
        <v>5</v>
      </c>
      <c r="DF996" s="406" t="s">
        <v>85</v>
      </c>
      <c r="DG996" s="407">
        <v>45859</v>
      </c>
      <c r="DH996" s="405" t="s">
        <v>4183</v>
      </c>
      <c r="DI996" s="406">
        <v>465455</v>
      </c>
      <c r="DJ996" s="408">
        <v>5</v>
      </c>
      <c r="DK996" s="405">
        <v>1</v>
      </c>
      <c r="DL996" s="82">
        <v>340.55</v>
      </c>
      <c r="DM996" s="409">
        <v>1.70275</v>
      </c>
      <c r="DN996" s="82" t="s">
        <v>85</v>
      </c>
      <c r="DO996" s="82" t="s">
        <v>85</v>
      </c>
      <c r="DP996" s="410" t="s">
        <v>85</v>
      </c>
    </row>
    <row r="997" spans="1:120" x14ac:dyDescent="0.25">
      <c r="A997" s="16" t="s">
        <v>4186</v>
      </c>
      <c r="B997" s="16" t="s">
        <v>4187</v>
      </c>
      <c r="C997" s="16" t="s">
        <v>4188</v>
      </c>
      <c r="D997" s="16" t="s">
        <v>3740</v>
      </c>
      <c r="E997" s="16" t="s">
        <v>4189</v>
      </c>
      <c r="F997" s="16" t="s">
        <v>4190</v>
      </c>
      <c r="G997" s="16" t="s">
        <v>4191</v>
      </c>
      <c r="H997" s="16" t="s">
        <v>4192</v>
      </c>
      <c r="I997" s="16" t="s">
        <v>1448</v>
      </c>
      <c r="J997" s="16" t="s">
        <v>1036</v>
      </c>
      <c r="K997" s="16" t="s">
        <v>1449</v>
      </c>
      <c r="L997" s="16" t="s">
        <v>85</v>
      </c>
      <c r="M997" s="16" t="s">
        <v>1216</v>
      </c>
      <c r="N997" s="16" t="s">
        <v>914</v>
      </c>
      <c r="O997" s="16" t="s">
        <v>946</v>
      </c>
      <c r="P997" s="16" t="s">
        <v>914</v>
      </c>
      <c r="Q997" s="16" t="s">
        <v>946</v>
      </c>
      <c r="R997" s="16" t="s">
        <v>915</v>
      </c>
      <c r="S997" s="16" t="s">
        <v>915</v>
      </c>
      <c r="T997" s="16" t="s">
        <v>1216</v>
      </c>
      <c r="U997" s="16" t="s">
        <v>1217</v>
      </c>
      <c r="V997" s="16" t="s">
        <v>916</v>
      </c>
      <c r="W997" s="16" t="s">
        <v>1217</v>
      </c>
      <c r="X997" s="16" t="s">
        <v>934</v>
      </c>
      <c r="Y997" s="16" t="s">
        <v>934</v>
      </c>
      <c r="Z997" s="16" t="s">
        <v>935</v>
      </c>
      <c r="DA997" s="405" t="s">
        <v>5</v>
      </c>
      <c r="DB997" s="405" t="s">
        <v>363</v>
      </c>
      <c r="DC997" s="406" t="s">
        <v>85</v>
      </c>
      <c r="DD997" s="405" t="s">
        <v>917</v>
      </c>
      <c r="DE997" s="405" t="s">
        <v>5</v>
      </c>
      <c r="DF997" s="406" t="s">
        <v>85</v>
      </c>
      <c r="DG997" s="407">
        <v>45859</v>
      </c>
      <c r="DH997" s="405" t="s">
        <v>4189</v>
      </c>
      <c r="DI997" s="406">
        <v>465455</v>
      </c>
      <c r="DJ997" s="408">
        <v>5</v>
      </c>
      <c r="DK997" s="405">
        <v>1</v>
      </c>
      <c r="DL997" s="82">
        <v>319.22000000000003</v>
      </c>
      <c r="DM997" s="409">
        <v>1.5961000000000001</v>
      </c>
      <c r="DN997" s="82" t="s">
        <v>85</v>
      </c>
      <c r="DO997" s="82" t="s">
        <v>85</v>
      </c>
      <c r="DP997" s="410" t="s">
        <v>85</v>
      </c>
    </row>
    <row r="998" spans="1:120" x14ac:dyDescent="0.25">
      <c r="A998" s="16" t="s">
        <v>4193</v>
      </c>
      <c r="B998" s="16" t="s">
        <v>4194</v>
      </c>
      <c r="C998" s="16" t="s">
        <v>4195</v>
      </c>
      <c r="D998" s="16" t="s">
        <v>3740</v>
      </c>
      <c r="E998" s="16" t="s">
        <v>4196</v>
      </c>
      <c r="F998" s="16" t="s">
        <v>4197</v>
      </c>
      <c r="G998" s="16" t="s">
        <v>4198</v>
      </c>
      <c r="H998" s="16" t="s">
        <v>4199</v>
      </c>
      <c r="I998" s="16" t="s">
        <v>1248</v>
      </c>
      <c r="J998" s="16" t="s">
        <v>995</v>
      </c>
      <c r="K998" s="16" t="s">
        <v>1249</v>
      </c>
      <c r="L998" s="16" t="s">
        <v>85</v>
      </c>
      <c r="M998" s="16" t="s">
        <v>1165</v>
      </c>
      <c r="N998" s="16" t="s">
        <v>914</v>
      </c>
      <c r="O998" s="16" t="s">
        <v>1166</v>
      </c>
      <c r="P998" s="16" t="s">
        <v>914</v>
      </c>
      <c r="Q998" s="16" t="s">
        <v>1166</v>
      </c>
      <c r="R998" s="16" t="s">
        <v>915</v>
      </c>
      <c r="S998" s="16" t="s">
        <v>915</v>
      </c>
      <c r="T998" s="16" t="s">
        <v>1167</v>
      </c>
      <c r="U998" s="16" t="s">
        <v>1168</v>
      </c>
      <c r="V998" s="16" t="s">
        <v>916</v>
      </c>
      <c r="W998" s="16" t="s">
        <v>1168</v>
      </c>
      <c r="X998" s="16" t="s">
        <v>934</v>
      </c>
      <c r="Y998" s="16" t="s">
        <v>934</v>
      </c>
      <c r="Z998" s="16" t="s">
        <v>935</v>
      </c>
      <c r="DA998" s="405" t="s">
        <v>5</v>
      </c>
      <c r="DB998" s="405" t="s">
        <v>363</v>
      </c>
      <c r="DC998" s="406" t="s">
        <v>85</v>
      </c>
      <c r="DD998" s="405" t="s">
        <v>917</v>
      </c>
      <c r="DE998" s="405" t="s">
        <v>5</v>
      </c>
      <c r="DF998" s="406" t="s">
        <v>85</v>
      </c>
      <c r="DG998" s="407">
        <v>45859</v>
      </c>
      <c r="DH998" s="405" t="s">
        <v>4196</v>
      </c>
      <c r="DI998" s="406">
        <v>465455</v>
      </c>
      <c r="DJ998" s="408">
        <v>5</v>
      </c>
      <c r="DK998" s="405">
        <v>1</v>
      </c>
      <c r="DL998" s="82">
        <v>468.28</v>
      </c>
      <c r="DM998" s="409">
        <v>2.3413999999999997</v>
      </c>
      <c r="DN998" s="82" t="s">
        <v>85</v>
      </c>
      <c r="DO998" s="82" t="s">
        <v>85</v>
      </c>
      <c r="DP998" s="410" t="s">
        <v>85</v>
      </c>
    </row>
    <row r="999" spans="1:120" x14ac:dyDescent="0.25">
      <c r="A999" s="16" t="s">
        <v>4200</v>
      </c>
      <c r="B999" s="16" t="s">
        <v>4201</v>
      </c>
      <c r="C999" s="16" t="s">
        <v>4202</v>
      </c>
      <c r="D999" s="16" t="s">
        <v>3740</v>
      </c>
      <c r="E999" s="16" t="s">
        <v>4203</v>
      </c>
      <c r="F999" s="16" t="s">
        <v>4204</v>
      </c>
      <c r="G999" s="16" t="s">
        <v>4205</v>
      </c>
      <c r="H999" s="16" t="s">
        <v>4206</v>
      </c>
      <c r="I999" s="16" t="s">
        <v>994</v>
      </c>
      <c r="J999" s="16" t="s">
        <v>995</v>
      </c>
      <c r="K999" s="16" t="s">
        <v>996</v>
      </c>
      <c r="L999" s="16" t="s">
        <v>85</v>
      </c>
      <c r="M999" s="16" t="s">
        <v>1165</v>
      </c>
      <c r="N999" s="16" t="s">
        <v>914</v>
      </c>
      <c r="O999" s="16" t="s">
        <v>1166</v>
      </c>
      <c r="P999" s="16" t="s">
        <v>914</v>
      </c>
      <c r="Q999" s="16" t="s">
        <v>1166</v>
      </c>
      <c r="R999" s="16" t="s">
        <v>915</v>
      </c>
      <c r="S999" s="16" t="s">
        <v>915</v>
      </c>
      <c r="T999" s="16" t="s">
        <v>1167</v>
      </c>
      <c r="U999" s="16" t="s">
        <v>1168</v>
      </c>
      <c r="V999" s="16" t="s">
        <v>916</v>
      </c>
      <c r="W999" s="16" t="s">
        <v>1168</v>
      </c>
      <c r="X999" s="16" t="s">
        <v>934</v>
      </c>
      <c r="Y999" s="16" t="s">
        <v>934</v>
      </c>
      <c r="Z999" s="16" t="s">
        <v>935</v>
      </c>
      <c r="DA999" s="405" t="s">
        <v>5</v>
      </c>
      <c r="DB999" s="405" t="s">
        <v>363</v>
      </c>
      <c r="DC999" s="406" t="s">
        <v>85</v>
      </c>
      <c r="DD999" s="405" t="s">
        <v>917</v>
      </c>
      <c r="DE999" s="405" t="s">
        <v>5</v>
      </c>
      <c r="DF999" s="406" t="s">
        <v>85</v>
      </c>
      <c r="DG999" s="407">
        <v>45859</v>
      </c>
      <c r="DH999" s="405" t="s">
        <v>4203</v>
      </c>
      <c r="DI999" s="406">
        <v>465455</v>
      </c>
      <c r="DJ999" s="408">
        <v>5</v>
      </c>
      <c r="DK999" s="405">
        <v>1</v>
      </c>
      <c r="DL999" s="82">
        <v>468.28</v>
      </c>
      <c r="DM999" s="409">
        <v>2.3413999999999997</v>
      </c>
      <c r="DN999" s="82" t="s">
        <v>85</v>
      </c>
      <c r="DO999" s="82" t="s">
        <v>85</v>
      </c>
      <c r="DP999" s="410" t="s">
        <v>85</v>
      </c>
    </row>
    <row r="1000" spans="1:120" x14ac:dyDescent="0.25">
      <c r="A1000" s="16" t="s">
        <v>4200</v>
      </c>
      <c r="B1000" s="16" t="s">
        <v>4201</v>
      </c>
      <c r="C1000" s="16" t="s">
        <v>4202</v>
      </c>
      <c r="D1000" s="16" t="s">
        <v>3740</v>
      </c>
      <c r="E1000" s="16" t="s">
        <v>4203</v>
      </c>
      <c r="F1000" s="16" t="s">
        <v>4204</v>
      </c>
      <c r="G1000" s="16" t="s">
        <v>4205</v>
      </c>
      <c r="H1000" s="16" t="s">
        <v>4206</v>
      </c>
      <c r="I1000" s="16" t="s">
        <v>1163</v>
      </c>
      <c r="J1000" s="16" t="s">
        <v>995</v>
      </c>
      <c r="K1000" s="16" t="s">
        <v>1164</v>
      </c>
      <c r="L1000" s="16" t="s">
        <v>85</v>
      </c>
      <c r="M1000" s="16" t="s">
        <v>1165</v>
      </c>
      <c r="N1000" s="16" t="s">
        <v>914</v>
      </c>
      <c r="O1000" s="16" t="s">
        <v>1166</v>
      </c>
      <c r="P1000" s="16" t="s">
        <v>914</v>
      </c>
      <c r="Q1000" s="16" t="s">
        <v>1166</v>
      </c>
      <c r="R1000" s="16" t="s">
        <v>915</v>
      </c>
      <c r="S1000" s="16" t="s">
        <v>915</v>
      </c>
      <c r="T1000" s="16" t="s">
        <v>1167</v>
      </c>
      <c r="U1000" s="16" t="s">
        <v>1168</v>
      </c>
      <c r="V1000" s="16" t="s">
        <v>916</v>
      </c>
      <c r="W1000" s="16" t="s">
        <v>1168</v>
      </c>
      <c r="X1000" s="16" t="s">
        <v>934</v>
      </c>
      <c r="Y1000" s="16" t="s">
        <v>934</v>
      </c>
      <c r="Z1000" s="16" t="s">
        <v>935</v>
      </c>
      <c r="DA1000" s="405" t="s">
        <v>5</v>
      </c>
      <c r="DB1000" s="405" t="s">
        <v>363</v>
      </c>
      <c r="DC1000" s="406" t="s">
        <v>85</v>
      </c>
      <c r="DD1000" s="405" t="s">
        <v>917</v>
      </c>
      <c r="DE1000" s="405" t="s">
        <v>5</v>
      </c>
      <c r="DF1000" s="406" t="s">
        <v>85</v>
      </c>
      <c r="DG1000" s="407">
        <v>45859</v>
      </c>
      <c r="DH1000" s="405" t="s">
        <v>4203</v>
      </c>
      <c r="DI1000" s="406">
        <v>465455</v>
      </c>
      <c r="DJ1000" s="408">
        <v>5</v>
      </c>
      <c r="DK1000" s="405">
        <v>1</v>
      </c>
      <c r="DL1000" s="82">
        <v>468.28</v>
      </c>
      <c r="DM1000" s="409">
        <v>2.3413999999999997</v>
      </c>
      <c r="DN1000" s="82" t="s">
        <v>85</v>
      </c>
      <c r="DO1000" s="82" t="s">
        <v>85</v>
      </c>
      <c r="DP1000" s="410" t="s">
        <v>85</v>
      </c>
    </row>
    <row r="1001" spans="1:120" x14ac:dyDescent="0.25">
      <c r="A1001" s="16" t="s">
        <v>4207</v>
      </c>
      <c r="B1001" s="16" t="s">
        <v>4208</v>
      </c>
      <c r="C1001" s="16" t="s">
        <v>4209</v>
      </c>
      <c r="D1001" s="16" t="s">
        <v>3740</v>
      </c>
      <c r="E1001" s="16" t="s">
        <v>4210</v>
      </c>
      <c r="F1001" s="16" t="s">
        <v>4211</v>
      </c>
      <c r="G1001" s="16" t="s">
        <v>4212</v>
      </c>
      <c r="H1001" s="16" t="s">
        <v>4213</v>
      </c>
      <c r="I1001" s="16" t="s">
        <v>1122</v>
      </c>
      <c r="J1001" s="16" t="s">
        <v>1123</v>
      </c>
      <c r="K1001" s="16" t="s">
        <v>1124</v>
      </c>
      <c r="L1001" s="16" t="s">
        <v>85</v>
      </c>
      <c r="M1001" s="16" t="s">
        <v>1238</v>
      </c>
      <c r="N1001" s="16" t="s">
        <v>914</v>
      </c>
      <c r="O1001" s="16" t="s">
        <v>1239</v>
      </c>
      <c r="P1001" s="16" t="s">
        <v>914</v>
      </c>
      <c r="Q1001" s="16" t="s">
        <v>1239</v>
      </c>
      <c r="R1001" s="16" t="s">
        <v>915</v>
      </c>
      <c r="S1001" s="16" t="s">
        <v>915</v>
      </c>
      <c r="T1001" s="16" t="s">
        <v>1238</v>
      </c>
      <c r="U1001" s="16" t="s">
        <v>1240</v>
      </c>
      <c r="V1001" s="16" t="s">
        <v>916</v>
      </c>
      <c r="W1001" s="16" t="s">
        <v>1240</v>
      </c>
      <c r="X1001" s="16" t="s">
        <v>934</v>
      </c>
      <c r="Y1001" s="16" t="s">
        <v>934</v>
      </c>
      <c r="Z1001" s="16" t="s">
        <v>935</v>
      </c>
      <c r="DA1001" s="405" t="s">
        <v>5</v>
      </c>
      <c r="DB1001" s="405" t="s">
        <v>363</v>
      </c>
      <c r="DC1001" s="406" t="s">
        <v>85</v>
      </c>
      <c r="DD1001" s="405" t="s">
        <v>917</v>
      </c>
      <c r="DE1001" s="405" t="s">
        <v>5</v>
      </c>
      <c r="DF1001" s="406" t="s">
        <v>85</v>
      </c>
      <c r="DG1001" s="407">
        <v>45859</v>
      </c>
      <c r="DH1001" s="405" t="s">
        <v>4210</v>
      </c>
      <c r="DI1001" s="406">
        <v>465455</v>
      </c>
      <c r="DJ1001" s="408">
        <v>5</v>
      </c>
      <c r="DK1001" s="405">
        <v>1</v>
      </c>
      <c r="DL1001" s="82">
        <v>383.16</v>
      </c>
      <c r="DM1001" s="409">
        <v>1.9158000000000002</v>
      </c>
      <c r="DN1001" s="82" t="s">
        <v>85</v>
      </c>
      <c r="DO1001" s="82" t="s">
        <v>85</v>
      </c>
      <c r="DP1001" s="410" t="s">
        <v>85</v>
      </c>
    </row>
    <row r="1002" spans="1:120" x14ac:dyDescent="0.25">
      <c r="A1002" s="16" t="s">
        <v>4214</v>
      </c>
      <c r="B1002" s="16" t="s">
        <v>4215</v>
      </c>
      <c r="C1002" s="16" t="s">
        <v>4216</v>
      </c>
      <c r="D1002" s="16" t="s">
        <v>3740</v>
      </c>
      <c r="E1002" s="16" t="s">
        <v>4217</v>
      </c>
      <c r="F1002" s="16" t="s">
        <v>4218</v>
      </c>
      <c r="G1002" s="16" t="s">
        <v>4219</v>
      </c>
      <c r="H1002" s="16" t="s">
        <v>4218</v>
      </c>
      <c r="I1002" s="16" t="s">
        <v>4220</v>
      </c>
      <c r="J1002" s="16" t="s">
        <v>4221</v>
      </c>
      <c r="K1002" s="16" t="s">
        <v>4222</v>
      </c>
      <c r="L1002" s="16" t="s">
        <v>85</v>
      </c>
      <c r="M1002" s="16" t="s">
        <v>4223</v>
      </c>
      <c r="N1002" s="16" t="s">
        <v>914</v>
      </c>
      <c r="O1002" s="16" t="s">
        <v>4224</v>
      </c>
      <c r="P1002" s="16" t="s">
        <v>914</v>
      </c>
      <c r="Q1002" s="16" t="s">
        <v>4224</v>
      </c>
      <c r="R1002" s="16" t="s">
        <v>915</v>
      </c>
      <c r="S1002" s="16" t="s">
        <v>915</v>
      </c>
      <c r="T1002" s="16" t="s">
        <v>4223</v>
      </c>
      <c r="U1002" s="16" t="s">
        <v>4225</v>
      </c>
      <c r="V1002" s="16" t="s">
        <v>916</v>
      </c>
      <c r="W1002" s="16" t="s">
        <v>4225</v>
      </c>
      <c r="X1002" s="16" t="s">
        <v>934</v>
      </c>
      <c r="Y1002" s="16" t="s">
        <v>934</v>
      </c>
      <c r="Z1002" s="16" t="s">
        <v>935</v>
      </c>
      <c r="DA1002" s="405" t="s">
        <v>5</v>
      </c>
      <c r="DB1002" s="405" t="s">
        <v>363</v>
      </c>
      <c r="DC1002" s="406" t="s">
        <v>85</v>
      </c>
      <c r="DD1002" s="405" t="s">
        <v>917</v>
      </c>
      <c r="DE1002" s="405" t="s">
        <v>5</v>
      </c>
      <c r="DF1002" s="406" t="s">
        <v>85</v>
      </c>
      <c r="DG1002" s="407">
        <v>45859</v>
      </c>
      <c r="DH1002" s="405" t="s">
        <v>4217</v>
      </c>
      <c r="DI1002" s="406">
        <v>465455</v>
      </c>
      <c r="DJ1002" s="408">
        <v>5</v>
      </c>
      <c r="DK1002" s="405">
        <v>1</v>
      </c>
      <c r="DL1002" s="82">
        <v>372.48</v>
      </c>
      <c r="DM1002" s="409">
        <v>1.8624000000000001</v>
      </c>
      <c r="DN1002" s="82" t="s">
        <v>85</v>
      </c>
      <c r="DO1002" s="82" t="s">
        <v>85</v>
      </c>
      <c r="DP1002" s="410" t="s">
        <v>85</v>
      </c>
    </row>
    <row r="1003" spans="1:120" x14ac:dyDescent="0.25">
      <c r="A1003" s="16" t="s">
        <v>4226</v>
      </c>
      <c r="B1003" s="16" t="s">
        <v>4227</v>
      </c>
      <c r="C1003" s="16" t="s">
        <v>4228</v>
      </c>
      <c r="D1003" s="16" t="s">
        <v>3740</v>
      </c>
      <c r="E1003" s="16" t="s">
        <v>4229</v>
      </c>
      <c r="F1003" s="16" t="s">
        <v>4230</v>
      </c>
      <c r="G1003" s="16" t="s">
        <v>4231</v>
      </c>
      <c r="H1003" s="16" t="s">
        <v>4232</v>
      </c>
      <c r="I1003" s="16" t="s">
        <v>2997</v>
      </c>
      <c r="J1003" s="16" t="s">
        <v>943</v>
      </c>
      <c r="K1003" s="16" t="s">
        <v>2998</v>
      </c>
      <c r="L1003" s="16" t="s">
        <v>85</v>
      </c>
      <c r="M1003" s="16" t="s">
        <v>984</v>
      </c>
      <c r="N1003" s="16" t="s">
        <v>914</v>
      </c>
      <c r="O1003" s="16" t="s">
        <v>985</v>
      </c>
      <c r="P1003" s="16" t="s">
        <v>914</v>
      </c>
      <c r="Q1003" s="16" t="s">
        <v>985</v>
      </c>
      <c r="R1003" s="16" t="s">
        <v>915</v>
      </c>
      <c r="S1003" s="16" t="s">
        <v>915</v>
      </c>
      <c r="T1003" s="16" t="s">
        <v>986</v>
      </c>
      <c r="U1003" s="16" t="s">
        <v>987</v>
      </c>
      <c r="V1003" s="16" t="s">
        <v>916</v>
      </c>
      <c r="W1003" s="16" t="s">
        <v>987</v>
      </c>
      <c r="X1003" s="16" t="s">
        <v>934</v>
      </c>
      <c r="Y1003" s="16" t="s">
        <v>934</v>
      </c>
      <c r="Z1003" s="16" t="s">
        <v>935</v>
      </c>
      <c r="DA1003" s="405" t="s">
        <v>5</v>
      </c>
      <c r="DB1003" s="405" t="s">
        <v>363</v>
      </c>
      <c r="DC1003" s="406" t="s">
        <v>85</v>
      </c>
      <c r="DD1003" s="405" t="s">
        <v>917</v>
      </c>
      <c r="DE1003" s="405" t="s">
        <v>5</v>
      </c>
      <c r="DF1003" s="406" t="s">
        <v>85</v>
      </c>
      <c r="DG1003" s="407">
        <v>45859</v>
      </c>
      <c r="DH1003" s="405" t="s">
        <v>4229</v>
      </c>
      <c r="DI1003" s="406">
        <v>465455</v>
      </c>
      <c r="DJ1003" s="408">
        <v>5</v>
      </c>
      <c r="DK1003" s="405">
        <v>1</v>
      </c>
      <c r="DL1003" s="82">
        <v>340.55</v>
      </c>
      <c r="DM1003" s="409">
        <v>1.70275</v>
      </c>
      <c r="DN1003" s="82" t="s">
        <v>85</v>
      </c>
      <c r="DO1003" s="82" t="s">
        <v>85</v>
      </c>
      <c r="DP1003" s="410" t="s">
        <v>85</v>
      </c>
    </row>
    <row r="1004" spans="1:120" x14ac:dyDescent="0.25">
      <c r="A1004" s="16" t="s">
        <v>4226</v>
      </c>
      <c r="B1004" s="16" t="s">
        <v>4227</v>
      </c>
      <c r="C1004" s="16" t="s">
        <v>4228</v>
      </c>
      <c r="D1004" s="16" t="s">
        <v>3740</v>
      </c>
      <c r="E1004" s="16" t="s">
        <v>4229</v>
      </c>
      <c r="F1004" s="16" t="s">
        <v>4230</v>
      </c>
      <c r="G1004" s="16" t="s">
        <v>4231</v>
      </c>
      <c r="H1004" s="16" t="s">
        <v>4232</v>
      </c>
      <c r="I1004" s="16" t="s">
        <v>1150</v>
      </c>
      <c r="J1004" s="16" t="s">
        <v>943</v>
      </c>
      <c r="K1004" s="16" t="s">
        <v>1151</v>
      </c>
      <c r="L1004" s="16" t="s">
        <v>85</v>
      </c>
      <c r="M1004" s="16" t="s">
        <v>984</v>
      </c>
      <c r="N1004" s="16" t="s">
        <v>914</v>
      </c>
      <c r="O1004" s="16" t="s">
        <v>985</v>
      </c>
      <c r="P1004" s="16" t="s">
        <v>914</v>
      </c>
      <c r="Q1004" s="16" t="s">
        <v>985</v>
      </c>
      <c r="R1004" s="16" t="s">
        <v>915</v>
      </c>
      <c r="S1004" s="16" t="s">
        <v>915</v>
      </c>
      <c r="T1004" s="16" t="s">
        <v>986</v>
      </c>
      <c r="U1004" s="16" t="s">
        <v>987</v>
      </c>
      <c r="V1004" s="16" t="s">
        <v>916</v>
      </c>
      <c r="W1004" s="16" t="s">
        <v>987</v>
      </c>
      <c r="X1004" s="16" t="s">
        <v>934</v>
      </c>
      <c r="Y1004" s="16" t="s">
        <v>934</v>
      </c>
      <c r="Z1004" s="16" t="s">
        <v>935</v>
      </c>
      <c r="DA1004" s="405" t="s">
        <v>5</v>
      </c>
      <c r="DB1004" s="405" t="s">
        <v>363</v>
      </c>
      <c r="DC1004" s="406" t="s">
        <v>85</v>
      </c>
      <c r="DD1004" s="405" t="s">
        <v>917</v>
      </c>
      <c r="DE1004" s="405" t="s">
        <v>5</v>
      </c>
      <c r="DF1004" s="406" t="s">
        <v>85</v>
      </c>
      <c r="DG1004" s="407">
        <v>45859</v>
      </c>
      <c r="DH1004" s="405" t="s">
        <v>4229</v>
      </c>
      <c r="DI1004" s="406">
        <v>465455</v>
      </c>
      <c r="DJ1004" s="408">
        <v>5</v>
      </c>
      <c r="DK1004" s="405">
        <v>1</v>
      </c>
      <c r="DL1004" s="82">
        <v>340.55</v>
      </c>
      <c r="DM1004" s="409">
        <v>1.70275</v>
      </c>
      <c r="DN1004" s="82" t="s">
        <v>85</v>
      </c>
      <c r="DO1004" s="82" t="s">
        <v>85</v>
      </c>
      <c r="DP1004" s="410" t="s">
        <v>85</v>
      </c>
    </row>
    <row r="1005" spans="1:120" x14ac:dyDescent="0.25">
      <c r="A1005" s="16" t="s">
        <v>4233</v>
      </c>
      <c r="B1005" s="16" t="s">
        <v>4234</v>
      </c>
      <c r="C1005" s="16" t="s">
        <v>4235</v>
      </c>
      <c r="D1005" s="16" t="s">
        <v>3740</v>
      </c>
      <c r="E1005" s="16" t="s">
        <v>4236</v>
      </c>
      <c r="F1005" s="16" t="s">
        <v>4237</v>
      </c>
      <c r="G1005" s="16" t="s">
        <v>4238</v>
      </c>
      <c r="H1005" s="16" t="s">
        <v>4237</v>
      </c>
      <c r="I1005" s="16" t="s">
        <v>1090</v>
      </c>
      <c r="J1005" s="16" t="s">
        <v>943</v>
      </c>
      <c r="K1005" s="16" t="s">
        <v>1091</v>
      </c>
      <c r="L1005" s="16" t="s">
        <v>85</v>
      </c>
      <c r="M1005" s="16" t="s">
        <v>984</v>
      </c>
      <c r="N1005" s="16" t="s">
        <v>914</v>
      </c>
      <c r="O1005" s="16" t="s">
        <v>985</v>
      </c>
      <c r="P1005" s="16" t="s">
        <v>914</v>
      </c>
      <c r="Q1005" s="16" t="s">
        <v>985</v>
      </c>
      <c r="R1005" s="16" t="s">
        <v>915</v>
      </c>
      <c r="S1005" s="16" t="s">
        <v>915</v>
      </c>
      <c r="T1005" s="16" t="s">
        <v>986</v>
      </c>
      <c r="U1005" s="16" t="s">
        <v>987</v>
      </c>
      <c r="V1005" s="16" t="s">
        <v>916</v>
      </c>
      <c r="W1005" s="16" t="s">
        <v>987</v>
      </c>
      <c r="X1005" s="16" t="s">
        <v>934</v>
      </c>
      <c r="Y1005" s="16" t="s">
        <v>934</v>
      </c>
      <c r="Z1005" s="16" t="s">
        <v>935</v>
      </c>
      <c r="DA1005" s="405" t="s">
        <v>5</v>
      </c>
      <c r="DB1005" s="405" t="s">
        <v>363</v>
      </c>
      <c r="DC1005" s="406" t="s">
        <v>85</v>
      </c>
      <c r="DD1005" s="405" t="s">
        <v>917</v>
      </c>
      <c r="DE1005" s="405" t="s">
        <v>5</v>
      </c>
      <c r="DF1005" s="406" t="s">
        <v>85</v>
      </c>
      <c r="DG1005" s="407">
        <v>45859</v>
      </c>
      <c r="DH1005" s="405" t="s">
        <v>4236</v>
      </c>
      <c r="DI1005" s="406">
        <v>465455</v>
      </c>
      <c r="DJ1005" s="408">
        <v>5</v>
      </c>
      <c r="DK1005" s="405">
        <v>1</v>
      </c>
      <c r="DL1005" s="82">
        <v>340.55</v>
      </c>
      <c r="DM1005" s="409">
        <v>1.70275</v>
      </c>
      <c r="DN1005" s="82" t="s">
        <v>85</v>
      </c>
      <c r="DO1005" s="82" t="s">
        <v>85</v>
      </c>
      <c r="DP1005" s="410" t="s">
        <v>85</v>
      </c>
    </row>
    <row r="1006" spans="1:120" x14ac:dyDescent="0.25">
      <c r="A1006" s="16" t="s">
        <v>4239</v>
      </c>
      <c r="B1006" s="16" t="s">
        <v>4240</v>
      </c>
      <c r="C1006" s="16" t="s">
        <v>4241</v>
      </c>
      <c r="D1006" s="16" t="s">
        <v>3740</v>
      </c>
      <c r="E1006" s="16" t="s">
        <v>4242</v>
      </c>
      <c r="F1006" s="16" t="s">
        <v>4243</v>
      </c>
      <c r="G1006" s="16" t="s">
        <v>4244</v>
      </c>
      <c r="H1006" s="16" t="s">
        <v>4245</v>
      </c>
      <c r="I1006" s="16" t="s">
        <v>1880</v>
      </c>
      <c r="J1006" s="16" t="s">
        <v>928</v>
      </c>
      <c r="K1006" s="16" t="s">
        <v>1881</v>
      </c>
      <c r="L1006" s="16" t="s">
        <v>85</v>
      </c>
      <c r="M1006" s="16" t="s">
        <v>1322</v>
      </c>
      <c r="N1006" s="16" t="s">
        <v>914</v>
      </c>
      <c r="O1006" s="16" t="s">
        <v>1323</v>
      </c>
      <c r="P1006" s="16" t="s">
        <v>914</v>
      </c>
      <c r="Q1006" s="16" t="s">
        <v>1323</v>
      </c>
      <c r="R1006" s="16" t="s">
        <v>915</v>
      </c>
      <c r="S1006" s="16" t="s">
        <v>915</v>
      </c>
      <c r="T1006" s="16" t="s">
        <v>1322</v>
      </c>
      <c r="U1006" s="16" t="s">
        <v>1324</v>
      </c>
      <c r="V1006" s="16" t="s">
        <v>916</v>
      </c>
      <c r="W1006" s="16" t="s">
        <v>1324</v>
      </c>
      <c r="X1006" s="16" t="s">
        <v>934</v>
      </c>
      <c r="Y1006" s="16" t="s">
        <v>934</v>
      </c>
      <c r="Z1006" s="16" t="s">
        <v>935</v>
      </c>
      <c r="DA1006" s="405" t="s">
        <v>5</v>
      </c>
      <c r="DB1006" s="405" t="s">
        <v>363</v>
      </c>
      <c r="DC1006" s="406" t="s">
        <v>85</v>
      </c>
      <c r="DD1006" s="405" t="s">
        <v>917</v>
      </c>
      <c r="DE1006" s="405" t="s">
        <v>5</v>
      </c>
      <c r="DF1006" s="406" t="s">
        <v>85</v>
      </c>
      <c r="DG1006" s="407">
        <v>45859</v>
      </c>
      <c r="DH1006" s="405" t="s">
        <v>4242</v>
      </c>
      <c r="DI1006" s="406">
        <v>465455</v>
      </c>
      <c r="DJ1006" s="408">
        <v>5</v>
      </c>
      <c r="DK1006" s="405">
        <v>1</v>
      </c>
      <c r="DL1006" s="82">
        <v>332.47</v>
      </c>
      <c r="DM1006" s="409">
        <v>1.6623500000000002</v>
      </c>
      <c r="DN1006" s="82" t="s">
        <v>85</v>
      </c>
      <c r="DO1006" s="82" t="s">
        <v>85</v>
      </c>
      <c r="DP1006" s="410" t="s">
        <v>85</v>
      </c>
    </row>
    <row r="1007" spans="1:120" x14ac:dyDescent="0.25">
      <c r="A1007" s="16" t="s">
        <v>4246</v>
      </c>
      <c r="B1007" s="16" t="s">
        <v>4247</v>
      </c>
      <c r="C1007" s="16" t="s">
        <v>4248</v>
      </c>
      <c r="D1007" s="16" t="s">
        <v>3740</v>
      </c>
      <c r="E1007" s="16" t="s">
        <v>4249</v>
      </c>
      <c r="F1007" s="16" t="s">
        <v>4250</v>
      </c>
      <c r="G1007" s="16" t="s">
        <v>4251</v>
      </c>
      <c r="H1007" s="16" t="s">
        <v>4252</v>
      </c>
      <c r="I1007" s="16" t="s">
        <v>4041</v>
      </c>
      <c r="J1007" s="16" t="s">
        <v>1123</v>
      </c>
      <c r="K1007" s="16" t="s">
        <v>4042</v>
      </c>
      <c r="L1007" s="16" t="s">
        <v>85</v>
      </c>
      <c r="M1007" s="16" t="s">
        <v>1238</v>
      </c>
      <c r="N1007" s="16" t="s">
        <v>914</v>
      </c>
      <c r="O1007" s="16" t="s">
        <v>1239</v>
      </c>
      <c r="P1007" s="16" t="s">
        <v>914</v>
      </c>
      <c r="Q1007" s="16" t="s">
        <v>1239</v>
      </c>
      <c r="R1007" s="16" t="s">
        <v>915</v>
      </c>
      <c r="S1007" s="16" t="s">
        <v>915</v>
      </c>
      <c r="T1007" s="16" t="s">
        <v>1238</v>
      </c>
      <c r="U1007" s="16" t="s">
        <v>1240</v>
      </c>
      <c r="V1007" s="16" t="s">
        <v>916</v>
      </c>
      <c r="W1007" s="16" t="s">
        <v>1240</v>
      </c>
      <c r="X1007" s="16" t="s">
        <v>934</v>
      </c>
      <c r="Y1007" s="16" t="s">
        <v>934</v>
      </c>
      <c r="Z1007" s="16" t="s">
        <v>935</v>
      </c>
      <c r="DA1007" s="405" t="s">
        <v>5</v>
      </c>
      <c r="DB1007" s="405" t="s">
        <v>363</v>
      </c>
      <c r="DC1007" s="406" t="s">
        <v>85</v>
      </c>
      <c r="DD1007" s="405" t="s">
        <v>917</v>
      </c>
      <c r="DE1007" s="405" t="s">
        <v>5</v>
      </c>
      <c r="DF1007" s="406" t="s">
        <v>85</v>
      </c>
      <c r="DG1007" s="407">
        <v>45859</v>
      </c>
      <c r="DH1007" s="405" t="s">
        <v>4249</v>
      </c>
      <c r="DI1007" s="406">
        <v>465455</v>
      </c>
      <c r="DJ1007" s="408">
        <v>5</v>
      </c>
      <c r="DK1007" s="405">
        <v>1</v>
      </c>
      <c r="DL1007" s="82">
        <v>383.16</v>
      </c>
      <c r="DM1007" s="409">
        <v>1.9158000000000002</v>
      </c>
      <c r="DN1007" s="82" t="s">
        <v>85</v>
      </c>
      <c r="DO1007" s="82" t="s">
        <v>85</v>
      </c>
      <c r="DP1007" s="410" t="s">
        <v>85</v>
      </c>
    </row>
    <row r="1008" spans="1:120" x14ac:dyDescent="0.25">
      <c r="A1008" s="16" t="s">
        <v>4253</v>
      </c>
      <c r="B1008" s="16" t="s">
        <v>4254</v>
      </c>
      <c r="C1008" s="16" t="s">
        <v>4255</v>
      </c>
      <c r="D1008" s="16" t="s">
        <v>3740</v>
      </c>
      <c r="E1008" s="16" t="s">
        <v>4256</v>
      </c>
      <c r="F1008" s="16" t="s">
        <v>4257</v>
      </c>
      <c r="G1008" s="16" t="s">
        <v>4258</v>
      </c>
      <c r="H1008" s="16" t="s">
        <v>4259</v>
      </c>
      <c r="I1008" s="16" t="s">
        <v>1638</v>
      </c>
      <c r="J1008" s="16" t="s">
        <v>943</v>
      </c>
      <c r="K1008" s="16" t="s">
        <v>1639</v>
      </c>
      <c r="L1008" s="16" t="s">
        <v>85</v>
      </c>
      <c r="M1008" s="16" t="s">
        <v>984</v>
      </c>
      <c r="N1008" s="16" t="s">
        <v>914</v>
      </c>
      <c r="O1008" s="16" t="s">
        <v>985</v>
      </c>
      <c r="P1008" s="16" t="s">
        <v>914</v>
      </c>
      <c r="Q1008" s="16" t="s">
        <v>985</v>
      </c>
      <c r="R1008" s="16" t="s">
        <v>915</v>
      </c>
      <c r="S1008" s="16" t="s">
        <v>915</v>
      </c>
      <c r="T1008" s="16" t="s">
        <v>986</v>
      </c>
      <c r="U1008" s="16" t="s">
        <v>987</v>
      </c>
      <c r="V1008" s="16" t="s">
        <v>916</v>
      </c>
      <c r="W1008" s="16" t="s">
        <v>987</v>
      </c>
      <c r="X1008" s="16" t="s">
        <v>934</v>
      </c>
      <c r="Y1008" s="16" t="s">
        <v>934</v>
      </c>
      <c r="Z1008" s="16" t="s">
        <v>935</v>
      </c>
      <c r="DA1008" s="405" t="s">
        <v>5</v>
      </c>
      <c r="DB1008" s="405" t="s">
        <v>363</v>
      </c>
      <c r="DC1008" s="406" t="s">
        <v>85</v>
      </c>
      <c r="DD1008" s="405" t="s">
        <v>917</v>
      </c>
      <c r="DE1008" s="405" t="s">
        <v>5</v>
      </c>
      <c r="DF1008" s="406" t="s">
        <v>85</v>
      </c>
      <c r="DG1008" s="407">
        <v>45859</v>
      </c>
      <c r="DH1008" s="405" t="s">
        <v>4256</v>
      </c>
      <c r="DI1008" s="406">
        <v>465455</v>
      </c>
      <c r="DJ1008" s="408">
        <v>5</v>
      </c>
      <c r="DK1008" s="405">
        <v>1</v>
      </c>
      <c r="DL1008" s="82">
        <v>340.55</v>
      </c>
      <c r="DM1008" s="409">
        <v>1.70275</v>
      </c>
      <c r="DN1008" s="82" t="s">
        <v>85</v>
      </c>
      <c r="DO1008" s="82" t="s">
        <v>85</v>
      </c>
      <c r="DP1008" s="410" t="s">
        <v>85</v>
      </c>
    </row>
    <row r="1009" spans="1:120" x14ac:dyDescent="0.25">
      <c r="A1009" s="16" t="s">
        <v>4260</v>
      </c>
      <c r="B1009" s="16" t="s">
        <v>4261</v>
      </c>
      <c r="C1009" s="16" t="s">
        <v>4262</v>
      </c>
      <c r="D1009" s="16" t="s">
        <v>3740</v>
      </c>
      <c r="E1009" s="16" t="s">
        <v>4263</v>
      </c>
      <c r="F1009" s="16" t="s">
        <v>4264</v>
      </c>
      <c r="G1009" s="16" t="s">
        <v>4265</v>
      </c>
      <c r="H1009" s="16" t="s">
        <v>4257</v>
      </c>
      <c r="I1009" s="16" t="s">
        <v>1620</v>
      </c>
      <c r="J1009" s="16" t="s">
        <v>943</v>
      </c>
      <c r="K1009" s="16" t="s">
        <v>1621</v>
      </c>
      <c r="L1009" s="16" t="s">
        <v>85</v>
      </c>
      <c r="M1009" s="16" t="s">
        <v>984</v>
      </c>
      <c r="N1009" s="16" t="s">
        <v>914</v>
      </c>
      <c r="O1009" s="16" t="s">
        <v>985</v>
      </c>
      <c r="P1009" s="16" t="s">
        <v>914</v>
      </c>
      <c r="Q1009" s="16" t="s">
        <v>985</v>
      </c>
      <c r="R1009" s="16" t="s">
        <v>915</v>
      </c>
      <c r="S1009" s="16" t="s">
        <v>915</v>
      </c>
      <c r="T1009" s="16" t="s">
        <v>986</v>
      </c>
      <c r="U1009" s="16" t="s">
        <v>987</v>
      </c>
      <c r="V1009" s="16" t="s">
        <v>916</v>
      </c>
      <c r="W1009" s="16" t="s">
        <v>987</v>
      </c>
      <c r="X1009" s="16" t="s">
        <v>934</v>
      </c>
      <c r="Y1009" s="16" t="s">
        <v>934</v>
      </c>
      <c r="Z1009" s="16" t="s">
        <v>935</v>
      </c>
      <c r="DA1009" s="405" t="s">
        <v>5</v>
      </c>
      <c r="DB1009" s="405" t="s">
        <v>363</v>
      </c>
      <c r="DC1009" s="406" t="s">
        <v>85</v>
      </c>
      <c r="DD1009" s="405" t="s">
        <v>917</v>
      </c>
      <c r="DE1009" s="405" t="s">
        <v>5</v>
      </c>
      <c r="DF1009" s="406" t="s">
        <v>85</v>
      </c>
      <c r="DG1009" s="407">
        <v>45859</v>
      </c>
      <c r="DH1009" s="405" t="s">
        <v>4263</v>
      </c>
      <c r="DI1009" s="406">
        <v>465455</v>
      </c>
      <c r="DJ1009" s="408">
        <v>5</v>
      </c>
      <c r="DK1009" s="405">
        <v>1</v>
      </c>
      <c r="DL1009" s="82">
        <v>340.55</v>
      </c>
      <c r="DM1009" s="409">
        <v>1.70275</v>
      </c>
      <c r="DN1009" s="82" t="s">
        <v>85</v>
      </c>
      <c r="DO1009" s="82" t="s">
        <v>85</v>
      </c>
      <c r="DP1009" s="410" t="s">
        <v>85</v>
      </c>
    </row>
    <row r="1010" spans="1:120" x14ac:dyDescent="0.25">
      <c r="A1010" s="16" t="s">
        <v>4266</v>
      </c>
      <c r="B1010" s="16" t="s">
        <v>4267</v>
      </c>
      <c r="C1010" s="16" t="s">
        <v>4268</v>
      </c>
      <c r="D1010" s="16" t="s">
        <v>3740</v>
      </c>
      <c r="E1010" s="16" t="s">
        <v>4269</v>
      </c>
      <c r="F1010" s="16" t="s">
        <v>4270</v>
      </c>
      <c r="G1010" s="16" t="s">
        <v>4271</v>
      </c>
      <c r="H1010" s="16" t="s">
        <v>4272</v>
      </c>
      <c r="I1010" s="16" t="s">
        <v>4273</v>
      </c>
      <c r="J1010" s="16" t="s">
        <v>943</v>
      </c>
      <c r="K1010" s="16" t="s">
        <v>4274</v>
      </c>
      <c r="L1010" s="16" t="s">
        <v>85</v>
      </c>
      <c r="M1010" s="16" t="s">
        <v>984</v>
      </c>
      <c r="N1010" s="16" t="s">
        <v>914</v>
      </c>
      <c r="O1010" s="16" t="s">
        <v>985</v>
      </c>
      <c r="P1010" s="16" t="s">
        <v>914</v>
      </c>
      <c r="Q1010" s="16" t="s">
        <v>985</v>
      </c>
      <c r="R1010" s="16" t="s">
        <v>915</v>
      </c>
      <c r="S1010" s="16" t="s">
        <v>915</v>
      </c>
      <c r="T1010" s="16" t="s">
        <v>986</v>
      </c>
      <c r="U1010" s="16" t="s">
        <v>987</v>
      </c>
      <c r="V1010" s="16" t="s">
        <v>916</v>
      </c>
      <c r="W1010" s="16" t="s">
        <v>987</v>
      </c>
      <c r="X1010" s="16" t="s">
        <v>934</v>
      </c>
      <c r="Y1010" s="16" t="s">
        <v>934</v>
      </c>
      <c r="Z1010" s="16" t="s">
        <v>935</v>
      </c>
      <c r="DA1010" s="405" t="s">
        <v>5</v>
      </c>
      <c r="DB1010" s="405" t="s">
        <v>363</v>
      </c>
      <c r="DC1010" s="406" t="s">
        <v>85</v>
      </c>
      <c r="DD1010" s="405" t="s">
        <v>917</v>
      </c>
      <c r="DE1010" s="405" t="s">
        <v>5</v>
      </c>
      <c r="DF1010" s="406" t="s">
        <v>85</v>
      </c>
      <c r="DG1010" s="407">
        <v>45859</v>
      </c>
      <c r="DH1010" s="405" t="s">
        <v>4269</v>
      </c>
      <c r="DI1010" s="406">
        <v>465455</v>
      </c>
      <c r="DJ1010" s="408">
        <v>5</v>
      </c>
      <c r="DK1010" s="405">
        <v>1</v>
      </c>
      <c r="DL1010" s="82">
        <v>340.55</v>
      </c>
      <c r="DM1010" s="409">
        <v>1.70275</v>
      </c>
      <c r="DN1010" s="82" t="s">
        <v>85</v>
      </c>
      <c r="DO1010" s="82" t="s">
        <v>85</v>
      </c>
      <c r="DP1010" s="410" t="s">
        <v>85</v>
      </c>
    </row>
    <row r="1011" spans="1:120" x14ac:dyDescent="0.25">
      <c r="A1011" s="16" t="s">
        <v>3523</v>
      </c>
      <c r="B1011" s="16" t="s">
        <v>3524</v>
      </c>
      <c r="C1011" s="16" t="s">
        <v>3525</v>
      </c>
      <c r="D1011" s="16" t="s">
        <v>3518</v>
      </c>
      <c r="E1011" s="16" t="s">
        <v>3526</v>
      </c>
      <c r="F1011" s="16" t="s">
        <v>3527</v>
      </c>
      <c r="G1011" s="16" t="s">
        <v>3528</v>
      </c>
      <c r="H1011" s="16" t="s">
        <v>3529</v>
      </c>
      <c r="I1011" s="16" t="s">
        <v>968</v>
      </c>
      <c r="J1011" s="16" t="s">
        <v>943</v>
      </c>
      <c r="K1011" s="16" t="s">
        <v>969</v>
      </c>
      <c r="L1011" s="16" t="s">
        <v>85</v>
      </c>
      <c r="M1011" s="16" t="s">
        <v>984</v>
      </c>
      <c r="N1011" s="16" t="s">
        <v>914</v>
      </c>
      <c r="O1011" s="16" t="s">
        <v>985</v>
      </c>
      <c r="P1011" s="16" t="s">
        <v>914</v>
      </c>
      <c r="Q1011" s="16" t="s">
        <v>985</v>
      </c>
      <c r="R1011" s="16" t="s">
        <v>915</v>
      </c>
      <c r="S1011" s="16" t="s">
        <v>915</v>
      </c>
      <c r="T1011" s="16" t="s">
        <v>986</v>
      </c>
      <c r="U1011" s="16" t="s">
        <v>987</v>
      </c>
      <c r="V1011" s="16" t="s">
        <v>916</v>
      </c>
      <c r="W1011" s="16" t="s">
        <v>987</v>
      </c>
      <c r="X1011" s="16" t="s">
        <v>934</v>
      </c>
      <c r="Y1011" s="16" t="s">
        <v>934</v>
      </c>
      <c r="Z1011" s="16" t="s">
        <v>935</v>
      </c>
      <c r="DA1011" s="405" t="s">
        <v>5</v>
      </c>
      <c r="DB1011" s="405" t="s">
        <v>363</v>
      </c>
      <c r="DC1011" s="406" t="s">
        <v>85</v>
      </c>
      <c r="DD1011" s="405" t="s">
        <v>917</v>
      </c>
      <c r="DE1011" s="405" t="s">
        <v>5</v>
      </c>
      <c r="DF1011" s="406" t="s">
        <v>85</v>
      </c>
      <c r="DG1011" s="407">
        <v>45860</v>
      </c>
      <c r="DH1011" s="405" t="s">
        <v>3526</v>
      </c>
      <c r="DI1011" s="406">
        <v>465455</v>
      </c>
      <c r="DJ1011" s="408">
        <v>5</v>
      </c>
      <c r="DK1011" s="405">
        <v>1</v>
      </c>
      <c r="DL1011" s="82">
        <v>340.55</v>
      </c>
      <c r="DM1011" s="409">
        <v>1.70275</v>
      </c>
      <c r="DN1011" s="82" t="s">
        <v>85</v>
      </c>
      <c r="DO1011" s="82" t="s">
        <v>85</v>
      </c>
      <c r="DP1011" s="410" t="s">
        <v>85</v>
      </c>
    </row>
    <row r="1012" spans="1:120" x14ac:dyDescent="0.25">
      <c r="A1012" s="16" t="s">
        <v>3530</v>
      </c>
      <c r="B1012" s="16" t="s">
        <v>3531</v>
      </c>
      <c r="C1012" s="16" t="s">
        <v>3532</v>
      </c>
      <c r="D1012" s="16" t="s">
        <v>3518</v>
      </c>
      <c r="E1012" s="16" t="s">
        <v>3533</v>
      </c>
      <c r="F1012" s="16" t="s">
        <v>3534</v>
      </c>
      <c r="G1012" s="16" t="s">
        <v>3535</v>
      </c>
      <c r="H1012" s="16" t="s">
        <v>3536</v>
      </c>
      <c r="I1012" s="16" t="s">
        <v>2599</v>
      </c>
      <c r="J1012" s="16" t="s">
        <v>2600</v>
      </c>
      <c r="K1012" s="16" t="s">
        <v>2601</v>
      </c>
      <c r="L1012" s="16" t="s">
        <v>85</v>
      </c>
      <c r="M1012" s="16" t="s">
        <v>1955</v>
      </c>
      <c r="N1012" s="16" t="s">
        <v>914</v>
      </c>
      <c r="O1012" s="16" t="s">
        <v>1039</v>
      </c>
      <c r="P1012" s="16" t="s">
        <v>914</v>
      </c>
      <c r="Q1012" s="16" t="s">
        <v>1039</v>
      </c>
      <c r="R1012" s="16" t="s">
        <v>915</v>
      </c>
      <c r="S1012" s="16" t="s">
        <v>915</v>
      </c>
      <c r="T1012" s="16" t="s">
        <v>1955</v>
      </c>
      <c r="U1012" s="16" t="s">
        <v>1956</v>
      </c>
      <c r="V1012" s="16" t="s">
        <v>916</v>
      </c>
      <c r="W1012" s="16" t="s">
        <v>1956</v>
      </c>
      <c r="X1012" s="16" t="s">
        <v>934</v>
      </c>
      <c r="Y1012" s="16" t="s">
        <v>934</v>
      </c>
      <c r="Z1012" s="16" t="s">
        <v>935</v>
      </c>
      <c r="DA1012" s="405" t="s">
        <v>5</v>
      </c>
      <c r="DB1012" s="405" t="s">
        <v>363</v>
      </c>
      <c r="DC1012" s="406" t="s">
        <v>85</v>
      </c>
      <c r="DD1012" s="405" t="s">
        <v>917</v>
      </c>
      <c r="DE1012" s="405" t="s">
        <v>5</v>
      </c>
      <c r="DF1012" s="406" t="s">
        <v>85</v>
      </c>
      <c r="DG1012" s="407">
        <v>45860</v>
      </c>
      <c r="DH1012" s="405" t="s">
        <v>3533</v>
      </c>
      <c r="DI1012" s="406">
        <v>465455</v>
      </c>
      <c r="DJ1012" s="408">
        <v>5</v>
      </c>
      <c r="DK1012" s="405">
        <v>1</v>
      </c>
      <c r="DL1012" s="82">
        <v>311.2</v>
      </c>
      <c r="DM1012" s="409">
        <v>1.556</v>
      </c>
      <c r="DN1012" s="82" t="s">
        <v>85</v>
      </c>
      <c r="DO1012" s="82" t="s">
        <v>85</v>
      </c>
      <c r="DP1012" s="410" t="s">
        <v>85</v>
      </c>
    </row>
    <row r="1013" spans="1:120" x14ac:dyDescent="0.25">
      <c r="A1013" s="16" t="s">
        <v>3537</v>
      </c>
      <c r="B1013" s="16" t="s">
        <v>3538</v>
      </c>
      <c r="C1013" s="16" t="s">
        <v>3539</v>
      </c>
      <c r="D1013" s="16" t="s">
        <v>3518</v>
      </c>
      <c r="E1013" s="16" t="s">
        <v>3540</v>
      </c>
      <c r="F1013" s="16" t="s">
        <v>3541</v>
      </c>
      <c r="G1013" s="16" t="s">
        <v>3542</v>
      </c>
      <c r="H1013" s="16" t="s">
        <v>3541</v>
      </c>
      <c r="I1013" s="16" t="s">
        <v>3543</v>
      </c>
      <c r="J1013" s="16" t="s">
        <v>943</v>
      </c>
      <c r="K1013" s="16" t="s">
        <v>3544</v>
      </c>
      <c r="L1013" s="16" t="s">
        <v>85</v>
      </c>
      <c r="M1013" s="16" t="s">
        <v>984</v>
      </c>
      <c r="N1013" s="16" t="s">
        <v>914</v>
      </c>
      <c r="O1013" s="16" t="s">
        <v>985</v>
      </c>
      <c r="P1013" s="16" t="s">
        <v>914</v>
      </c>
      <c r="Q1013" s="16" t="s">
        <v>985</v>
      </c>
      <c r="R1013" s="16" t="s">
        <v>915</v>
      </c>
      <c r="S1013" s="16" t="s">
        <v>915</v>
      </c>
      <c r="T1013" s="16" t="s">
        <v>986</v>
      </c>
      <c r="U1013" s="16" t="s">
        <v>987</v>
      </c>
      <c r="V1013" s="16" t="s">
        <v>916</v>
      </c>
      <c r="W1013" s="16" t="s">
        <v>987</v>
      </c>
      <c r="X1013" s="16" t="s">
        <v>934</v>
      </c>
      <c r="Y1013" s="16" t="s">
        <v>934</v>
      </c>
      <c r="Z1013" s="16" t="s">
        <v>935</v>
      </c>
      <c r="DA1013" s="405" t="s">
        <v>5</v>
      </c>
      <c r="DB1013" s="405" t="s">
        <v>363</v>
      </c>
      <c r="DC1013" s="406" t="s">
        <v>85</v>
      </c>
      <c r="DD1013" s="405" t="s">
        <v>917</v>
      </c>
      <c r="DE1013" s="405" t="s">
        <v>5</v>
      </c>
      <c r="DF1013" s="406" t="s">
        <v>85</v>
      </c>
      <c r="DG1013" s="407">
        <v>45860</v>
      </c>
      <c r="DH1013" s="405" t="s">
        <v>3540</v>
      </c>
      <c r="DI1013" s="406">
        <v>465455</v>
      </c>
      <c r="DJ1013" s="408">
        <v>5</v>
      </c>
      <c r="DK1013" s="405">
        <v>1</v>
      </c>
      <c r="DL1013" s="82">
        <v>340.55</v>
      </c>
      <c r="DM1013" s="409">
        <v>1.70275</v>
      </c>
      <c r="DN1013" s="82" t="s">
        <v>85</v>
      </c>
      <c r="DO1013" s="82" t="s">
        <v>85</v>
      </c>
      <c r="DP1013" s="410" t="s">
        <v>85</v>
      </c>
    </row>
    <row r="1014" spans="1:120" x14ac:dyDescent="0.25">
      <c r="A1014" s="16" t="s">
        <v>3537</v>
      </c>
      <c r="B1014" s="16" t="s">
        <v>3538</v>
      </c>
      <c r="C1014" s="16" t="s">
        <v>3539</v>
      </c>
      <c r="D1014" s="16" t="s">
        <v>3518</v>
      </c>
      <c r="E1014" s="16" t="s">
        <v>3540</v>
      </c>
      <c r="F1014" s="16" t="s">
        <v>3541</v>
      </c>
      <c r="G1014" s="16" t="s">
        <v>3542</v>
      </c>
      <c r="H1014" s="16" t="s">
        <v>3541</v>
      </c>
      <c r="I1014" s="16" t="s">
        <v>2839</v>
      </c>
      <c r="J1014" s="16" t="s">
        <v>943</v>
      </c>
      <c r="K1014" s="16" t="s">
        <v>2840</v>
      </c>
      <c r="L1014" s="16" t="s">
        <v>85</v>
      </c>
      <c r="M1014" s="16" t="s">
        <v>984</v>
      </c>
      <c r="N1014" s="16" t="s">
        <v>914</v>
      </c>
      <c r="O1014" s="16" t="s">
        <v>985</v>
      </c>
      <c r="P1014" s="16" t="s">
        <v>914</v>
      </c>
      <c r="Q1014" s="16" t="s">
        <v>985</v>
      </c>
      <c r="R1014" s="16" t="s">
        <v>915</v>
      </c>
      <c r="S1014" s="16" t="s">
        <v>915</v>
      </c>
      <c r="T1014" s="16" t="s">
        <v>986</v>
      </c>
      <c r="U1014" s="16" t="s">
        <v>987</v>
      </c>
      <c r="V1014" s="16" t="s">
        <v>916</v>
      </c>
      <c r="W1014" s="16" t="s">
        <v>987</v>
      </c>
      <c r="X1014" s="16" t="s">
        <v>934</v>
      </c>
      <c r="Y1014" s="16" t="s">
        <v>934</v>
      </c>
      <c r="Z1014" s="16" t="s">
        <v>935</v>
      </c>
      <c r="DA1014" s="405" t="s">
        <v>5</v>
      </c>
      <c r="DB1014" s="405" t="s">
        <v>363</v>
      </c>
      <c r="DC1014" s="406" t="s">
        <v>85</v>
      </c>
      <c r="DD1014" s="405" t="s">
        <v>917</v>
      </c>
      <c r="DE1014" s="405" t="s">
        <v>5</v>
      </c>
      <c r="DF1014" s="406" t="s">
        <v>85</v>
      </c>
      <c r="DG1014" s="407">
        <v>45860</v>
      </c>
      <c r="DH1014" s="405" t="s">
        <v>3540</v>
      </c>
      <c r="DI1014" s="406">
        <v>465455</v>
      </c>
      <c r="DJ1014" s="408">
        <v>5</v>
      </c>
      <c r="DK1014" s="405">
        <v>1</v>
      </c>
      <c r="DL1014" s="82">
        <v>340.55</v>
      </c>
      <c r="DM1014" s="409">
        <v>1.70275</v>
      </c>
      <c r="DN1014" s="82" t="s">
        <v>85</v>
      </c>
      <c r="DO1014" s="82" t="s">
        <v>85</v>
      </c>
      <c r="DP1014" s="410" t="s">
        <v>85</v>
      </c>
    </row>
    <row r="1015" spans="1:120" x14ac:dyDescent="0.25">
      <c r="A1015" s="16" t="s">
        <v>3545</v>
      </c>
      <c r="B1015" s="16" t="s">
        <v>3546</v>
      </c>
      <c r="C1015" s="16" t="s">
        <v>3547</v>
      </c>
      <c r="D1015" s="16" t="s">
        <v>3518</v>
      </c>
      <c r="E1015" s="16" t="s">
        <v>3548</v>
      </c>
      <c r="F1015" s="16" t="s">
        <v>3549</v>
      </c>
      <c r="G1015" s="16" t="s">
        <v>3550</v>
      </c>
      <c r="H1015" s="16" t="s">
        <v>3551</v>
      </c>
      <c r="I1015" s="16" t="s">
        <v>1368</v>
      </c>
      <c r="J1015" s="16" t="s">
        <v>1123</v>
      </c>
      <c r="K1015" s="16" t="s">
        <v>1369</v>
      </c>
      <c r="L1015" s="16" t="s">
        <v>85</v>
      </c>
      <c r="M1015" s="16" t="s">
        <v>1238</v>
      </c>
      <c r="N1015" s="16" t="s">
        <v>914</v>
      </c>
      <c r="O1015" s="16" t="s">
        <v>1239</v>
      </c>
      <c r="P1015" s="16" t="s">
        <v>914</v>
      </c>
      <c r="Q1015" s="16" t="s">
        <v>1239</v>
      </c>
      <c r="R1015" s="16" t="s">
        <v>915</v>
      </c>
      <c r="S1015" s="16" t="s">
        <v>915</v>
      </c>
      <c r="T1015" s="16" t="s">
        <v>1238</v>
      </c>
      <c r="U1015" s="16" t="s">
        <v>1240</v>
      </c>
      <c r="V1015" s="16" t="s">
        <v>916</v>
      </c>
      <c r="W1015" s="16" t="s">
        <v>1240</v>
      </c>
      <c r="X1015" s="16" t="s">
        <v>934</v>
      </c>
      <c r="Y1015" s="16" t="s">
        <v>934</v>
      </c>
      <c r="Z1015" s="16" t="s">
        <v>935</v>
      </c>
      <c r="DA1015" s="405" t="s">
        <v>5</v>
      </c>
      <c r="DB1015" s="405" t="s">
        <v>363</v>
      </c>
      <c r="DC1015" s="406" t="s">
        <v>85</v>
      </c>
      <c r="DD1015" s="405" t="s">
        <v>917</v>
      </c>
      <c r="DE1015" s="405" t="s">
        <v>5</v>
      </c>
      <c r="DF1015" s="406" t="s">
        <v>85</v>
      </c>
      <c r="DG1015" s="407">
        <v>45860</v>
      </c>
      <c r="DH1015" s="405" t="s">
        <v>3548</v>
      </c>
      <c r="DI1015" s="406">
        <v>465455</v>
      </c>
      <c r="DJ1015" s="408">
        <v>5</v>
      </c>
      <c r="DK1015" s="405">
        <v>1</v>
      </c>
      <c r="DL1015" s="82">
        <v>383.16</v>
      </c>
      <c r="DM1015" s="409">
        <v>1.9158000000000002</v>
      </c>
      <c r="DN1015" s="82" t="s">
        <v>85</v>
      </c>
      <c r="DO1015" s="82" t="s">
        <v>85</v>
      </c>
      <c r="DP1015" s="410" t="s">
        <v>85</v>
      </c>
    </row>
    <row r="1016" spans="1:120" x14ac:dyDescent="0.25">
      <c r="A1016" s="16" t="s">
        <v>3552</v>
      </c>
      <c r="B1016" s="16" t="s">
        <v>3553</v>
      </c>
      <c r="C1016" s="16" t="s">
        <v>3554</v>
      </c>
      <c r="D1016" s="16" t="s">
        <v>3518</v>
      </c>
      <c r="E1016" s="16" t="s">
        <v>3555</v>
      </c>
      <c r="F1016" s="16" t="s">
        <v>3556</v>
      </c>
      <c r="G1016" s="16" t="s">
        <v>3557</v>
      </c>
      <c r="H1016" s="16" t="s">
        <v>3556</v>
      </c>
      <c r="I1016" s="16" t="s">
        <v>1026</v>
      </c>
      <c r="J1016" s="16" t="s">
        <v>943</v>
      </c>
      <c r="K1016" s="16" t="s">
        <v>1027</v>
      </c>
      <c r="L1016" s="16" t="s">
        <v>85</v>
      </c>
      <c r="M1016" s="16" t="s">
        <v>984</v>
      </c>
      <c r="N1016" s="16" t="s">
        <v>914</v>
      </c>
      <c r="O1016" s="16" t="s">
        <v>985</v>
      </c>
      <c r="P1016" s="16" t="s">
        <v>914</v>
      </c>
      <c r="Q1016" s="16" t="s">
        <v>985</v>
      </c>
      <c r="R1016" s="16" t="s">
        <v>915</v>
      </c>
      <c r="S1016" s="16" t="s">
        <v>915</v>
      </c>
      <c r="T1016" s="16" t="s">
        <v>986</v>
      </c>
      <c r="U1016" s="16" t="s">
        <v>987</v>
      </c>
      <c r="V1016" s="16" t="s">
        <v>916</v>
      </c>
      <c r="W1016" s="16" t="s">
        <v>987</v>
      </c>
      <c r="X1016" s="16" t="s">
        <v>934</v>
      </c>
      <c r="Y1016" s="16" t="s">
        <v>934</v>
      </c>
      <c r="Z1016" s="16" t="s">
        <v>935</v>
      </c>
      <c r="DA1016" s="405" t="s">
        <v>5</v>
      </c>
      <c r="DB1016" s="405" t="s">
        <v>363</v>
      </c>
      <c r="DC1016" s="406" t="s">
        <v>85</v>
      </c>
      <c r="DD1016" s="405" t="s">
        <v>917</v>
      </c>
      <c r="DE1016" s="405" t="s">
        <v>5</v>
      </c>
      <c r="DF1016" s="406" t="s">
        <v>85</v>
      </c>
      <c r="DG1016" s="407">
        <v>45860</v>
      </c>
      <c r="DH1016" s="405" t="s">
        <v>3555</v>
      </c>
      <c r="DI1016" s="406">
        <v>465455</v>
      </c>
      <c r="DJ1016" s="408">
        <v>5</v>
      </c>
      <c r="DK1016" s="405">
        <v>1</v>
      </c>
      <c r="DL1016" s="82">
        <v>340.55</v>
      </c>
      <c r="DM1016" s="409">
        <v>1.70275</v>
      </c>
      <c r="DN1016" s="82" t="s">
        <v>85</v>
      </c>
      <c r="DO1016" s="82" t="s">
        <v>85</v>
      </c>
      <c r="DP1016" s="410" t="s">
        <v>85</v>
      </c>
    </row>
    <row r="1017" spans="1:120" x14ac:dyDescent="0.25">
      <c r="A1017" s="16" t="s">
        <v>3558</v>
      </c>
      <c r="B1017" s="16" t="s">
        <v>3559</v>
      </c>
      <c r="C1017" s="16" t="s">
        <v>3560</v>
      </c>
      <c r="D1017" s="16" t="s">
        <v>3518</v>
      </c>
      <c r="E1017" s="16" t="s">
        <v>3561</v>
      </c>
      <c r="F1017" s="16" t="s">
        <v>3562</v>
      </c>
      <c r="G1017" s="16" t="s">
        <v>3563</v>
      </c>
      <c r="H1017" s="16" t="s">
        <v>3564</v>
      </c>
      <c r="I1017" s="16" t="s">
        <v>1368</v>
      </c>
      <c r="J1017" s="16" t="s">
        <v>1123</v>
      </c>
      <c r="K1017" s="16" t="s">
        <v>1369</v>
      </c>
      <c r="L1017" s="16" t="s">
        <v>85</v>
      </c>
      <c r="M1017" s="16" t="s">
        <v>1238</v>
      </c>
      <c r="N1017" s="16" t="s">
        <v>914</v>
      </c>
      <c r="O1017" s="16" t="s">
        <v>1239</v>
      </c>
      <c r="P1017" s="16" t="s">
        <v>914</v>
      </c>
      <c r="Q1017" s="16" t="s">
        <v>1239</v>
      </c>
      <c r="R1017" s="16" t="s">
        <v>915</v>
      </c>
      <c r="S1017" s="16" t="s">
        <v>915</v>
      </c>
      <c r="T1017" s="16" t="s">
        <v>1238</v>
      </c>
      <c r="U1017" s="16" t="s">
        <v>1240</v>
      </c>
      <c r="V1017" s="16" t="s">
        <v>916</v>
      </c>
      <c r="W1017" s="16" t="s">
        <v>1240</v>
      </c>
      <c r="X1017" s="16" t="s">
        <v>934</v>
      </c>
      <c r="Y1017" s="16" t="s">
        <v>934</v>
      </c>
      <c r="Z1017" s="16" t="s">
        <v>935</v>
      </c>
      <c r="DA1017" s="405" t="s">
        <v>5</v>
      </c>
      <c r="DB1017" s="405" t="s">
        <v>363</v>
      </c>
      <c r="DC1017" s="406" t="s">
        <v>85</v>
      </c>
      <c r="DD1017" s="405" t="s">
        <v>917</v>
      </c>
      <c r="DE1017" s="405" t="s">
        <v>5</v>
      </c>
      <c r="DF1017" s="406" t="s">
        <v>85</v>
      </c>
      <c r="DG1017" s="407">
        <v>45860</v>
      </c>
      <c r="DH1017" s="405" t="s">
        <v>3561</v>
      </c>
      <c r="DI1017" s="406">
        <v>465455</v>
      </c>
      <c r="DJ1017" s="408">
        <v>5</v>
      </c>
      <c r="DK1017" s="405">
        <v>1</v>
      </c>
      <c r="DL1017" s="82">
        <v>383.16</v>
      </c>
      <c r="DM1017" s="409">
        <v>1.9158000000000002</v>
      </c>
      <c r="DN1017" s="82" t="s">
        <v>85</v>
      </c>
      <c r="DO1017" s="82" t="s">
        <v>85</v>
      </c>
      <c r="DP1017" s="410" t="s">
        <v>85</v>
      </c>
    </row>
    <row r="1018" spans="1:120" x14ac:dyDescent="0.25">
      <c r="A1018" s="16" t="s">
        <v>3565</v>
      </c>
      <c r="B1018" s="16" t="s">
        <v>3566</v>
      </c>
      <c r="C1018" s="16" t="s">
        <v>3567</v>
      </c>
      <c r="D1018" s="16" t="s">
        <v>3518</v>
      </c>
      <c r="E1018" s="16" t="s">
        <v>3568</v>
      </c>
      <c r="F1018" s="16" t="s">
        <v>3569</v>
      </c>
      <c r="G1018" s="16" t="s">
        <v>3570</v>
      </c>
      <c r="H1018" s="16" t="s">
        <v>3569</v>
      </c>
      <c r="I1018" s="16" t="s">
        <v>1368</v>
      </c>
      <c r="J1018" s="16" t="s">
        <v>1123</v>
      </c>
      <c r="K1018" s="16" t="s">
        <v>1369</v>
      </c>
      <c r="L1018" s="16" t="s">
        <v>85</v>
      </c>
      <c r="M1018" s="16" t="s">
        <v>1238</v>
      </c>
      <c r="N1018" s="16" t="s">
        <v>914</v>
      </c>
      <c r="O1018" s="16" t="s">
        <v>1239</v>
      </c>
      <c r="P1018" s="16" t="s">
        <v>914</v>
      </c>
      <c r="Q1018" s="16" t="s">
        <v>1239</v>
      </c>
      <c r="R1018" s="16" t="s">
        <v>915</v>
      </c>
      <c r="S1018" s="16" t="s">
        <v>915</v>
      </c>
      <c r="T1018" s="16" t="s">
        <v>1238</v>
      </c>
      <c r="U1018" s="16" t="s">
        <v>1240</v>
      </c>
      <c r="V1018" s="16" t="s">
        <v>916</v>
      </c>
      <c r="W1018" s="16" t="s">
        <v>1240</v>
      </c>
      <c r="X1018" s="16" t="s">
        <v>934</v>
      </c>
      <c r="Y1018" s="16" t="s">
        <v>934</v>
      </c>
      <c r="Z1018" s="16" t="s">
        <v>935</v>
      </c>
      <c r="DA1018" s="405" t="s">
        <v>5</v>
      </c>
      <c r="DB1018" s="405" t="s">
        <v>363</v>
      </c>
      <c r="DC1018" s="406" t="s">
        <v>85</v>
      </c>
      <c r="DD1018" s="405" t="s">
        <v>917</v>
      </c>
      <c r="DE1018" s="405" t="s">
        <v>5</v>
      </c>
      <c r="DF1018" s="406" t="s">
        <v>85</v>
      </c>
      <c r="DG1018" s="407">
        <v>45860</v>
      </c>
      <c r="DH1018" s="405" t="s">
        <v>3568</v>
      </c>
      <c r="DI1018" s="406">
        <v>465455</v>
      </c>
      <c r="DJ1018" s="408">
        <v>5</v>
      </c>
      <c r="DK1018" s="405">
        <v>1</v>
      </c>
      <c r="DL1018" s="82">
        <v>383.16</v>
      </c>
      <c r="DM1018" s="409">
        <v>1.9158000000000002</v>
      </c>
      <c r="DN1018" s="82" t="s">
        <v>85</v>
      </c>
      <c r="DO1018" s="82" t="s">
        <v>85</v>
      </c>
      <c r="DP1018" s="410" t="s">
        <v>85</v>
      </c>
    </row>
    <row r="1019" spans="1:120" x14ac:dyDescent="0.25">
      <c r="A1019" s="16" t="s">
        <v>3571</v>
      </c>
      <c r="B1019" s="16" t="s">
        <v>3572</v>
      </c>
      <c r="C1019" s="16" t="s">
        <v>3573</v>
      </c>
      <c r="D1019" s="16" t="s">
        <v>3518</v>
      </c>
      <c r="E1019" s="16" t="s">
        <v>3574</v>
      </c>
      <c r="F1019" s="16" t="s">
        <v>3575</v>
      </c>
      <c r="G1019" s="16" t="s">
        <v>3576</v>
      </c>
      <c r="H1019" s="16" t="s">
        <v>3577</v>
      </c>
      <c r="I1019" s="16" t="s">
        <v>3578</v>
      </c>
      <c r="J1019" s="16" t="s">
        <v>3579</v>
      </c>
      <c r="K1019" s="16" t="s">
        <v>3580</v>
      </c>
      <c r="L1019" s="16" t="s">
        <v>85</v>
      </c>
      <c r="M1019" s="16" t="s">
        <v>2485</v>
      </c>
      <c r="N1019" s="16" t="s">
        <v>914</v>
      </c>
      <c r="O1019" s="16" t="s">
        <v>1397</v>
      </c>
      <c r="P1019" s="16" t="s">
        <v>914</v>
      </c>
      <c r="Q1019" s="16" t="s">
        <v>1397</v>
      </c>
      <c r="R1019" s="16" t="s">
        <v>915</v>
      </c>
      <c r="S1019" s="16" t="s">
        <v>915</v>
      </c>
      <c r="T1019" s="16" t="s">
        <v>2485</v>
      </c>
      <c r="U1019" s="16" t="s">
        <v>2486</v>
      </c>
      <c r="V1019" s="16" t="s">
        <v>916</v>
      </c>
      <c r="W1019" s="16" t="s">
        <v>2486</v>
      </c>
      <c r="X1019" s="16" t="s">
        <v>934</v>
      </c>
      <c r="Y1019" s="16" t="s">
        <v>934</v>
      </c>
      <c r="Z1019" s="16" t="s">
        <v>935</v>
      </c>
      <c r="DA1019" s="405" t="s">
        <v>5</v>
      </c>
      <c r="DB1019" s="405" t="s">
        <v>363</v>
      </c>
      <c r="DC1019" s="406" t="s">
        <v>85</v>
      </c>
      <c r="DD1019" s="405" t="s">
        <v>917</v>
      </c>
      <c r="DE1019" s="405" t="s">
        <v>5</v>
      </c>
      <c r="DF1019" s="406" t="s">
        <v>85</v>
      </c>
      <c r="DG1019" s="407">
        <v>45860</v>
      </c>
      <c r="DH1019" s="405" t="s">
        <v>3574</v>
      </c>
      <c r="DI1019" s="406">
        <v>465455</v>
      </c>
      <c r="DJ1019" s="408">
        <v>5</v>
      </c>
      <c r="DK1019" s="405">
        <v>1</v>
      </c>
      <c r="DL1019" s="82">
        <v>266.05</v>
      </c>
      <c r="DM1019" s="409">
        <v>1.3302500000000002</v>
      </c>
      <c r="DN1019" s="82" t="s">
        <v>85</v>
      </c>
      <c r="DO1019" s="82" t="s">
        <v>85</v>
      </c>
      <c r="DP1019" s="410" t="s">
        <v>85</v>
      </c>
    </row>
    <row r="1020" spans="1:120" x14ac:dyDescent="0.25">
      <c r="A1020" s="16" t="s">
        <v>3581</v>
      </c>
      <c r="B1020" s="16" t="s">
        <v>3582</v>
      </c>
      <c r="C1020" s="16" t="s">
        <v>3583</v>
      </c>
      <c r="D1020" s="16" t="s">
        <v>3518</v>
      </c>
      <c r="E1020" s="16" t="s">
        <v>3584</v>
      </c>
      <c r="F1020" s="16" t="s">
        <v>3585</v>
      </c>
      <c r="G1020" s="16" t="s">
        <v>3586</v>
      </c>
      <c r="H1020" s="16" t="s">
        <v>3585</v>
      </c>
      <c r="I1020" s="16" t="s">
        <v>3164</v>
      </c>
      <c r="J1020" s="16" t="s">
        <v>995</v>
      </c>
      <c r="K1020" s="16" t="s">
        <v>3165</v>
      </c>
      <c r="L1020" s="16" t="s">
        <v>85</v>
      </c>
      <c r="M1020" s="16" t="s">
        <v>1165</v>
      </c>
      <c r="N1020" s="16" t="s">
        <v>914</v>
      </c>
      <c r="O1020" s="16" t="s">
        <v>1166</v>
      </c>
      <c r="P1020" s="16" t="s">
        <v>914</v>
      </c>
      <c r="Q1020" s="16" t="s">
        <v>1166</v>
      </c>
      <c r="R1020" s="16" t="s">
        <v>915</v>
      </c>
      <c r="S1020" s="16" t="s">
        <v>915</v>
      </c>
      <c r="T1020" s="16" t="s">
        <v>1167</v>
      </c>
      <c r="U1020" s="16" t="s">
        <v>1168</v>
      </c>
      <c r="V1020" s="16" t="s">
        <v>916</v>
      </c>
      <c r="W1020" s="16" t="s">
        <v>1168</v>
      </c>
      <c r="X1020" s="16" t="s">
        <v>934</v>
      </c>
      <c r="Y1020" s="16" t="s">
        <v>934</v>
      </c>
      <c r="Z1020" s="16" t="s">
        <v>935</v>
      </c>
      <c r="DA1020" s="405" t="s">
        <v>5</v>
      </c>
      <c r="DB1020" s="405" t="s">
        <v>363</v>
      </c>
      <c r="DC1020" s="406" t="s">
        <v>85</v>
      </c>
      <c r="DD1020" s="405" t="s">
        <v>917</v>
      </c>
      <c r="DE1020" s="405" t="s">
        <v>5</v>
      </c>
      <c r="DF1020" s="406" t="s">
        <v>85</v>
      </c>
      <c r="DG1020" s="407">
        <v>45860</v>
      </c>
      <c r="DH1020" s="405" t="s">
        <v>3584</v>
      </c>
      <c r="DI1020" s="406">
        <v>465455</v>
      </c>
      <c r="DJ1020" s="408">
        <v>5</v>
      </c>
      <c r="DK1020" s="405">
        <v>1</v>
      </c>
      <c r="DL1020" s="82">
        <v>468.28</v>
      </c>
      <c r="DM1020" s="409">
        <v>2.3413999999999997</v>
      </c>
      <c r="DN1020" s="82" t="s">
        <v>85</v>
      </c>
      <c r="DO1020" s="82" t="s">
        <v>85</v>
      </c>
      <c r="DP1020" s="410" t="s">
        <v>85</v>
      </c>
    </row>
    <row r="1021" spans="1:120" x14ac:dyDescent="0.25">
      <c r="A1021" s="16" t="s">
        <v>3587</v>
      </c>
      <c r="B1021" s="16" t="s">
        <v>3588</v>
      </c>
      <c r="C1021" s="16" t="s">
        <v>3589</v>
      </c>
      <c r="D1021" s="16" t="s">
        <v>3518</v>
      </c>
      <c r="E1021" s="16" t="s">
        <v>3590</v>
      </c>
      <c r="F1021" s="16" t="s">
        <v>3591</v>
      </c>
      <c r="G1021" s="16" t="s">
        <v>3592</v>
      </c>
      <c r="H1021" s="16" t="s">
        <v>3591</v>
      </c>
      <c r="I1021" s="16" t="s">
        <v>1737</v>
      </c>
      <c r="J1021" s="16" t="s">
        <v>1123</v>
      </c>
      <c r="K1021" s="16" t="s">
        <v>1738</v>
      </c>
      <c r="L1021" s="16" t="s">
        <v>85</v>
      </c>
      <c r="M1021" s="16" t="s">
        <v>1238</v>
      </c>
      <c r="N1021" s="16" t="s">
        <v>914</v>
      </c>
      <c r="O1021" s="16" t="s">
        <v>1239</v>
      </c>
      <c r="P1021" s="16" t="s">
        <v>914</v>
      </c>
      <c r="Q1021" s="16" t="s">
        <v>1239</v>
      </c>
      <c r="R1021" s="16" t="s">
        <v>915</v>
      </c>
      <c r="S1021" s="16" t="s">
        <v>915</v>
      </c>
      <c r="T1021" s="16" t="s">
        <v>1238</v>
      </c>
      <c r="U1021" s="16" t="s">
        <v>1240</v>
      </c>
      <c r="V1021" s="16" t="s">
        <v>916</v>
      </c>
      <c r="W1021" s="16" t="s">
        <v>1240</v>
      </c>
      <c r="X1021" s="16" t="s">
        <v>934</v>
      </c>
      <c r="Y1021" s="16" t="s">
        <v>934</v>
      </c>
      <c r="Z1021" s="16" t="s">
        <v>935</v>
      </c>
      <c r="DA1021" s="405" t="s">
        <v>5</v>
      </c>
      <c r="DB1021" s="405" t="s">
        <v>363</v>
      </c>
      <c r="DC1021" s="406" t="s">
        <v>85</v>
      </c>
      <c r="DD1021" s="405" t="s">
        <v>917</v>
      </c>
      <c r="DE1021" s="405" t="s">
        <v>5</v>
      </c>
      <c r="DF1021" s="406" t="s">
        <v>85</v>
      </c>
      <c r="DG1021" s="407">
        <v>45860</v>
      </c>
      <c r="DH1021" s="405" t="s">
        <v>3590</v>
      </c>
      <c r="DI1021" s="406">
        <v>465455</v>
      </c>
      <c r="DJ1021" s="408">
        <v>5</v>
      </c>
      <c r="DK1021" s="405">
        <v>1</v>
      </c>
      <c r="DL1021" s="82">
        <v>383.16</v>
      </c>
      <c r="DM1021" s="409">
        <v>1.9158000000000002</v>
      </c>
      <c r="DN1021" s="82" t="s">
        <v>85</v>
      </c>
      <c r="DO1021" s="82" t="s">
        <v>85</v>
      </c>
      <c r="DP1021" s="410" t="s">
        <v>85</v>
      </c>
    </row>
    <row r="1022" spans="1:120" x14ac:dyDescent="0.25">
      <c r="A1022" s="16" t="s">
        <v>3593</v>
      </c>
      <c r="B1022" s="16" t="s">
        <v>3594</v>
      </c>
      <c r="C1022" s="16" t="s">
        <v>3595</v>
      </c>
      <c r="D1022" s="16" t="s">
        <v>3518</v>
      </c>
      <c r="E1022" s="16" t="s">
        <v>3596</v>
      </c>
      <c r="F1022" s="16" t="s">
        <v>3597</v>
      </c>
      <c r="G1022" s="16" t="s">
        <v>3598</v>
      </c>
      <c r="H1022" s="16" t="s">
        <v>3599</v>
      </c>
      <c r="I1022" s="16" t="s">
        <v>1937</v>
      </c>
      <c r="J1022" s="16" t="s">
        <v>1036</v>
      </c>
      <c r="K1022" s="16" t="s">
        <v>1938</v>
      </c>
      <c r="L1022" s="16" t="s">
        <v>85</v>
      </c>
      <c r="M1022" s="16" t="s">
        <v>1216</v>
      </c>
      <c r="N1022" s="16" t="s">
        <v>914</v>
      </c>
      <c r="O1022" s="16" t="s">
        <v>946</v>
      </c>
      <c r="P1022" s="16" t="s">
        <v>914</v>
      </c>
      <c r="Q1022" s="16" t="s">
        <v>946</v>
      </c>
      <c r="R1022" s="16" t="s">
        <v>915</v>
      </c>
      <c r="S1022" s="16" t="s">
        <v>915</v>
      </c>
      <c r="T1022" s="16" t="s">
        <v>1216</v>
      </c>
      <c r="U1022" s="16" t="s">
        <v>1217</v>
      </c>
      <c r="V1022" s="16" t="s">
        <v>916</v>
      </c>
      <c r="W1022" s="16" t="s">
        <v>1217</v>
      </c>
      <c r="X1022" s="16" t="s">
        <v>934</v>
      </c>
      <c r="Y1022" s="16" t="s">
        <v>934</v>
      </c>
      <c r="Z1022" s="16" t="s">
        <v>935</v>
      </c>
      <c r="DA1022" s="405" t="s">
        <v>5</v>
      </c>
      <c r="DB1022" s="405" t="s">
        <v>363</v>
      </c>
      <c r="DC1022" s="406" t="s">
        <v>85</v>
      </c>
      <c r="DD1022" s="405" t="s">
        <v>917</v>
      </c>
      <c r="DE1022" s="405" t="s">
        <v>5</v>
      </c>
      <c r="DF1022" s="406" t="s">
        <v>85</v>
      </c>
      <c r="DG1022" s="407">
        <v>45860</v>
      </c>
      <c r="DH1022" s="405" t="s">
        <v>3596</v>
      </c>
      <c r="DI1022" s="406">
        <v>465455</v>
      </c>
      <c r="DJ1022" s="408">
        <v>5</v>
      </c>
      <c r="DK1022" s="405">
        <v>1</v>
      </c>
      <c r="DL1022" s="82">
        <v>319.22000000000003</v>
      </c>
      <c r="DM1022" s="409">
        <v>1.5961000000000001</v>
      </c>
      <c r="DN1022" s="82" t="s">
        <v>85</v>
      </c>
      <c r="DO1022" s="82" t="s">
        <v>85</v>
      </c>
      <c r="DP1022" s="410" t="s">
        <v>85</v>
      </c>
    </row>
    <row r="1023" spans="1:120" x14ac:dyDescent="0.25">
      <c r="A1023" s="16" t="s">
        <v>3600</v>
      </c>
      <c r="B1023" s="16" t="s">
        <v>3601</v>
      </c>
      <c r="C1023" s="16" t="s">
        <v>3602</v>
      </c>
      <c r="D1023" s="16" t="s">
        <v>3518</v>
      </c>
      <c r="E1023" s="16" t="s">
        <v>3603</v>
      </c>
      <c r="F1023" s="16" t="s">
        <v>3604</v>
      </c>
      <c r="G1023" s="16" t="s">
        <v>3605</v>
      </c>
      <c r="H1023" s="16" t="s">
        <v>3606</v>
      </c>
      <c r="I1023" s="16" t="s">
        <v>1929</v>
      </c>
      <c r="J1023" s="16" t="s">
        <v>995</v>
      </c>
      <c r="K1023" s="16" t="s">
        <v>1930</v>
      </c>
      <c r="L1023" s="16" t="s">
        <v>85</v>
      </c>
      <c r="M1023" s="16" t="s">
        <v>1165</v>
      </c>
      <c r="N1023" s="16" t="s">
        <v>914</v>
      </c>
      <c r="O1023" s="16" t="s">
        <v>1166</v>
      </c>
      <c r="P1023" s="16" t="s">
        <v>914</v>
      </c>
      <c r="Q1023" s="16" t="s">
        <v>1166</v>
      </c>
      <c r="R1023" s="16" t="s">
        <v>915</v>
      </c>
      <c r="S1023" s="16" t="s">
        <v>915</v>
      </c>
      <c r="T1023" s="16" t="s">
        <v>1167</v>
      </c>
      <c r="U1023" s="16" t="s">
        <v>1168</v>
      </c>
      <c r="V1023" s="16" t="s">
        <v>916</v>
      </c>
      <c r="W1023" s="16" t="s">
        <v>1168</v>
      </c>
      <c r="X1023" s="16" t="s">
        <v>934</v>
      </c>
      <c r="Y1023" s="16" t="s">
        <v>934</v>
      </c>
      <c r="Z1023" s="16" t="s">
        <v>935</v>
      </c>
      <c r="DA1023" s="405" t="s">
        <v>5</v>
      </c>
      <c r="DB1023" s="405" t="s">
        <v>363</v>
      </c>
      <c r="DC1023" s="406" t="s">
        <v>85</v>
      </c>
      <c r="DD1023" s="405" t="s">
        <v>917</v>
      </c>
      <c r="DE1023" s="405" t="s">
        <v>5</v>
      </c>
      <c r="DF1023" s="406" t="s">
        <v>85</v>
      </c>
      <c r="DG1023" s="407">
        <v>45860</v>
      </c>
      <c r="DH1023" s="405" t="s">
        <v>3603</v>
      </c>
      <c r="DI1023" s="406">
        <v>465455</v>
      </c>
      <c r="DJ1023" s="408">
        <v>5</v>
      </c>
      <c r="DK1023" s="405">
        <v>1</v>
      </c>
      <c r="DL1023" s="82">
        <v>468.28</v>
      </c>
      <c r="DM1023" s="409">
        <v>2.3413999999999997</v>
      </c>
      <c r="DN1023" s="82" t="s">
        <v>85</v>
      </c>
      <c r="DO1023" s="82" t="s">
        <v>85</v>
      </c>
      <c r="DP1023" s="410" t="s">
        <v>85</v>
      </c>
    </row>
    <row r="1024" spans="1:120" x14ac:dyDescent="0.25">
      <c r="A1024" s="16" t="s">
        <v>3607</v>
      </c>
      <c r="B1024" s="16" t="s">
        <v>3608</v>
      </c>
      <c r="C1024" s="16" t="s">
        <v>3609</v>
      </c>
      <c r="D1024" s="16" t="s">
        <v>3518</v>
      </c>
      <c r="E1024" s="16" t="s">
        <v>3610</v>
      </c>
      <c r="F1024" s="16" t="s">
        <v>3611</v>
      </c>
      <c r="G1024" s="16" t="s">
        <v>3612</v>
      </c>
      <c r="H1024" s="16" t="s">
        <v>3613</v>
      </c>
      <c r="I1024" s="16" t="s">
        <v>3013</v>
      </c>
      <c r="J1024" s="16" t="s">
        <v>943</v>
      </c>
      <c r="K1024" s="16" t="s">
        <v>3014</v>
      </c>
      <c r="L1024" s="16" t="s">
        <v>85</v>
      </c>
      <c r="M1024" s="16" t="s">
        <v>984</v>
      </c>
      <c r="N1024" s="16" t="s">
        <v>914</v>
      </c>
      <c r="O1024" s="16" t="s">
        <v>985</v>
      </c>
      <c r="P1024" s="16" t="s">
        <v>914</v>
      </c>
      <c r="Q1024" s="16" t="s">
        <v>985</v>
      </c>
      <c r="R1024" s="16" t="s">
        <v>915</v>
      </c>
      <c r="S1024" s="16" t="s">
        <v>915</v>
      </c>
      <c r="T1024" s="16" t="s">
        <v>986</v>
      </c>
      <c r="U1024" s="16" t="s">
        <v>987</v>
      </c>
      <c r="V1024" s="16" t="s">
        <v>916</v>
      </c>
      <c r="W1024" s="16" t="s">
        <v>987</v>
      </c>
      <c r="X1024" s="16" t="s">
        <v>934</v>
      </c>
      <c r="Y1024" s="16" t="s">
        <v>934</v>
      </c>
      <c r="Z1024" s="16" t="s">
        <v>935</v>
      </c>
      <c r="DA1024" s="405" t="s">
        <v>5</v>
      </c>
      <c r="DB1024" s="405" t="s">
        <v>363</v>
      </c>
      <c r="DC1024" s="406" t="s">
        <v>85</v>
      </c>
      <c r="DD1024" s="405" t="s">
        <v>917</v>
      </c>
      <c r="DE1024" s="405" t="s">
        <v>5</v>
      </c>
      <c r="DF1024" s="406" t="s">
        <v>85</v>
      </c>
      <c r="DG1024" s="407">
        <v>45860</v>
      </c>
      <c r="DH1024" s="405" t="s">
        <v>3610</v>
      </c>
      <c r="DI1024" s="406">
        <v>465455</v>
      </c>
      <c r="DJ1024" s="408">
        <v>5</v>
      </c>
      <c r="DK1024" s="405">
        <v>1</v>
      </c>
      <c r="DL1024" s="82">
        <v>340.55</v>
      </c>
      <c r="DM1024" s="409">
        <v>1.70275</v>
      </c>
      <c r="DN1024" s="82" t="s">
        <v>85</v>
      </c>
      <c r="DO1024" s="82" t="s">
        <v>85</v>
      </c>
      <c r="DP1024" s="410" t="s">
        <v>85</v>
      </c>
    </row>
    <row r="1025" spans="1:120" x14ac:dyDescent="0.25">
      <c r="A1025" s="16" t="s">
        <v>3614</v>
      </c>
      <c r="B1025" s="16" t="s">
        <v>3615</v>
      </c>
      <c r="C1025" s="16" t="s">
        <v>3616</v>
      </c>
      <c r="D1025" s="16" t="s">
        <v>3518</v>
      </c>
      <c r="E1025" s="16" t="s">
        <v>3617</v>
      </c>
      <c r="F1025" s="16" t="s">
        <v>3618</v>
      </c>
      <c r="G1025" s="16" t="s">
        <v>3619</v>
      </c>
      <c r="H1025" s="16" t="s">
        <v>3620</v>
      </c>
      <c r="I1025" s="16" t="s">
        <v>1057</v>
      </c>
      <c r="J1025" s="16" t="s">
        <v>943</v>
      </c>
      <c r="K1025" s="16" t="s">
        <v>1058</v>
      </c>
      <c r="L1025" s="16" t="s">
        <v>85</v>
      </c>
      <c r="M1025" s="16" t="s">
        <v>984</v>
      </c>
      <c r="N1025" s="16" t="s">
        <v>914</v>
      </c>
      <c r="O1025" s="16" t="s">
        <v>985</v>
      </c>
      <c r="P1025" s="16" t="s">
        <v>914</v>
      </c>
      <c r="Q1025" s="16" t="s">
        <v>985</v>
      </c>
      <c r="R1025" s="16" t="s">
        <v>915</v>
      </c>
      <c r="S1025" s="16" t="s">
        <v>915</v>
      </c>
      <c r="T1025" s="16" t="s">
        <v>986</v>
      </c>
      <c r="U1025" s="16" t="s">
        <v>987</v>
      </c>
      <c r="V1025" s="16" t="s">
        <v>916</v>
      </c>
      <c r="W1025" s="16" t="s">
        <v>987</v>
      </c>
      <c r="X1025" s="16" t="s">
        <v>934</v>
      </c>
      <c r="Y1025" s="16" t="s">
        <v>934</v>
      </c>
      <c r="Z1025" s="16" t="s">
        <v>935</v>
      </c>
      <c r="DA1025" s="405" t="s">
        <v>5</v>
      </c>
      <c r="DB1025" s="405" t="s">
        <v>363</v>
      </c>
      <c r="DC1025" s="406" t="s">
        <v>85</v>
      </c>
      <c r="DD1025" s="405" t="s">
        <v>917</v>
      </c>
      <c r="DE1025" s="405" t="s">
        <v>5</v>
      </c>
      <c r="DF1025" s="406" t="s">
        <v>85</v>
      </c>
      <c r="DG1025" s="407">
        <v>45860</v>
      </c>
      <c r="DH1025" s="405" t="s">
        <v>3617</v>
      </c>
      <c r="DI1025" s="406">
        <v>465455</v>
      </c>
      <c r="DJ1025" s="408">
        <v>5</v>
      </c>
      <c r="DK1025" s="405">
        <v>1</v>
      </c>
      <c r="DL1025" s="82">
        <v>340.55</v>
      </c>
      <c r="DM1025" s="409">
        <v>1.70275</v>
      </c>
      <c r="DN1025" s="82" t="s">
        <v>85</v>
      </c>
      <c r="DO1025" s="82" t="s">
        <v>85</v>
      </c>
      <c r="DP1025" s="410" t="s">
        <v>85</v>
      </c>
    </row>
    <row r="1026" spans="1:120" x14ac:dyDescent="0.25">
      <c r="A1026" s="16" t="s">
        <v>3621</v>
      </c>
      <c r="B1026" s="16" t="s">
        <v>3622</v>
      </c>
      <c r="C1026" s="16" t="s">
        <v>3623</v>
      </c>
      <c r="D1026" s="16" t="s">
        <v>3518</v>
      </c>
      <c r="E1026" s="16" t="s">
        <v>3624</v>
      </c>
      <c r="F1026" s="16" t="s">
        <v>3625</v>
      </c>
      <c r="G1026" s="16" t="s">
        <v>3626</v>
      </c>
      <c r="H1026" s="16" t="s">
        <v>3625</v>
      </c>
      <c r="I1026" s="16" t="s">
        <v>1598</v>
      </c>
      <c r="J1026" s="16" t="s">
        <v>995</v>
      </c>
      <c r="K1026" s="16" t="s">
        <v>1599</v>
      </c>
      <c r="L1026" s="16" t="s">
        <v>85</v>
      </c>
      <c r="M1026" s="16" t="s">
        <v>1165</v>
      </c>
      <c r="N1026" s="16" t="s">
        <v>914</v>
      </c>
      <c r="O1026" s="16" t="s">
        <v>1166</v>
      </c>
      <c r="P1026" s="16" t="s">
        <v>914</v>
      </c>
      <c r="Q1026" s="16" t="s">
        <v>1166</v>
      </c>
      <c r="R1026" s="16" t="s">
        <v>915</v>
      </c>
      <c r="S1026" s="16" t="s">
        <v>915</v>
      </c>
      <c r="T1026" s="16" t="s">
        <v>1167</v>
      </c>
      <c r="U1026" s="16" t="s">
        <v>1168</v>
      </c>
      <c r="V1026" s="16" t="s">
        <v>916</v>
      </c>
      <c r="W1026" s="16" t="s">
        <v>1168</v>
      </c>
      <c r="X1026" s="16" t="s">
        <v>934</v>
      </c>
      <c r="Y1026" s="16" t="s">
        <v>934</v>
      </c>
      <c r="Z1026" s="16" t="s">
        <v>935</v>
      </c>
      <c r="DA1026" s="405" t="s">
        <v>5</v>
      </c>
      <c r="DB1026" s="405" t="s">
        <v>363</v>
      </c>
      <c r="DC1026" s="406" t="s">
        <v>85</v>
      </c>
      <c r="DD1026" s="405" t="s">
        <v>917</v>
      </c>
      <c r="DE1026" s="405" t="s">
        <v>5</v>
      </c>
      <c r="DF1026" s="406" t="s">
        <v>85</v>
      </c>
      <c r="DG1026" s="407">
        <v>45860</v>
      </c>
      <c r="DH1026" s="405" t="s">
        <v>3624</v>
      </c>
      <c r="DI1026" s="406">
        <v>465455</v>
      </c>
      <c r="DJ1026" s="408">
        <v>5</v>
      </c>
      <c r="DK1026" s="405">
        <v>1</v>
      </c>
      <c r="DL1026" s="82">
        <v>468.28</v>
      </c>
      <c r="DM1026" s="409">
        <v>2.3413999999999997</v>
      </c>
      <c r="DN1026" s="82" t="s">
        <v>85</v>
      </c>
      <c r="DO1026" s="82" t="s">
        <v>85</v>
      </c>
      <c r="DP1026" s="410" t="s">
        <v>85</v>
      </c>
    </row>
    <row r="1027" spans="1:120" x14ac:dyDescent="0.25">
      <c r="A1027" s="16" t="s">
        <v>3627</v>
      </c>
      <c r="B1027" s="16" t="s">
        <v>3628</v>
      </c>
      <c r="C1027" s="16" t="s">
        <v>3629</v>
      </c>
      <c r="D1027" s="16" t="s">
        <v>3518</v>
      </c>
      <c r="E1027" s="16" t="s">
        <v>3630</v>
      </c>
      <c r="F1027" s="16" t="s">
        <v>3631</v>
      </c>
      <c r="G1027" s="16" t="s">
        <v>3632</v>
      </c>
      <c r="H1027" s="16" t="s">
        <v>3633</v>
      </c>
      <c r="I1027" s="16" t="s">
        <v>1494</v>
      </c>
      <c r="J1027" s="16" t="s">
        <v>943</v>
      </c>
      <c r="K1027" s="16" t="s">
        <v>1495</v>
      </c>
      <c r="L1027" s="16" t="s">
        <v>85</v>
      </c>
      <c r="M1027" s="16" t="s">
        <v>984</v>
      </c>
      <c r="N1027" s="16" t="s">
        <v>914</v>
      </c>
      <c r="O1027" s="16" t="s">
        <v>985</v>
      </c>
      <c r="P1027" s="16" t="s">
        <v>914</v>
      </c>
      <c r="Q1027" s="16" t="s">
        <v>985</v>
      </c>
      <c r="R1027" s="16" t="s">
        <v>915</v>
      </c>
      <c r="S1027" s="16" t="s">
        <v>915</v>
      </c>
      <c r="T1027" s="16" t="s">
        <v>986</v>
      </c>
      <c r="U1027" s="16" t="s">
        <v>987</v>
      </c>
      <c r="V1027" s="16" t="s">
        <v>916</v>
      </c>
      <c r="W1027" s="16" t="s">
        <v>987</v>
      </c>
      <c r="X1027" s="16" t="s">
        <v>934</v>
      </c>
      <c r="Y1027" s="16" t="s">
        <v>934</v>
      </c>
      <c r="Z1027" s="16" t="s">
        <v>935</v>
      </c>
      <c r="DA1027" s="405" t="s">
        <v>5</v>
      </c>
      <c r="DB1027" s="405" t="s">
        <v>363</v>
      </c>
      <c r="DC1027" s="406" t="s">
        <v>85</v>
      </c>
      <c r="DD1027" s="405" t="s">
        <v>917</v>
      </c>
      <c r="DE1027" s="405" t="s">
        <v>5</v>
      </c>
      <c r="DF1027" s="406" t="s">
        <v>85</v>
      </c>
      <c r="DG1027" s="407">
        <v>45860</v>
      </c>
      <c r="DH1027" s="405" t="s">
        <v>3630</v>
      </c>
      <c r="DI1027" s="406">
        <v>465455</v>
      </c>
      <c r="DJ1027" s="408">
        <v>5</v>
      </c>
      <c r="DK1027" s="405">
        <v>1</v>
      </c>
      <c r="DL1027" s="82">
        <v>340.55</v>
      </c>
      <c r="DM1027" s="409">
        <v>1.70275</v>
      </c>
      <c r="DN1027" s="82" t="s">
        <v>85</v>
      </c>
      <c r="DO1027" s="82" t="s">
        <v>85</v>
      </c>
      <c r="DP1027" s="410" t="s">
        <v>85</v>
      </c>
    </row>
    <row r="1028" spans="1:120" x14ac:dyDescent="0.25">
      <c r="A1028" s="16" t="s">
        <v>3627</v>
      </c>
      <c r="B1028" s="16" t="s">
        <v>3628</v>
      </c>
      <c r="C1028" s="16" t="s">
        <v>3629</v>
      </c>
      <c r="D1028" s="16" t="s">
        <v>3518</v>
      </c>
      <c r="E1028" s="16" t="s">
        <v>3630</v>
      </c>
      <c r="F1028" s="16" t="s">
        <v>3631</v>
      </c>
      <c r="G1028" s="16" t="s">
        <v>3632</v>
      </c>
      <c r="H1028" s="16" t="s">
        <v>3633</v>
      </c>
      <c r="I1028" s="16" t="s">
        <v>1765</v>
      </c>
      <c r="J1028" s="16" t="s">
        <v>943</v>
      </c>
      <c r="K1028" s="16" t="s">
        <v>1766</v>
      </c>
      <c r="L1028" s="16" t="s">
        <v>85</v>
      </c>
      <c r="M1028" s="16" t="s">
        <v>984</v>
      </c>
      <c r="N1028" s="16" t="s">
        <v>914</v>
      </c>
      <c r="O1028" s="16" t="s">
        <v>985</v>
      </c>
      <c r="P1028" s="16" t="s">
        <v>914</v>
      </c>
      <c r="Q1028" s="16" t="s">
        <v>985</v>
      </c>
      <c r="R1028" s="16" t="s">
        <v>915</v>
      </c>
      <c r="S1028" s="16" t="s">
        <v>915</v>
      </c>
      <c r="T1028" s="16" t="s">
        <v>986</v>
      </c>
      <c r="U1028" s="16" t="s">
        <v>987</v>
      </c>
      <c r="V1028" s="16" t="s">
        <v>916</v>
      </c>
      <c r="W1028" s="16" t="s">
        <v>987</v>
      </c>
      <c r="X1028" s="16" t="s">
        <v>934</v>
      </c>
      <c r="Y1028" s="16" t="s">
        <v>934</v>
      </c>
      <c r="Z1028" s="16" t="s">
        <v>935</v>
      </c>
      <c r="DA1028" s="405" t="s">
        <v>5</v>
      </c>
      <c r="DB1028" s="405" t="s">
        <v>363</v>
      </c>
      <c r="DC1028" s="406" t="s">
        <v>85</v>
      </c>
      <c r="DD1028" s="405" t="s">
        <v>917</v>
      </c>
      <c r="DE1028" s="405" t="s">
        <v>5</v>
      </c>
      <c r="DF1028" s="406" t="s">
        <v>85</v>
      </c>
      <c r="DG1028" s="407">
        <v>45860</v>
      </c>
      <c r="DH1028" s="405" t="s">
        <v>3630</v>
      </c>
      <c r="DI1028" s="406">
        <v>465455</v>
      </c>
      <c r="DJ1028" s="408">
        <v>5</v>
      </c>
      <c r="DK1028" s="405">
        <v>1</v>
      </c>
      <c r="DL1028" s="82">
        <v>340.55</v>
      </c>
      <c r="DM1028" s="409">
        <v>1.70275</v>
      </c>
      <c r="DN1028" s="82" t="s">
        <v>85</v>
      </c>
      <c r="DO1028" s="82" t="s">
        <v>85</v>
      </c>
      <c r="DP1028" s="410" t="s">
        <v>85</v>
      </c>
    </row>
    <row r="1029" spans="1:120" x14ac:dyDescent="0.25">
      <c r="A1029" s="16" t="s">
        <v>3634</v>
      </c>
      <c r="B1029" s="16" t="s">
        <v>3635</v>
      </c>
      <c r="C1029" s="16" t="s">
        <v>3636</v>
      </c>
      <c r="D1029" s="16" t="s">
        <v>3518</v>
      </c>
      <c r="E1029" s="16" t="s">
        <v>3637</v>
      </c>
      <c r="F1029" s="16" t="s">
        <v>3638</v>
      </c>
      <c r="G1029" s="16" t="s">
        <v>3639</v>
      </c>
      <c r="H1029" s="16" t="s">
        <v>3638</v>
      </c>
      <c r="I1029" s="16" t="s">
        <v>3640</v>
      </c>
      <c r="J1029" s="16" t="s">
        <v>2044</v>
      </c>
      <c r="K1029" s="16" t="s">
        <v>3641</v>
      </c>
      <c r="L1029" s="16" t="s">
        <v>85</v>
      </c>
      <c r="M1029" s="16" t="s">
        <v>2046</v>
      </c>
      <c r="N1029" s="16" t="s">
        <v>914</v>
      </c>
      <c r="O1029" s="16" t="s">
        <v>1239</v>
      </c>
      <c r="P1029" s="16" t="s">
        <v>914</v>
      </c>
      <c r="Q1029" s="16" t="s">
        <v>1239</v>
      </c>
      <c r="R1029" s="16" t="s">
        <v>915</v>
      </c>
      <c r="S1029" s="16" t="s">
        <v>915</v>
      </c>
      <c r="T1029" s="16" t="s">
        <v>2047</v>
      </c>
      <c r="U1029" s="16" t="s">
        <v>2048</v>
      </c>
      <c r="V1029" s="16" t="s">
        <v>916</v>
      </c>
      <c r="W1029" s="16" t="s">
        <v>2048</v>
      </c>
      <c r="X1029" s="16" t="s">
        <v>934</v>
      </c>
      <c r="Y1029" s="16" t="s">
        <v>934</v>
      </c>
      <c r="Z1029" s="16" t="s">
        <v>935</v>
      </c>
      <c r="DA1029" s="405" t="s">
        <v>5</v>
      </c>
      <c r="DB1029" s="405" t="s">
        <v>363</v>
      </c>
      <c r="DC1029" s="406" t="s">
        <v>85</v>
      </c>
      <c r="DD1029" s="405" t="s">
        <v>917</v>
      </c>
      <c r="DE1029" s="405" t="s">
        <v>5</v>
      </c>
      <c r="DF1029" s="406" t="s">
        <v>85</v>
      </c>
      <c r="DG1029" s="407">
        <v>45860</v>
      </c>
      <c r="DH1029" s="405" t="s">
        <v>3637</v>
      </c>
      <c r="DI1029" s="406">
        <v>465455</v>
      </c>
      <c r="DJ1029" s="408">
        <v>5</v>
      </c>
      <c r="DK1029" s="405">
        <v>1</v>
      </c>
      <c r="DL1029" s="82">
        <v>383.08</v>
      </c>
      <c r="DM1029" s="409">
        <v>1.9154</v>
      </c>
      <c r="DN1029" s="82" t="s">
        <v>85</v>
      </c>
      <c r="DO1029" s="82" t="s">
        <v>85</v>
      </c>
      <c r="DP1029" s="410" t="s">
        <v>85</v>
      </c>
    </row>
    <row r="1030" spans="1:120" x14ac:dyDescent="0.25">
      <c r="A1030" s="16" t="s">
        <v>3642</v>
      </c>
      <c r="B1030" s="16" t="s">
        <v>3643</v>
      </c>
      <c r="C1030" s="16" t="s">
        <v>3644</v>
      </c>
      <c r="D1030" s="16" t="s">
        <v>3518</v>
      </c>
      <c r="E1030" s="16" t="s">
        <v>3645</v>
      </c>
      <c r="F1030" s="16" t="s">
        <v>3646</v>
      </c>
      <c r="G1030" s="16" t="s">
        <v>3647</v>
      </c>
      <c r="H1030" s="16" t="s">
        <v>3648</v>
      </c>
      <c r="I1030" s="16" t="s">
        <v>1406</v>
      </c>
      <c r="J1030" s="16" t="s">
        <v>1359</v>
      </c>
      <c r="K1030" s="16" t="s">
        <v>1407</v>
      </c>
      <c r="L1030" s="16" t="s">
        <v>85</v>
      </c>
      <c r="M1030" s="16" t="s">
        <v>1350</v>
      </c>
      <c r="N1030" s="16" t="s">
        <v>914</v>
      </c>
      <c r="O1030" s="16" t="s">
        <v>1351</v>
      </c>
      <c r="P1030" s="16" t="s">
        <v>914</v>
      </c>
      <c r="Q1030" s="16" t="s">
        <v>1351</v>
      </c>
      <c r="R1030" s="16" t="s">
        <v>915</v>
      </c>
      <c r="S1030" s="16" t="s">
        <v>915</v>
      </c>
      <c r="T1030" s="16" t="s">
        <v>1352</v>
      </c>
      <c r="U1030" s="16" t="s">
        <v>1353</v>
      </c>
      <c r="V1030" s="16" t="s">
        <v>916</v>
      </c>
      <c r="W1030" s="16" t="s">
        <v>1353</v>
      </c>
      <c r="X1030" s="16" t="s">
        <v>934</v>
      </c>
      <c r="Y1030" s="16" t="s">
        <v>934</v>
      </c>
      <c r="Z1030" s="16" t="s">
        <v>935</v>
      </c>
      <c r="DA1030" s="405" t="s">
        <v>5</v>
      </c>
      <c r="DB1030" s="405" t="s">
        <v>363</v>
      </c>
      <c r="DC1030" s="406" t="s">
        <v>85</v>
      </c>
      <c r="DD1030" s="405" t="s">
        <v>917</v>
      </c>
      <c r="DE1030" s="405" t="s">
        <v>5</v>
      </c>
      <c r="DF1030" s="406" t="s">
        <v>85</v>
      </c>
      <c r="DG1030" s="407">
        <v>45860</v>
      </c>
      <c r="DH1030" s="405" t="s">
        <v>3645</v>
      </c>
      <c r="DI1030" s="406">
        <v>465455</v>
      </c>
      <c r="DJ1030" s="408">
        <v>5</v>
      </c>
      <c r="DK1030" s="405">
        <v>1</v>
      </c>
      <c r="DL1030" s="82">
        <v>303.3</v>
      </c>
      <c r="DM1030" s="409">
        <v>1.5165000000000002</v>
      </c>
      <c r="DN1030" s="82" t="s">
        <v>85</v>
      </c>
      <c r="DO1030" s="82" t="s">
        <v>85</v>
      </c>
      <c r="DP1030" s="410" t="s">
        <v>85</v>
      </c>
    </row>
    <row r="1031" spans="1:120" x14ac:dyDescent="0.25">
      <c r="A1031" s="16" t="s">
        <v>3649</v>
      </c>
      <c r="B1031" s="16" t="s">
        <v>3650</v>
      </c>
      <c r="C1031" s="16" t="s">
        <v>3651</v>
      </c>
      <c r="D1031" s="16" t="s">
        <v>3518</v>
      </c>
      <c r="E1031" s="16" t="s">
        <v>3652</v>
      </c>
      <c r="F1031" s="16" t="s">
        <v>3653</v>
      </c>
      <c r="G1031" s="16" t="s">
        <v>3654</v>
      </c>
      <c r="H1031" s="16" t="s">
        <v>3655</v>
      </c>
      <c r="I1031" s="16" t="s">
        <v>2232</v>
      </c>
      <c r="J1031" s="16" t="s">
        <v>1123</v>
      </c>
      <c r="K1031" s="16" t="s">
        <v>2233</v>
      </c>
      <c r="L1031" s="16" t="s">
        <v>85</v>
      </c>
      <c r="M1031" s="16" t="s">
        <v>1238</v>
      </c>
      <c r="N1031" s="16" t="s">
        <v>914</v>
      </c>
      <c r="O1031" s="16" t="s">
        <v>1239</v>
      </c>
      <c r="P1031" s="16" t="s">
        <v>914</v>
      </c>
      <c r="Q1031" s="16" t="s">
        <v>1239</v>
      </c>
      <c r="R1031" s="16" t="s">
        <v>915</v>
      </c>
      <c r="S1031" s="16" t="s">
        <v>915</v>
      </c>
      <c r="T1031" s="16" t="s">
        <v>1238</v>
      </c>
      <c r="U1031" s="16" t="s">
        <v>1240</v>
      </c>
      <c r="V1031" s="16" t="s">
        <v>916</v>
      </c>
      <c r="W1031" s="16" t="s">
        <v>1240</v>
      </c>
      <c r="X1031" s="16" t="s">
        <v>934</v>
      </c>
      <c r="Y1031" s="16" t="s">
        <v>934</v>
      </c>
      <c r="Z1031" s="16" t="s">
        <v>935</v>
      </c>
      <c r="DA1031" s="405" t="s">
        <v>5</v>
      </c>
      <c r="DB1031" s="405" t="s">
        <v>363</v>
      </c>
      <c r="DC1031" s="406" t="s">
        <v>85</v>
      </c>
      <c r="DD1031" s="405" t="s">
        <v>917</v>
      </c>
      <c r="DE1031" s="405" t="s">
        <v>5</v>
      </c>
      <c r="DF1031" s="406" t="s">
        <v>85</v>
      </c>
      <c r="DG1031" s="407">
        <v>45860</v>
      </c>
      <c r="DH1031" s="405" t="s">
        <v>3652</v>
      </c>
      <c r="DI1031" s="406">
        <v>465455</v>
      </c>
      <c r="DJ1031" s="408">
        <v>5</v>
      </c>
      <c r="DK1031" s="405">
        <v>1</v>
      </c>
      <c r="DL1031" s="82">
        <v>383.16</v>
      </c>
      <c r="DM1031" s="409">
        <v>1.9158000000000002</v>
      </c>
      <c r="DN1031" s="82" t="s">
        <v>85</v>
      </c>
      <c r="DO1031" s="82" t="s">
        <v>85</v>
      </c>
      <c r="DP1031" s="410" t="s">
        <v>85</v>
      </c>
    </row>
    <row r="1032" spans="1:120" x14ac:dyDescent="0.25">
      <c r="A1032" s="16" t="s">
        <v>3656</v>
      </c>
      <c r="B1032" s="16" t="s">
        <v>3657</v>
      </c>
      <c r="C1032" s="16" t="s">
        <v>3658</v>
      </c>
      <c r="D1032" s="16" t="s">
        <v>3518</v>
      </c>
      <c r="E1032" s="16" t="s">
        <v>3659</v>
      </c>
      <c r="F1032" s="16" t="s">
        <v>3660</v>
      </c>
      <c r="G1032" s="16" t="s">
        <v>3661</v>
      </c>
      <c r="H1032" s="16" t="s">
        <v>3660</v>
      </c>
      <c r="I1032" s="16" t="s">
        <v>1368</v>
      </c>
      <c r="J1032" s="16" t="s">
        <v>1123</v>
      </c>
      <c r="K1032" s="16" t="s">
        <v>1369</v>
      </c>
      <c r="L1032" s="16" t="s">
        <v>85</v>
      </c>
      <c r="M1032" s="16" t="s">
        <v>1238</v>
      </c>
      <c r="N1032" s="16" t="s">
        <v>914</v>
      </c>
      <c r="O1032" s="16" t="s">
        <v>1239</v>
      </c>
      <c r="P1032" s="16" t="s">
        <v>914</v>
      </c>
      <c r="Q1032" s="16" t="s">
        <v>1239</v>
      </c>
      <c r="R1032" s="16" t="s">
        <v>915</v>
      </c>
      <c r="S1032" s="16" t="s">
        <v>915</v>
      </c>
      <c r="T1032" s="16" t="s">
        <v>1238</v>
      </c>
      <c r="U1032" s="16" t="s">
        <v>1240</v>
      </c>
      <c r="V1032" s="16" t="s">
        <v>916</v>
      </c>
      <c r="W1032" s="16" t="s">
        <v>1240</v>
      </c>
      <c r="X1032" s="16" t="s">
        <v>934</v>
      </c>
      <c r="Y1032" s="16" t="s">
        <v>934</v>
      </c>
      <c r="Z1032" s="16" t="s">
        <v>935</v>
      </c>
      <c r="DA1032" s="405" t="s">
        <v>5</v>
      </c>
      <c r="DB1032" s="405" t="s">
        <v>363</v>
      </c>
      <c r="DC1032" s="406" t="s">
        <v>85</v>
      </c>
      <c r="DD1032" s="405" t="s">
        <v>917</v>
      </c>
      <c r="DE1032" s="405" t="s">
        <v>5</v>
      </c>
      <c r="DF1032" s="406" t="s">
        <v>85</v>
      </c>
      <c r="DG1032" s="407">
        <v>45860</v>
      </c>
      <c r="DH1032" s="405" t="s">
        <v>3659</v>
      </c>
      <c r="DI1032" s="406">
        <v>465455</v>
      </c>
      <c r="DJ1032" s="408">
        <v>5</v>
      </c>
      <c r="DK1032" s="405">
        <v>1</v>
      </c>
      <c r="DL1032" s="82">
        <v>383.16</v>
      </c>
      <c r="DM1032" s="409">
        <v>1.9158000000000002</v>
      </c>
      <c r="DN1032" s="82" t="s">
        <v>85</v>
      </c>
      <c r="DO1032" s="82" t="s">
        <v>85</v>
      </c>
      <c r="DP1032" s="410" t="s">
        <v>85</v>
      </c>
    </row>
    <row r="1033" spans="1:120" x14ac:dyDescent="0.25">
      <c r="A1033" s="16" t="s">
        <v>3662</v>
      </c>
      <c r="B1033" s="16" t="s">
        <v>3663</v>
      </c>
      <c r="C1033" s="16" t="s">
        <v>3664</v>
      </c>
      <c r="D1033" s="16" t="s">
        <v>3518</v>
      </c>
      <c r="E1033" s="16" t="s">
        <v>3665</v>
      </c>
      <c r="F1033" s="16" t="s">
        <v>3666</v>
      </c>
      <c r="G1033" s="16" t="s">
        <v>3667</v>
      </c>
      <c r="H1033" s="16" t="s">
        <v>3666</v>
      </c>
      <c r="I1033" s="16" t="s">
        <v>927</v>
      </c>
      <c r="J1033" s="16" t="s">
        <v>928</v>
      </c>
      <c r="K1033" s="16" t="s">
        <v>929</v>
      </c>
      <c r="L1033" s="16" t="s">
        <v>85</v>
      </c>
      <c r="M1033" s="16" t="s">
        <v>1322</v>
      </c>
      <c r="N1033" s="16" t="s">
        <v>914</v>
      </c>
      <c r="O1033" s="16" t="s">
        <v>1323</v>
      </c>
      <c r="P1033" s="16" t="s">
        <v>914</v>
      </c>
      <c r="Q1033" s="16" t="s">
        <v>1323</v>
      </c>
      <c r="R1033" s="16" t="s">
        <v>915</v>
      </c>
      <c r="S1033" s="16" t="s">
        <v>915</v>
      </c>
      <c r="T1033" s="16" t="s">
        <v>1322</v>
      </c>
      <c r="U1033" s="16" t="s">
        <v>1324</v>
      </c>
      <c r="V1033" s="16" t="s">
        <v>916</v>
      </c>
      <c r="W1033" s="16" t="s">
        <v>1324</v>
      </c>
      <c r="X1033" s="16" t="s">
        <v>934</v>
      </c>
      <c r="Y1033" s="16" t="s">
        <v>934</v>
      </c>
      <c r="Z1033" s="16" t="s">
        <v>935</v>
      </c>
      <c r="DA1033" s="405" t="s">
        <v>5</v>
      </c>
      <c r="DB1033" s="405" t="s">
        <v>363</v>
      </c>
      <c r="DC1033" s="406" t="s">
        <v>85</v>
      </c>
      <c r="DD1033" s="405" t="s">
        <v>917</v>
      </c>
      <c r="DE1033" s="405" t="s">
        <v>5</v>
      </c>
      <c r="DF1033" s="406" t="s">
        <v>85</v>
      </c>
      <c r="DG1033" s="407">
        <v>45860</v>
      </c>
      <c r="DH1033" s="405" t="s">
        <v>3665</v>
      </c>
      <c r="DI1033" s="406">
        <v>465455</v>
      </c>
      <c r="DJ1033" s="408">
        <v>5</v>
      </c>
      <c r="DK1033" s="405">
        <v>1</v>
      </c>
      <c r="DL1033" s="82">
        <v>332.47</v>
      </c>
      <c r="DM1033" s="409">
        <v>1.6623500000000002</v>
      </c>
      <c r="DN1033" s="82" t="s">
        <v>85</v>
      </c>
      <c r="DO1033" s="82" t="s">
        <v>85</v>
      </c>
      <c r="DP1033" s="410" t="s">
        <v>85</v>
      </c>
    </row>
    <row r="1034" spans="1:120" x14ac:dyDescent="0.25">
      <c r="A1034" s="16" t="s">
        <v>3668</v>
      </c>
      <c r="B1034" s="16" t="s">
        <v>3669</v>
      </c>
      <c r="C1034" s="16" t="s">
        <v>3670</v>
      </c>
      <c r="D1034" s="16" t="s">
        <v>3518</v>
      </c>
      <c r="E1034" s="16" t="s">
        <v>3671</v>
      </c>
      <c r="F1034" s="16" t="s">
        <v>3672</v>
      </c>
      <c r="G1034" s="16" t="s">
        <v>3673</v>
      </c>
      <c r="H1034" s="16" t="s">
        <v>3674</v>
      </c>
      <c r="I1034" s="16" t="s">
        <v>3675</v>
      </c>
      <c r="J1034" s="16" t="s">
        <v>928</v>
      </c>
      <c r="K1034" s="16" t="s">
        <v>3676</v>
      </c>
      <c r="L1034" s="16" t="s">
        <v>85</v>
      </c>
      <c r="M1034" s="16" t="s">
        <v>1322</v>
      </c>
      <c r="N1034" s="16" t="s">
        <v>914</v>
      </c>
      <c r="O1034" s="16" t="s">
        <v>1323</v>
      </c>
      <c r="P1034" s="16" t="s">
        <v>914</v>
      </c>
      <c r="Q1034" s="16" t="s">
        <v>1323</v>
      </c>
      <c r="R1034" s="16" t="s">
        <v>915</v>
      </c>
      <c r="S1034" s="16" t="s">
        <v>915</v>
      </c>
      <c r="T1034" s="16" t="s">
        <v>1322</v>
      </c>
      <c r="U1034" s="16" t="s">
        <v>1324</v>
      </c>
      <c r="V1034" s="16" t="s">
        <v>916</v>
      </c>
      <c r="W1034" s="16" t="s">
        <v>1324</v>
      </c>
      <c r="X1034" s="16" t="s">
        <v>934</v>
      </c>
      <c r="Y1034" s="16" t="s">
        <v>934</v>
      </c>
      <c r="Z1034" s="16" t="s">
        <v>935</v>
      </c>
      <c r="DA1034" s="405" t="s">
        <v>5</v>
      </c>
      <c r="DB1034" s="405" t="s">
        <v>363</v>
      </c>
      <c r="DC1034" s="406" t="s">
        <v>85</v>
      </c>
      <c r="DD1034" s="405" t="s">
        <v>917</v>
      </c>
      <c r="DE1034" s="405" t="s">
        <v>5</v>
      </c>
      <c r="DF1034" s="406" t="s">
        <v>85</v>
      </c>
      <c r="DG1034" s="407">
        <v>45860</v>
      </c>
      <c r="DH1034" s="405" t="s">
        <v>3671</v>
      </c>
      <c r="DI1034" s="406">
        <v>465455</v>
      </c>
      <c r="DJ1034" s="408">
        <v>5</v>
      </c>
      <c r="DK1034" s="405">
        <v>1</v>
      </c>
      <c r="DL1034" s="82">
        <v>332.47</v>
      </c>
      <c r="DM1034" s="409">
        <v>1.6623500000000002</v>
      </c>
      <c r="DN1034" s="82" t="s">
        <v>85</v>
      </c>
      <c r="DO1034" s="82" t="s">
        <v>85</v>
      </c>
      <c r="DP1034" s="410" t="s">
        <v>85</v>
      </c>
    </row>
    <row r="1035" spans="1:120" x14ac:dyDescent="0.25">
      <c r="A1035" s="16" t="s">
        <v>3677</v>
      </c>
      <c r="B1035" s="16" t="s">
        <v>3678</v>
      </c>
      <c r="C1035" s="16" t="s">
        <v>3679</v>
      </c>
      <c r="D1035" s="16" t="s">
        <v>3518</v>
      </c>
      <c r="E1035" s="16" t="s">
        <v>3680</v>
      </c>
      <c r="F1035" s="16" t="s">
        <v>3681</v>
      </c>
      <c r="G1035" s="16" t="s">
        <v>3682</v>
      </c>
      <c r="H1035" s="16" t="s">
        <v>3683</v>
      </c>
      <c r="I1035" s="16" t="s">
        <v>1929</v>
      </c>
      <c r="J1035" s="16" t="s">
        <v>995</v>
      </c>
      <c r="K1035" s="16" t="s">
        <v>1930</v>
      </c>
      <c r="L1035" s="16" t="s">
        <v>85</v>
      </c>
      <c r="M1035" s="16" t="s">
        <v>1165</v>
      </c>
      <c r="N1035" s="16" t="s">
        <v>914</v>
      </c>
      <c r="O1035" s="16" t="s">
        <v>1166</v>
      </c>
      <c r="P1035" s="16" t="s">
        <v>914</v>
      </c>
      <c r="Q1035" s="16" t="s">
        <v>1166</v>
      </c>
      <c r="R1035" s="16" t="s">
        <v>915</v>
      </c>
      <c r="S1035" s="16" t="s">
        <v>915</v>
      </c>
      <c r="T1035" s="16" t="s">
        <v>1167</v>
      </c>
      <c r="U1035" s="16" t="s">
        <v>1168</v>
      </c>
      <c r="V1035" s="16" t="s">
        <v>916</v>
      </c>
      <c r="W1035" s="16" t="s">
        <v>1168</v>
      </c>
      <c r="X1035" s="16" t="s">
        <v>934</v>
      </c>
      <c r="Y1035" s="16" t="s">
        <v>934</v>
      </c>
      <c r="Z1035" s="16" t="s">
        <v>935</v>
      </c>
      <c r="DA1035" s="405" t="s">
        <v>5</v>
      </c>
      <c r="DB1035" s="405" t="s">
        <v>363</v>
      </c>
      <c r="DC1035" s="406" t="s">
        <v>85</v>
      </c>
      <c r="DD1035" s="405" t="s">
        <v>917</v>
      </c>
      <c r="DE1035" s="405" t="s">
        <v>5</v>
      </c>
      <c r="DF1035" s="406" t="s">
        <v>85</v>
      </c>
      <c r="DG1035" s="407">
        <v>45860</v>
      </c>
      <c r="DH1035" s="405" t="s">
        <v>3680</v>
      </c>
      <c r="DI1035" s="406">
        <v>465455</v>
      </c>
      <c r="DJ1035" s="408">
        <v>5</v>
      </c>
      <c r="DK1035" s="405">
        <v>1</v>
      </c>
      <c r="DL1035" s="82">
        <v>468.28</v>
      </c>
      <c r="DM1035" s="409">
        <v>2.3413999999999997</v>
      </c>
      <c r="DN1035" s="82" t="s">
        <v>85</v>
      </c>
      <c r="DO1035" s="82" t="s">
        <v>85</v>
      </c>
      <c r="DP1035" s="410" t="s">
        <v>85</v>
      </c>
    </row>
    <row r="1036" spans="1:120" x14ac:dyDescent="0.25">
      <c r="A1036" s="16" t="s">
        <v>3684</v>
      </c>
      <c r="B1036" s="16" t="s">
        <v>3685</v>
      </c>
      <c r="C1036" s="16" t="s">
        <v>3686</v>
      </c>
      <c r="D1036" s="16" t="s">
        <v>3518</v>
      </c>
      <c r="E1036" s="16" t="s">
        <v>3687</v>
      </c>
      <c r="F1036" s="16" t="s">
        <v>3688</v>
      </c>
      <c r="G1036" s="16" t="s">
        <v>3689</v>
      </c>
      <c r="H1036" s="16" t="s">
        <v>3688</v>
      </c>
      <c r="I1036" s="16" t="s">
        <v>2876</v>
      </c>
      <c r="J1036" s="16" t="s">
        <v>995</v>
      </c>
      <c r="K1036" s="16" t="s">
        <v>2877</v>
      </c>
      <c r="L1036" s="16" t="s">
        <v>85</v>
      </c>
      <c r="M1036" s="16" t="s">
        <v>1165</v>
      </c>
      <c r="N1036" s="16" t="s">
        <v>914</v>
      </c>
      <c r="O1036" s="16" t="s">
        <v>1166</v>
      </c>
      <c r="P1036" s="16" t="s">
        <v>914</v>
      </c>
      <c r="Q1036" s="16" t="s">
        <v>1166</v>
      </c>
      <c r="R1036" s="16" t="s">
        <v>915</v>
      </c>
      <c r="S1036" s="16" t="s">
        <v>915</v>
      </c>
      <c r="T1036" s="16" t="s">
        <v>1167</v>
      </c>
      <c r="U1036" s="16" t="s">
        <v>1168</v>
      </c>
      <c r="V1036" s="16" t="s">
        <v>916</v>
      </c>
      <c r="W1036" s="16" t="s">
        <v>1168</v>
      </c>
      <c r="X1036" s="16" t="s">
        <v>934</v>
      </c>
      <c r="Y1036" s="16" t="s">
        <v>934</v>
      </c>
      <c r="Z1036" s="16" t="s">
        <v>935</v>
      </c>
      <c r="DA1036" s="405" t="s">
        <v>5</v>
      </c>
      <c r="DB1036" s="405" t="s">
        <v>363</v>
      </c>
      <c r="DC1036" s="406" t="s">
        <v>85</v>
      </c>
      <c r="DD1036" s="405" t="s">
        <v>917</v>
      </c>
      <c r="DE1036" s="405" t="s">
        <v>5</v>
      </c>
      <c r="DF1036" s="406" t="s">
        <v>85</v>
      </c>
      <c r="DG1036" s="407">
        <v>45860</v>
      </c>
      <c r="DH1036" s="405" t="s">
        <v>3687</v>
      </c>
      <c r="DI1036" s="406">
        <v>465455</v>
      </c>
      <c r="DJ1036" s="408">
        <v>5</v>
      </c>
      <c r="DK1036" s="405">
        <v>1</v>
      </c>
      <c r="DL1036" s="82">
        <v>468.28</v>
      </c>
      <c r="DM1036" s="409">
        <v>2.3413999999999997</v>
      </c>
      <c r="DN1036" s="82" t="s">
        <v>85</v>
      </c>
      <c r="DO1036" s="82" t="s">
        <v>85</v>
      </c>
      <c r="DP1036" s="410" t="s">
        <v>85</v>
      </c>
    </row>
    <row r="1037" spans="1:120" x14ac:dyDescent="0.25">
      <c r="A1037" s="16" t="s">
        <v>3690</v>
      </c>
      <c r="B1037" s="16" t="s">
        <v>3691</v>
      </c>
      <c r="C1037" s="16" t="s">
        <v>3692</v>
      </c>
      <c r="D1037" s="16" t="s">
        <v>3518</v>
      </c>
      <c r="E1037" s="16" t="s">
        <v>3693</v>
      </c>
      <c r="F1037" s="16" t="s">
        <v>3694</v>
      </c>
      <c r="G1037" s="16" t="s">
        <v>3695</v>
      </c>
      <c r="H1037" s="16" t="s">
        <v>3696</v>
      </c>
      <c r="I1037" s="16" t="s">
        <v>1287</v>
      </c>
      <c r="J1037" s="16" t="s">
        <v>943</v>
      </c>
      <c r="K1037" s="16" t="s">
        <v>1288</v>
      </c>
      <c r="L1037" s="16" t="s">
        <v>85</v>
      </c>
      <c r="M1037" s="16" t="s">
        <v>984</v>
      </c>
      <c r="N1037" s="16" t="s">
        <v>914</v>
      </c>
      <c r="O1037" s="16" t="s">
        <v>985</v>
      </c>
      <c r="P1037" s="16" t="s">
        <v>914</v>
      </c>
      <c r="Q1037" s="16" t="s">
        <v>985</v>
      </c>
      <c r="R1037" s="16" t="s">
        <v>915</v>
      </c>
      <c r="S1037" s="16" t="s">
        <v>915</v>
      </c>
      <c r="T1037" s="16" t="s">
        <v>986</v>
      </c>
      <c r="U1037" s="16" t="s">
        <v>987</v>
      </c>
      <c r="V1037" s="16" t="s">
        <v>916</v>
      </c>
      <c r="W1037" s="16" t="s">
        <v>987</v>
      </c>
      <c r="X1037" s="16" t="s">
        <v>934</v>
      </c>
      <c r="Y1037" s="16" t="s">
        <v>934</v>
      </c>
      <c r="Z1037" s="16" t="s">
        <v>935</v>
      </c>
      <c r="DA1037" s="405" t="s">
        <v>5</v>
      </c>
      <c r="DB1037" s="405" t="s">
        <v>363</v>
      </c>
      <c r="DC1037" s="406" t="s">
        <v>85</v>
      </c>
      <c r="DD1037" s="405" t="s">
        <v>917</v>
      </c>
      <c r="DE1037" s="405" t="s">
        <v>5</v>
      </c>
      <c r="DF1037" s="406" t="s">
        <v>85</v>
      </c>
      <c r="DG1037" s="407">
        <v>45860</v>
      </c>
      <c r="DH1037" s="405" t="s">
        <v>3693</v>
      </c>
      <c r="DI1037" s="406">
        <v>465455</v>
      </c>
      <c r="DJ1037" s="408">
        <v>5</v>
      </c>
      <c r="DK1037" s="405">
        <v>1</v>
      </c>
      <c r="DL1037" s="82">
        <v>340.55</v>
      </c>
      <c r="DM1037" s="409">
        <v>1.70275</v>
      </c>
      <c r="DN1037" s="82" t="s">
        <v>85</v>
      </c>
      <c r="DO1037" s="82" t="s">
        <v>85</v>
      </c>
      <c r="DP1037" s="410" t="s">
        <v>85</v>
      </c>
    </row>
    <row r="1038" spans="1:120" x14ac:dyDescent="0.25">
      <c r="A1038" s="16" t="s">
        <v>3697</v>
      </c>
      <c r="B1038" s="16" t="s">
        <v>3698</v>
      </c>
      <c r="C1038" s="16" t="s">
        <v>3699</v>
      </c>
      <c r="D1038" s="16" t="s">
        <v>3518</v>
      </c>
      <c r="E1038" s="16" t="s">
        <v>3700</v>
      </c>
      <c r="F1038" s="16" t="s">
        <v>3701</v>
      </c>
      <c r="G1038" s="16" t="s">
        <v>3702</v>
      </c>
      <c r="H1038" s="16" t="s">
        <v>3703</v>
      </c>
      <c r="I1038" s="16" t="s">
        <v>1007</v>
      </c>
      <c r="J1038" s="16" t="s">
        <v>928</v>
      </c>
      <c r="K1038" s="16" t="s">
        <v>1008</v>
      </c>
      <c r="L1038" s="16" t="s">
        <v>85</v>
      </c>
      <c r="M1038" s="16" t="s">
        <v>1322</v>
      </c>
      <c r="N1038" s="16" t="s">
        <v>914</v>
      </c>
      <c r="O1038" s="16" t="s">
        <v>1323</v>
      </c>
      <c r="P1038" s="16" t="s">
        <v>914</v>
      </c>
      <c r="Q1038" s="16" t="s">
        <v>1323</v>
      </c>
      <c r="R1038" s="16" t="s">
        <v>915</v>
      </c>
      <c r="S1038" s="16" t="s">
        <v>915</v>
      </c>
      <c r="T1038" s="16" t="s">
        <v>1322</v>
      </c>
      <c r="U1038" s="16" t="s">
        <v>1324</v>
      </c>
      <c r="V1038" s="16" t="s">
        <v>916</v>
      </c>
      <c r="W1038" s="16" t="s">
        <v>1324</v>
      </c>
      <c r="X1038" s="16" t="s">
        <v>934</v>
      </c>
      <c r="Y1038" s="16" t="s">
        <v>934</v>
      </c>
      <c r="Z1038" s="16" t="s">
        <v>935</v>
      </c>
      <c r="DA1038" s="405" t="s">
        <v>5</v>
      </c>
      <c r="DB1038" s="405" t="s">
        <v>363</v>
      </c>
      <c r="DC1038" s="406" t="s">
        <v>85</v>
      </c>
      <c r="DD1038" s="405" t="s">
        <v>917</v>
      </c>
      <c r="DE1038" s="405" t="s">
        <v>5</v>
      </c>
      <c r="DF1038" s="406" t="s">
        <v>85</v>
      </c>
      <c r="DG1038" s="407">
        <v>45860</v>
      </c>
      <c r="DH1038" s="405" t="s">
        <v>3700</v>
      </c>
      <c r="DI1038" s="406">
        <v>465455</v>
      </c>
      <c r="DJ1038" s="408">
        <v>5</v>
      </c>
      <c r="DK1038" s="405">
        <v>1</v>
      </c>
      <c r="DL1038" s="82">
        <v>332.47</v>
      </c>
      <c r="DM1038" s="409">
        <v>1.6623500000000002</v>
      </c>
      <c r="DN1038" s="82" t="s">
        <v>85</v>
      </c>
      <c r="DO1038" s="82" t="s">
        <v>85</v>
      </c>
      <c r="DP1038" s="410" t="s">
        <v>85</v>
      </c>
    </row>
    <row r="1039" spans="1:120" x14ac:dyDescent="0.25">
      <c r="A1039" s="16" t="s">
        <v>3704</v>
      </c>
      <c r="B1039" s="16" t="s">
        <v>3705</v>
      </c>
      <c r="C1039" s="16" t="s">
        <v>3706</v>
      </c>
      <c r="D1039" s="16" t="s">
        <v>3518</v>
      </c>
      <c r="E1039" s="16" t="s">
        <v>3707</v>
      </c>
      <c r="F1039" s="16" t="s">
        <v>3708</v>
      </c>
      <c r="G1039" s="16" t="s">
        <v>3709</v>
      </c>
      <c r="H1039" s="16" t="s">
        <v>3710</v>
      </c>
      <c r="I1039" s="16" t="s">
        <v>1970</v>
      </c>
      <c r="J1039" s="16" t="s">
        <v>995</v>
      </c>
      <c r="K1039" s="16" t="s">
        <v>1971</v>
      </c>
      <c r="L1039" s="16" t="s">
        <v>85</v>
      </c>
      <c r="M1039" s="16" t="s">
        <v>1165</v>
      </c>
      <c r="N1039" s="16" t="s">
        <v>914</v>
      </c>
      <c r="O1039" s="16" t="s">
        <v>1166</v>
      </c>
      <c r="P1039" s="16" t="s">
        <v>914</v>
      </c>
      <c r="Q1039" s="16" t="s">
        <v>1166</v>
      </c>
      <c r="R1039" s="16" t="s">
        <v>915</v>
      </c>
      <c r="S1039" s="16" t="s">
        <v>915</v>
      </c>
      <c r="T1039" s="16" t="s">
        <v>1167</v>
      </c>
      <c r="U1039" s="16" t="s">
        <v>1168</v>
      </c>
      <c r="V1039" s="16" t="s">
        <v>916</v>
      </c>
      <c r="W1039" s="16" t="s">
        <v>1168</v>
      </c>
      <c r="X1039" s="16" t="s">
        <v>934</v>
      </c>
      <c r="Y1039" s="16" t="s">
        <v>934</v>
      </c>
      <c r="Z1039" s="16" t="s">
        <v>935</v>
      </c>
      <c r="DA1039" s="405" t="s">
        <v>5</v>
      </c>
      <c r="DB1039" s="405" t="s">
        <v>363</v>
      </c>
      <c r="DC1039" s="406" t="s">
        <v>85</v>
      </c>
      <c r="DD1039" s="405" t="s">
        <v>917</v>
      </c>
      <c r="DE1039" s="405" t="s">
        <v>5</v>
      </c>
      <c r="DF1039" s="406" t="s">
        <v>85</v>
      </c>
      <c r="DG1039" s="407">
        <v>45860</v>
      </c>
      <c r="DH1039" s="405" t="s">
        <v>3707</v>
      </c>
      <c r="DI1039" s="406">
        <v>465455</v>
      </c>
      <c r="DJ1039" s="408">
        <v>5</v>
      </c>
      <c r="DK1039" s="405">
        <v>1</v>
      </c>
      <c r="DL1039" s="82">
        <v>468.28</v>
      </c>
      <c r="DM1039" s="409">
        <v>2.3413999999999997</v>
      </c>
      <c r="DN1039" s="82" t="s">
        <v>85</v>
      </c>
      <c r="DO1039" s="82" t="s">
        <v>85</v>
      </c>
      <c r="DP1039" s="410" t="s">
        <v>85</v>
      </c>
    </row>
    <row r="1040" spans="1:120" x14ac:dyDescent="0.25">
      <c r="A1040" s="16" t="s">
        <v>3711</v>
      </c>
      <c r="B1040" s="16" t="s">
        <v>3712</v>
      </c>
      <c r="C1040" s="16" t="s">
        <v>3713</v>
      </c>
      <c r="D1040" s="16" t="s">
        <v>3518</v>
      </c>
      <c r="E1040" s="16" t="s">
        <v>3714</v>
      </c>
      <c r="F1040" s="16" t="s">
        <v>3715</v>
      </c>
      <c r="G1040" s="16" t="s">
        <v>3716</v>
      </c>
      <c r="H1040" s="16" t="s">
        <v>3717</v>
      </c>
      <c r="I1040" s="16" t="s">
        <v>2136</v>
      </c>
      <c r="J1040" s="16" t="s">
        <v>943</v>
      </c>
      <c r="K1040" s="16" t="s">
        <v>2137</v>
      </c>
      <c r="L1040" s="16" t="s">
        <v>85</v>
      </c>
      <c r="M1040" s="16" t="s">
        <v>984</v>
      </c>
      <c r="N1040" s="16" t="s">
        <v>914</v>
      </c>
      <c r="O1040" s="16" t="s">
        <v>985</v>
      </c>
      <c r="P1040" s="16" t="s">
        <v>914</v>
      </c>
      <c r="Q1040" s="16" t="s">
        <v>985</v>
      </c>
      <c r="R1040" s="16" t="s">
        <v>915</v>
      </c>
      <c r="S1040" s="16" t="s">
        <v>915</v>
      </c>
      <c r="T1040" s="16" t="s">
        <v>986</v>
      </c>
      <c r="U1040" s="16" t="s">
        <v>987</v>
      </c>
      <c r="V1040" s="16" t="s">
        <v>916</v>
      </c>
      <c r="W1040" s="16" t="s">
        <v>987</v>
      </c>
      <c r="X1040" s="16" t="s">
        <v>934</v>
      </c>
      <c r="Y1040" s="16" t="s">
        <v>934</v>
      </c>
      <c r="Z1040" s="16" t="s">
        <v>935</v>
      </c>
      <c r="DA1040" s="405" t="s">
        <v>5</v>
      </c>
      <c r="DB1040" s="405" t="s">
        <v>363</v>
      </c>
      <c r="DC1040" s="406" t="s">
        <v>85</v>
      </c>
      <c r="DD1040" s="405" t="s">
        <v>917</v>
      </c>
      <c r="DE1040" s="405" t="s">
        <v>5</v>
      </c>
      <c r="DF1040" s="406" t="s">
        <v>85</v>
      </c>
      <c r="DG1040" s="407">
        <v>45860</v>
      </c>
      <c r="DH1040" s="405" t="s">
        <v>3714</v>
      </c>
      <c r="DI1040" s="406">
        <v>465455</v>
      </c>
      <c r="DJ1040" s="408">
        <v>5</v>
      </c>
      <c r="DK1040" s="405">
        <v>1</v>
      </c>
      <c r="DL1040" s="82">
        <v>340.55</v>
      </c>
      <c r="DM1040" s="409">
        <v>1.70275</v>
      </c>
      <c r="DN1040" s="82" t="s">
        <v>85</v>
      </c>
      <c r="DO1040" s="82" t="s">
        <v>85</v>
      </c>
      <c r="DP1040" s="410" t="s">
        <v>85</v>
      </c>
    </row>
    <row r="1041" spans="1:120" x14ac:dyDescent="0.25">
      <c r="A1041" s="16" t="s">
        <v>3718</v>
      </c>
      <c r="B1041" s="16" t="s">
        <v>3719</v>
      </c>
      <c r="C1041" s="16" t="s">
        <v>3720</v>
      </c>
      <c r="D1041" s="16" t="s">
        <v>3518</v>
      </c>
      <c r="E1041" s="16" t="s">
        <v>3721</v>
      </c>
      <c r="F1041" s="16" t="s">
        <v>3722</v>
      </c>
      <c r="G1041" s="16" t="s">
        <v>3723</v>
      </c>
      <c r="H1041" s="16" t="s">
        <v>3724</v>
      </c>
      <c r="I1041" s="16" t="s">
        <v>968</v>
      </c>
      <c r="J1041" s="16" t="s">
        <v>943</v>
      </c>
      <c r="K1041" s="16" t="s">
        <v>969</v>
      </c>
      <c r="L1041" s="16" t="s">
        <v>85</v>
      </c>
      <c r="M1041" s="16" t="s">
        <v>984</v>
      </c>
      <c r="N1041" s="16" t="s">
        <v>914</v>
      </c>
      <c r="O1041" s="16" t="s">
        <v>985</v>
      </c>
      <c r="P1041" s="16" t="s">
        <v>914</v>
      </c>
      <c r="Q1041" s="16" t="s">
        <v>985</v>
      </c>
      <c r="R1041" s="16" t="s">
        <v>915</v>
      </c>
      <c r="S1041" s="16" t="s">
        <v>915</v>
      </c>
      <c r="T1041" s="16" t="s">
        <v>986</v>
      </c>
      <c r="U1041" s="16" t="s">
        <v>987</v>
      </c>
      <c r="V1041" s="16" t="s">
        <v>916</v>
      </c>
      <c r="W1041" s="16" t="s">
        <v>987</v>
      </c>
      <c r="X1041" s="16" t="s">
        <v>934</v>
      </c>
      <c r="Y1041" s="16" t="s">
        <v>934</v>
      </c>
      <c r="Z1041" s="16" t="s">
        <v>935</v>
      </c>
      <c r="DA1041" s="405" t="s">
        <v>5</v>
      </c>
      <c r="DB1041" s="405" t="s">
        <v>363</v>
      </c>
      <c r="DC1041" s="406" t="s">
        <v>85</v>
      </c>
      <c r="DD1041" s="405" t="s">
        <v>917</v>
      </c>
      <c r="DE1041" s="405" t="s">
        <v>5</v>
      </c>
      <c r="DF1041" s="406" t="s">
        <v>85</v>
      </c>
      <c r="DG1041" s="407">
        <v>45860</v>
      </c>
      <c r="DH1041" s="405" t="s">
        <v>3721</v>
      </c>
      <c r="DI1041" s="406">
        <v>465455</v>
      </c>
      <c r="DJ1041" s="408">
        <v>5</v>
      </c>
      <c r="DK1041" s="405">
        <v>1</v>
      </c>
      <c r="DL1041" s="82">
        <v>340.55</v>
      </c>
      <c r="DM1041" s="409">
        <v>1.70275</v>
      </c>
      <c r="DN1041" s="82" t="s">
        <v>85</v>
      </c>
      <c r="DO1041" s="82" t="s">
        <v>85</v>
      </c>
      <c r="DP1041" s="410" t="s">
        <v>85</v>
      </c>
    </row>
    <row r="1042" spans="1:120" x14ac:dyDescent="0.25">
      <c r="A1042" s="16" t="s">
        <v>3718</v>
      </c>
      <c r="B1042" s="16" t="s">
        <v>3719</v>
      </c>
      <c r="C1042" s="16" t="s">
        <v>3720</v>
      </c>
      <c r="D1042" s="16" t="s">
        <v>3518</v>
      </c>
      <c r="E1042" s="16" t="s">
        <v>3721</v>
      </c>
      <c r="F1042" s="16" t="s">
        <v>3722</v>
      </c>
      <c r="G1042" s="16" t="s">
        <v>3723</v>
      </c>
      <c r="H1042" s="16" t="s">
        <v>3724</v>
      </c>
      <c r="I1042" s="16" t="s">
        <v>2822</v>
      </c>
      <c r="J1042" s="16" t="s">
        <v>943</v>
      </c>
      <c r="K1042" s="16" t="s">
        <v>2823</v>
      </c>
      <c r="L1042" s="16" t="s">
        <v>85</v>
      </c>
      <c r="M1042" s="16" t="s">
        <v>984</v>
      </c>
      <c r="N1042" s="16" t="s">
        <v>914</v>
      </c>
      <c r="O1042" s="16" t="s">
        <v>985</v>
      </c>
      <c r="P1042" s="16" t="s">
        <v>914</v>
      </c>
      <c r="Q1042" s="16" t="s">
        <v>985</v>
      </c>
      <c r="R1042" s="16" t="s">
        <v>915</v>
      </c>
      <c r="S1042" s="16" t="s">
        <v>915</v>
      </c>
      <c r="T1042" s="16" t="s">
        <v>986</v>
      </c>
      <c r="U1042" s="16" t="s">
        <v>987</v>
      </c>
      <c r="V1042" s="16" t="s">
        <v>916</v>
      </c>
      <c r="W1042" s="16" t="s">
        <v>987</v>
      </c>
      <c r="X1042" s="16" t="s">
        <v>934</v>
      </c>
      <c r="Y1042" s="16" t="s">
        <v>934</v>
      </c>
      <c r="Z1042" s="16" t="s">
        <v>935</v>
      </c>
      <c r="DA1042" s="405" t="s">
        <v>5</v>
      </c>
      <c r="DB1042" s="405" t="s">
        <v>363</v>
      </c>
      <c r="DC1042" s="406" t="s">
        <v>85</v>
      </c>
      <c r="DD1042" s="405" t="s">
        <v>917</v>
      </c>
      <c r="DE1042" s="405" t="s">
        <v>5</v>
      </c>
      <c r="DF1042" s="406" t="s">
        <v>85</v>
      </c>
      <c r="DG1042" s="407">
        <v>45860</v>
      </c>
      <c r="DH1042" s="405" t="s">
        <v>3721</v>
      </c>
      <c r="DI1042" s="406">
        <v>465455</v>
      </c>
      <c r="DJ1042" s="408">
        <v>5</v>
      </c>
      <c r="DK1042" s="405">
        <v>1</v>
      </c>
      <c r="DL1042" s="82">
        <v>340.55</v>
      </c>
      <c r="DM1042" s="409">
        <v>1.70275</v>
      </c>
      <c r="DN1042" s="82" t="s">
        <v>85</v>
      </c>
      <c r="DO1042" s="82" t="s">
        <v>85</v>
      </c>
      <c r="DP1042" s="410" t="s">
        <v>85</v>
      </c>
    </row>
    <row r="1043" spans="1:120" x14ac:dyDescent="0.25">
      <c r="A1043" s="16" t="s">
        <v>3725</v>
      </c>
      <c r="B1043" s="16" t="s">
        <v>3726</v>
      </c>
      <c r="C1043" s="16" t="s">
        <v>3727</v>
      </c>
      <c r="D1043" s="16" t="s">
        <v>3518</v>
      </c>
      <c r="E1043" s="16" t="s">
        <v>3728</v>
      </c>
      <c r="F1043" s="16" t="s">
        <v>3729</v>
      </c>
      <c r="G1043" s="16" t="s">
        <v>3730</v>
      </c>
      <c r="H1043" s="16" t="s">
        <v>3729</v>
      </c>
      <c r="I1043" s="16" t="s">
        <v>1638</v>
      </c>
      <c r="J1043" s="16" t="s">
        <v>943</v>
      </c>
      <c r="K1043" s="16" t="s">
        <v>1639</v>
      </c>
      <c r="L1043" s="16" t="s">
        <v>85</v>
      </c>
      <c r="M1043" s="16" t="s">
        <v>984</v>
      </c>
      <c r="N1043" s="16" t="s">
        <v>914</v>
      </c>
      <c r="O1043" s="16" t="s">
        <v>985</v>
      </c>
      <c r="P1043" s="16" t="s">
        <v>914</v>
      </c>
      <c r="Q1043" s="16" t="s">
        <v>985</v>
      </c>
      <c r="R1043" s="16" t="s">
        <v>915</v>
      </c>
      <c r="S1043" s="16" t="s">
        <v>915</v>
      </c>
      <c r="T1043" s="16" t="s">
        <v>986</v>
      </c>
      <c r="U1043" s="16" t="s">
        <v>987</v>
      </c>
      <c r="V1043" s="16" t="s">
        <v>916</v>
      </c>
      <c r="W1043" s="16" t="s">
        <v>987</v>
      </c>
      <c r="X1043" s="16" t="s">
        <v>934</v>
      </c>
      <c r="Y1043" s="16" t="s">
        <v>934</v>
      </c>
      <c r="Z1043" s="16" t="s">
        <v>935</v>
      </c>
      <c r="DA1043" s="405" t="s">
        <v>5</v>
      </c>
      <c r="DB1043" s="405" t="s">
        <v>363</v>
      </c>
      <c r="DC1043" s="406" t="s">
        <v>85</v>
      </c>
      <c r="DD1043" s="405" t="s">
        <v>917</v>
      </c>
      <c r="DE1043" s="405" t="s">
        <v>5</v>
      </c>
      <c r="DF1043" s="406" t="s">
        <v>85</v>
      </c>
      <c r="DG1043" s="407">
        <v>45860</v>
      </c>
      <c r="DH1043" s="405" t="s">
        <v>3728</v>
      </c>
      <c r="DI1043" s="406">
        <v>465455</v>
      </c>
      <c r="DJ1043" s="408">
        <v>5</v>
      </c>
      <c r="DK1043" s="405">
        <v>1</v>
      </c>
      <c r="DL1043" s="82">
        <v>340.55</v>
      </c>
      <c r="DM1043" s="409">
        <v>1.70275</v>
      </c>
      <c r="DN1043" s="82" t="s">
        <v>85</v>
      </c>
      <c r="DO1043" s="82" t="s">
        <v>85</v>
      </c>
      <c r="DP1043" s="410" t="s">
        <v>85</v>
      </c>
    </row>
    <row r="1044" spans="1:120" x14ac:dyDescent="0.25">
      <c r="A1044" s="16" t="s">
        <v>3731</v>
      </c>
      <c r="B1044" s="16" t="s">
        <v>3732</v>
      </c>
      <c r="C1044" s="16" t="s">
        <v>3733</v>
      </c>
      <c r="D1044" s="16" t="s">
        <v>3518</v>
      </c>
      <c r="E1044" s="16" t="s">
        <v>3734</v>
      </c>
      <c r="F1044" s="16" t="s">
        <v>3735</v>
      </c>
      <c r="G1044" s="16" t="s">
        <v>3736</v>
      </c>
      <c r="H1044" s="16" t="s">
        <v>3735</v>
      </c>
      <c r="I1044" s="16" t="s">
        <v>1269</v>
      </c>
      <c r="J1044" s="16" t="s">
        <v>943</v>
      </c>
      <c r="K1044" s="16" t="s">
        <v>1270</v>
      </c>
      <c r="L1044" s="16" t="s">
        <v>85</v>
      </c>
      <c r="M1044" s="16" t="s">
        <v>984</v>
      </c>
      <c r="N1044" s="16" t="s">
        <v>914</v>
      </c>
      <c r="O1044" s="16" t="s">
        <v>985</v>
      </c>
      <c r="P1044" s="16" t="s">
        <v>914</v>
      </c>
      <c r="Q1044" s="16" t="s">
        <v>985</v>
      </c>
      <c r="R1044" s="16" t="s">
        <v>915</v>
      </c>
      <c r="S1044" s="16" t="s">
        <v>915</v>
      </c>
      <c r="T1044" s="16" t="s">
        <v>986</v>
      </c>
      <c r="U1044" s="16" t="s">
        <v>987</v>
      </c>
      <c r="V1044" s="16" t="s">
        <v>916</v>
      </c>
      <c r="W1044" s="16" t="s">
        <v>987</v>
      </c>
      <c r="X1044" s="16" t="s">
        <v>934</v>
      </c>
      <c r="Y1044" s="16" t="s">
        <v>934</v>
      </c>
      <c r="Z1044" s="16" t="s">
        <v>935</v>
      </c>
      <c r="DA1044" s="405" t="s">
        <v>5</v>
      </c>
      <c r="DB1044" s="405" t="s">
        <v>363</v>
      </c>
      <c r="DC1044" s="406" t="s">
        <v>85</v>
      </c>
      <c r="DD1044" s="405" t="s">
        <v>917</v>
      </c>
      <c r="DE1044" s="405" t="s">
        <v>5</v>
      </c>
      <c r="DF1044" s="406" t="s">
        <v>85</v>
      </c>
      <c r="DG1044" s="407">
        <v>45860</v>
      </c>
      <c r="DH1044" s="405" t="s">
        <v>3734</v>
      </c>
      <c r="DI1044" s="406">
        <v>465455</v>
      </c>
      <c r="DJ1044" s="408">
        <v>5</v>
      </c>
      <c r="DK1044" s="405">
        <v>1</v>
      </c>
      <c r="DL1044" s="82">
        <v>340.55</v>
      </c>
      <c r="DM1044" s="409">
        <v>1.70275</v>
      </c>
      <c r="DN1044" s="82" t="s">
        <v>85</v>
      </c>
      <c r="DO1044" s="82" t="s">
        <v>85</v>
      </c>
      <c r="DP1044" s="410" t="s">
        <v>85</v>
      </c>
    </row>
    <row r="1045" spans="1:120" x14ac:dyDescent="0.25">
      <c r="A1045" s="16" t="s">
        <v>3204</v>
      </c>
      <c r="B1045" s="16" t="s">
        <v>3205</v>
      </c>
      <c r="C1045" s="16" t="s">
        <v>3206</v>
      </c>
      <c r="D1045" s="16" t="s">
        <v>3207</v>
      </c>
      <c r="E1045" s="16" t="s">
        <v>3208</v>
      </c>
      <c r="F1045" s="16" t="s">
        <v>3209</v>
      </c>
      <c r="G1045" s="16" t="s">
        <v>3210</v>
      </c>
      <c r="H1045" s="16" t="s">
        <v>3209</v>
      </c>
      <c r="I1045" s="16" t="s">
        <v>1598</v>
      </c>
      <c r="J1045" s="16" t="s">
        <v>995</v>
      </c>
      <c r="K1045" s="16" t="s">
        <v>1599</v>
      </c>
      <c r="L1045" s="16" t="s">
        <v>85</v>
      </c>
      <c r="M1045" s="16" t="s">
        <v>1165</v>
      </c>
      <c r="N1045" s="16" t="s">
        <v>914</v>
      </c>
      <c r="O1045" s="16" t="s">
        <v>1166</v>
      </c>
      <c r="P1045" s="16" t="s">
        <v>914</v>
      </c>
      <c r="Q1045" s="16" t="s">
        <v>1166</v>
      </c>
      <c r="R1045" s="16" t="s">
        <v>915</v>
      </c>
      <c r="S1045" s="16" t="s">
        <v>915</v>
      </c>
      <c r="T1045" s="16" t="s">
        <v>1167</v>
      </c>
      <c r="U1045" s="16" t="s">
        <v>1168</v>
      </c>
      <c r="V1045" s="16" t="s">
        <v>916</v>
      </c>
      <c r="W1045" s="16" t="s">
        <v>1168</v>
      </c>
      <c r="X1045" s="16" t="s">
        <v>934</v>
      </c>
      <c r="Y1045" s="16" t="s">
        <v>934</v>
      </c>
      <c r="Z1045" s="16" t="s">
        <v>935</v>
      </c>
      <c r="DA1045" s="405" t="s">
        <v>5</v>
      </c>
      <c r="DB1045" s="405" t="s">
        <v>363</v>
      </c>
      <c r="DC1045" s="406" t="s">
        <v>85</v>
      </c>
      <c r="DD1045" s="405" t="s">
        <v>917</v>
      </c>
      <c r="DE1045" s="405" t="s">
        <v>5</v>
      </c>
      <c r="DF1045" s="406" t="s">
        <v>85</v>
      </c>
      <c r="DG1045" s="407">
        <v>45861</v>
      </c>
      <c r="DH1045" s="405" t="s">
        <v>3208</v>
      </c>
      <c r="DI1045" s="406">
        <v>465455</v>
      </c>
      <c r="DJ1045" s="408">
        <v>5</v>
      </c>
      <c r="DK1045" s="405">
        <v>1</v>
      </c>
      <c r="DL1045" s="82">
        <v>468.28</v>
      </c>
      <c r="DM1045" s="409">
        <v>2.3413999999999997</v>
      </c>
      <c r="DN1045" s="82" t="s">
        <v>85</v>
      </c>
      <c r="DO1045" s="82" t="s">
        <v>85</v>
      </c>
      <c r="DP1045" s="410" t="s">
        <v>85</v>
      </c>
    </row>
    <row r="1046" spans="1:120" x14ac:dyDescent="0.25">
      <c r="A1046" s="16" t="s">
        <v>3211</v>
      </c>
      <c r="B1046" s="16" t="s">
        <v>3212</v>
      </c>
      <c r="C1046" s="16" t="s">
        <v>3213</v>
      </c>
      <c r="D1046" s="16" t="s">
        <v>3207</v>
      </c>
      <c r="E1046" s="16" t="s">
        <v>3214</v>
      </c>
      <c r="F1046" s="16" t="s">
        <v>3215</v>
      </c>
      <c r="G1046" s="16" t="s">
        <v>3216</v>
      </c>
      <c r="H1046" s="16" t="s">
        <v>3217</v>
      </c>
      <c r="I1046" s="16" t="s">
        <v>1620</v>
      </c>
      <c r="J1046" s="16" t="s">
        <v>943</v>
      </c>
      <c r="K1046" s="16" t="s">
        <v>1621</v>
      </c>
      <c r="L1046" s="16" t="s">
        <v>85</v>
      </c>
      <c r="M1046" s="16" t="s">
        <v>984</v>
      </c>
      <c r="N1046" s="16" t="s">
        <v>914</v>
      </c>
      <c r="O1046" s="16" t="s">
        <v>985</v>
      </c>
      <c r="P1046" s="16" t="s">
        <v>914</v>
      </c>
      <c r="Q1046" s="16" t="s">
        <v>985</v>
      </c>
      <c r="R1046" s="16" t="s">
        <v>915</v>
      </c>
      <c r="S1046" s="16" t="s">
        <v>915</v>
      </c>
      <c r="T1046" s="16" t="s">
        <v>986</v>
      </c>
      <c r="U1046" s="16" t="s">
        <v>987</v>
      </c>
      <c r="V1046" s="16" t="s">
        <v>916</v>
      </c>
      <c r="W1046" s="16" t="s">
        <v>987</v>
      </c>
      <c r="X1046" s="16" t="s">
        <v>934</v>
      </c>
      <c r="Y1046" s="16" t="s">
        <v>934</v>
      </c>
      <c r="Z1046" s="16" t="s">
        <v>935</v>
      </c>
      <c r="DA1046" s="405" t="s">
        <v>5</v>
      </c>
      <c r="DB1046" s="405" t="s">
        <v>363</v>
      </c>
      <c r="DC1046" s="406" t="s">
        <v>85</v>
      </c>
      <c r="DD1046" s="405" t="s">
        <v>917</v>
      </c>
      <c r="DE1046" s="405" t="s">
        <v>5</v>
      </c>
      <c r="DF1046" s="406" t="s">
        <v>85</v>
      </c>
      <c r="DG1046" s="407">
        <v>45861</v>
      </c>
      <c r="DH1046" s="405" t="s">
        <v>3214</v>
      </c>
      <c r="DI1046" s="406">
        <v>465455</v>
      </c>
      <c r="DJ1046" s="408">
        <v>5</v>
      </c>
      <c r="DK1046" s="405">
        <v>1</v>
      </c>
      <c r="DL1046" s="82">
        <v>340.55</v>
      </c>
      <c r="DM1046" s="409">
        <v>1.70275</v>
      </c>
      <c r="DN1046" s="82" t="s">
        <v>85</v>
      </c>
      <c r="DO1046" s="82" t="s">
        <v>85</v>
      </c>
      <c r="DP1046" s="410" t="s">
        <v>85</v>
      </c>
    </row>
    <row r="1047" spans="1:120" x14ac:dyDescent="0.25">
      <c r="A1047" s="16" t="s">
        <v>3218</v>
      </c>
      <c r="B1047" s="16" t="s">
        <v>3219</v>
      </c>
      <c r="C1047" s="16" t="s">
        <v>3220</v>
      </c>
      <c r="D1047" s="16" t="s">
        <v>3207</v>
      </c>
      <c r="E1047" s="16" t="s">
        <v>3221</v>
      </c>
      <c r="F1047" s="16" t="s">
        <v>3222</v>
      </c>
      <c r="G1047" s="16" t="s">
        <v>3223</v>
      </c>
      <c r="H1047" s="16" t="s">
        <v>3222</v>
      </c>
      <c r="I1047" s="16" t="s">
        <v>3224</v>
      </c>
      <c r="J1047" s="16" t="s">
        <v>928</v>
      </c>
      <c r="K1047" s="16" t="s">
        <v>3225</v>
      </c>
      <c r="L1047" s="16" t="s">
        <v>85</v>
      </c>
      <c r="M1047" s="16" t="s">
        <v>1322</v>
      </c>
      <c r="N1047" s="16" t="s">
        <v>914</v>
      </c>
      <c r="O1047" s="16" t="s">
        <v>1323</v>
      </c>
      <c r="P1047" s="16" t="s">
        <v>914</v>
      </c>
      <c r="Q1047" s="16" t="s">
        <v>1323</v>
      </c>
      <c r="R1047" s="16" t="s">
        <v>915</v>
      </c>
      <c r="S1047" s="16" t="s">
        <v>915</v>
      </c>
      <c r="T1047" s="16" t="s">
        <v>1322</v>
      </c>
      <c r="U1047" s="16" t="s">
        <v>1324</v>
      </c>
      <c r="V1047" s="16" t="s">
        <v>916</v>
      </c>
      <c r="W1047" s="16" t="s">
        <v>1324</v>
      </c>
      <c r="X1047" s="16" t="s">
        <v>934</v>
      </c>
      <c r="Y1047" s="16" t="s">
        <v>934</v>
      </c>
      <c r="Z1047" s="16" t="s">
        <v>935</v>
      </c>
      <c r="DA1047" s="405" t="s">
        <v>5</v>
      </c>
      <c r="DB1047" s="405" t="s">
        <v>363</v>
      </c>
      <c r="DC1047" s="406" t="s">
        <v>85</v>
      </c>
      <c r="DD1047" s="405" t="s">
        <v>917</v>
      </c>
      <c r="DE1047" s="405" t="s">
        <v>5</v>
      </c>
      <c r="DF1047" s="406" t="s">
        <v>85</v>
      </c>
      <c r="DG1047" s="407">
        <v>45861</v>
      </c>
      <c r="DH1047" s="405" t="s">
        <v>3221</v>
      </c>
      <c r="DI1047" s="406">
        <v>465455</v>
      </c>
      <c r="DJ1047" s="408">
        <v>5</v>
      </c>
      <c r="DK1047" s="405">
        <v>1</v>
      </c>
      <c r="DL1047" s="82">
        <v>332.47</v>
      </c>
      <c r="DM1047" s="409">
        <v>1.6623500000000002</v>
      </c>
      <c r="DN1047" s="82" t="s">
        <v>85</v>
      </c>
      <c r="DO1047" s="82" t="s">
        <v>85</v>
      </c>
      <c r="DP1047" s="410" t="s">
        <v>85</v>
      </c>
    </row>
    <row r="1048" spans="1:120" x14ac:dyDescent="0.25">
      <c r="A1048" s="16" t="s">
        <v>3226</v>
      </c>
      <c r="B1048" s="16" t="s">
        <v>3227</v>
      </c>
      <c r="C1048" s="16" t="s">
        <v>3228</v>
      </c>
      <c r="D1048" s="16" t="s">
        <v>3207</v>
      </c>
      <c r="E1048" s="16" t="s">
        <v>3229</v>
      </c>
      <c r="F1048" s="16" t="s">
        <v>3230</v>
      </c>
      <c r="G1048" s="16" t="s">
        <v>3231</v>
      </c>
      <c r="H1048" s="16" t="s">
        <v>3230</v>
      </c>
      <c r="I1048" s="16" t="s">
        <v>1914</v>
      </c>
      <c r="J1048" s="16" t="s">
        <v>928</v>
      </c>
      <c r="K1048" s="16" t="s">
        <v>1915</v>
      </c>
      <c r="L1048" s="16" t="s">
        <v>85</v>
      </c>
      <c r="M1048" s="16" t="s">
        <v>1322</v>
      </c>
      <c r="N1048" s="16" t="s">
        <v>914</v>
      </c>
      <c r="O1048" s="16" t="s">
        <v>1323</v>
      </c>
      <c r="P1048" s="16" t="s">
        <v>914</v>
      </c>
      <c r="Q1048" s="16" t="s">
        <v>1323</v>
      </c>
      <c r="R1048" s="16" t="s">
        <v>915</v>
      </c>
      <c r="S1048" s="16" t="s">
        <v>915</v>
      </c>
      <c r="T1048" s="16" t="s">
        <v>1322</v>
      </c>
      <c r="U1048" s="16" t="s">
        <v>1324</v>
      </c>
      <c r="V1048" s="16" t="s">
        <v>916</v>
      </c>
      <c r="W1048" s="16" t="s">
        <v>1324</v>
      </c>
      <c r="X1048" s="16" t="s">
        <v>934</v>
      </c>
      <c r="Y1048" s="16" t="s">
        <v>934</v>
      </c>
      <c r="Z1048" s="16" t="s">
        <v>935</v>
      </c>
      <c r="DA1048" s="405" t="s">
        <v>5</v>
      </c>
      <c r="DB1048" s="405" t="s">
        <v>363</v>
      </c>
      <c r="DC1048" s="406" t="s">
        <v>85</v>
      </c>
      <c r="DD1048" s="405" t="s">
        <v>917</v>
      </c>
      <c r="DE1048" s="405" t="s">
        <v>5</v>
      </c>
      <c r="DF1048" s="406" t="s">
        <v>85</v>
      </c>
      <c r="DG1048" s="407">
        <v>45861</v>
      </c>
      <c r="DH1048" s="405" t="s">
        <v>3229</v>
      </c>
      <c r="DI1048" s="406">
        <v>465455</v>
      </c>
      <c r="DJ1048" s="408">
        <v>5</v>
      </c>
      <c r="DK1048" s="405">
        <v>1</v>
      </c>
      <c r="DL1048" s="82">
        <v>332.47</v>
      </c>
      <c r="DM1048" s="409">
        <v>1.6623500000000002</v>
      </c>
      <c r="DN1048" s="82" t="s">
        <v>85</v>
      </c>
      <c r="DO1048" s="82" t="s">
        <v>85</v>
      </c>
      <c r="DP1048" s="410" t="s">
        <v>85</v>
      </c>
    </row>
    <row r="1049" spans="1:120" x14ac:dyDescent="0.25">
      <c r="A1049" s="16" t="s">
        <v>3226</v>
      </c>
      <c r="B1049" s="16" t="s">
        <v>3227</v>
      </c>
      <c r="C1049" s="16" t="s">
        <v>3228</v>
      </c>
      <c r="D1049" s="16" t="s">
        <v>3207</v>
      </c>
      <c r="E1049" s="16" t="s">
        <v>3229</v>
      </c>
      <c r="F1049" s="16" t="s">
        <v>3230</v>
      </c>
      <c r="G1049" s="16" t="s">
        <v>3231</v>
      </c>
      <c r="H1049" s="16" t="s">
        <v>3230</v>
      </c>
      <c r="I1049" s="16" t="s">
        <v>2425</v>
      </c>
      <c r="J1049" s="16" t="s">
        <v>928</v>
      </c>
      <c r="K1049" s="16" t="s">
        <v>2426</v>
      </c>
      <c r="L1049" s="16" t="s">
        <v>85</v>
      </c>
      <c r="M1049" s="16" t="s">
        <v>1322</v>
      </c>
      <c r="N1049" s="16" t="s">
        <v>914</v>
      </c>
      <c r="O1049" s="16" t="s">
        <v>1323</v>
      </c>
      <c r="P1049" s="16" t="s">
        <v>914</v>
      </c>
      <c r="Q1049" s="16" t="s">
        <v>1323</v>
      </c>
      <c r="R1049" s="16" t="s">
        <v>915</v>
      </c>
      <c r="S1049" s="16" t="s">
        <v>915</v>
      </c>
      <c r="T1049" s="16" t="s">
        <v>1322</v>
      </c>
      <c r="U1049" s="16" t="s">
        <v>1324</v>
      </c>
      <c r="V1049" s="16" t="s">
        <v>916</v>
      </c>
      <c r="W1049" s="16" t="s">
        <v>1324</v>
      </c>
      <c r="X1049" s="16" t="s">
        <v>934</v>
      </c>
      <c r="Y1049" s="16" t="s">
        <v>934</v>
      </c>
      <c r="Z1049" s="16" t="s">
        <v>935</v>
      </c>
      <c r="DA1049" s="405" t="s">
        <v>5</v>
      </c>
      <c r="DB1049" s="405" t="s">
        <v>363</v>
      </c>
      <c r="DC1049" s="406" t="s">
        <v>85</v>
      </c>
      <c r="DD1049" s="405" t="s">
        <v>917</v>
      </c>
      <c r="DE1049" s="405" t="s">
        <v>5</v>
      </c>
      <c r="DF1049" s="406" t="s">
        <v>85</v>
      </c>
      <c r="DG1049" s="407">
        <v>45861</v>
      </c>
      <c r="DH1049" s="405" t="s">
        <v>3229</v>
      </c>
      <c r="DI1049" s="406">
        <v>465455</v>
      </c>
      <c r="DJ1049" s="408">
        <v>5</v>
      </c>
      <c r="DK1049" s="405">
        <v>1</v>
      </c>
      <c r="DL1049" s="82">
        <v>332.47</v>
      </c>
      <c r="DM1049" s="409">
        <v>1.6623500000000002</v>
      </c>
      <c r="DN1049" s="82" t="s">
        <v>85</v>
      </c>
      <c r="DO1049" s="82" t="s">
        <v>85</v>
      </c>
      <c r="DP1049" s="410" t="s">
        <v>85</v>
      </c>
    </row>
    <row r="1050" spans="1:120" x14ac:dyDescent="0.25">
      <c r="A1050" s="16" t="s">
        <v>3232</v>
      </c>
      <c r="B1050" s="16" t="s">
        <v>3233</v>
      </c>
      <c r="C1050" s="16" t="s">
        <v>3234</v>
      </c>
      <c r="D1050" s="16" t="s">
        <v>3207</v>
      </c>
      <c r="E1050" s="16" t="s">
        <v>3235</v>
      </c>
      <c r="F1050" s="16" t="s">
        <v>3236</v>
      </c>
      <c r="G1050" s="16" t="s">
        <v>3237</v>
      </c>
      <c r="H1050" s="16" t="s">
        <v>3238</v>
      </c>
      <c r="I1050" s="16" t="s">
        <v>3239</v>
      </c>
      <c r="J1050" s="16" t="s">
        <v>1123</v>
      </c>
      <c r="K1050" s="16" t="s">
        <v>3240</v>
      </c>
      <c r="L1050" s="16" t="s">
        <v>85</v>
      </c>
      <c r="M1050" s="16" t="s">
        <v>1238</v>
      </c>
      <c r="N1050" s="16" t="s">
        <v>914</v>
      </c>
      <c r="O1050" s="16" t="s">
        <v>1239</v>
      </c>
      <c r="P1050" s="16" t="s">
        <v>914</v>
      </c>
      <c r="Q1050" s="16" t="s">
        <v>1239</v>
      </c>
      <c r="R1050" s="16" t="s">
        <v>915</v>
      </c>
      <c r="S1050" s="16" t="s">
        <v>915</v>
      </c>
      <c r="T1050" s="16" t="s">
        <v>1238</v>
      </c>
      <c r="U1050" s="16" t="s">
        <v>1240</v>
      </c>
      <c r="V1050" s="16" t="s">
        <v>916</v>
      </c>
      <c r="W1050" s="16" t="s">
        <v>1240</v>
      </c>
      <c r="X1050" s="16" t="s">
        <v>934</v>
      </c>
      <c r="Y1050" s="16" t="s">
        <v>934</v>
      </c>
      <c r="Z1050" s="16" t="s">
        <v>935</v>
      </c>
      <c r="DA1050" s="405" t="s">
        <v>5</v>
      </c>
      <c r="DB1050" s="405" t="s">
        <v>363</v>
      </c>
      <c r="DC1050" s="406" t="s">
        <v>85</v>
      </c>
      <c r="DD1050" s="405" t="s">
        <v>917</v>
      </c>
      <c r="DE1050" s="405" t="s">
        <v>5</v>
      </c>
      <c r="DF1050" s="406" t="s">
        <v>85</v>
      </c>
      <c r="DG1050" s="407">
        <v>45861</v>
      </c>
      <c r="DH1050" s="405" t="s">
        <v>3235</v>
      </c>
      <c r="DI1050" s="406">
        <v>465455</v>
      </c>
      <c r="DJ1050" s="408">
        <v>5</v>
      </c>
      <c r="DK1050" s="405">
        <v>1</v>
      </c>
      <c r="DL1050" s="82">
        <v>383.16</v>
      </c>
      <c r="DM1050" s="409">
        <v>1.9158000000000002</v>
      </c>
      <c r="DN1050" s="82" t="s">
        <v>85</v>
      </c>
      <c r="DO1050" s="82" t="s">
        <v>85</v>
      </c>
      <c r="DP1050" s="410" t="s">
        <v>85</v>
      </c>
    </row>
    <row r="1051" spans="1:120" x14ac:dyDescent="0.25">
      <c r="A1051" s="16" t="s">
        <v>3241</v>
      </c>
      <c r="B1051" s="16" t="s">
        <v>3242</v>
      </c>
      <c r="C1051" s="16" t="s">
        <v>3243</v>
      </c>
      <c r="D1051" s="16" t="s">
        <v>3207</v>
      </c>
      <c r="E1051" s="16" t="s">
        <v>3244</v>
      </c>
      <c r="F1051" s="16" t="s">
        <v>3245</v>
      </c>
      <c r="G1051" s="16" t="s">
        <v>3246</v>
      </c>
      <c r="H1051" s="16" t="s">
        <v>3245</v>
      </c>
      <c r="I1051" s="16" t="s">
        <v>1781</v>
      </c>
      <c r="J1051" s="16" t="s">
        <v>995</v>
      </c>
      <c r="K1051" s="16" t="s">
        <v>1782</v>
      </c>
      <c r="L1051" s="16" t="s">
        <v>85</v>
      </c>
      <c r="M1051" s="16" t="s">
        <v>1165</v>
      </c>
      <c r="N1051" s="16" t="s">
        <v>914</v>
      </c>
      <c r="O1051" s="16" t="s">
        <v>1166</v>
      </c>
      <c r="P1051" s="16" t="s">
        <v>914</v>
      </c>
      <c r="Q1051" s="16" t="s">
        <v>1166</v>
      </c>
      <c r="R1051" s="16" t="s">
        <v>915</v>
      </c>
      <c r="S1051" s="16" t="s">
        <v>915</v>
      </c>
      <c r="T1051" s="16" t="s">
        <v>1167</v>
      </c>
      <c r="U1051" s="16" t="s">
        <v>1168</v>
      </c>
      <c r="V1051" s="16" t="s">
        <v>916</v>
      </c>
      <c r="W1051" s="16" t="s">
        <v>1168</v>
      </c>
      <c r="X1051" s="16" t="s">
        <v>934</v>
      </c>
      <c r="Y1051" s="16" t="s">
        <v>934</v>
      </c>
      <c r="Z1051" s="16" t="s">
        <v>935</v>
      </c>
      <c r="DA1051" s="405" t="s">
        <v>5</v>
      </c>
      <c r="DB1051" s="405" t="s">
        <v>363</v>
      </c>
      <c r="DC1051" s="406" t="s">
        <v>85</v>
      </c>
      <c r="DD1051" s="405" t="s">
        <v>917</v>
      </c>
      <c r="DE1051" s="405" t="s">
        <v>5</v>
      </c>
      <c r="DF1051" s="406" t="s">
        <v>85</v>
      </c>
      <c r="DG1051" s="407">
        <v>45861</v>
      </c>
      <c r="DH1051" s="405" t="s">
        <v>3244</v>
      </c>
      <c r="DI1051" s="406">
        <v>465455</v>
      </c>
      <c r="DJ1051" s="408">
        <v>5</v>
      </c>
      <c r="DK1051" s="405">
        <v>1</v>
      </c>
      <c r="DL1051" s="82">
        <v>468.28</v>
      </c>
      <c r="DM1051" s="409">
        <v>2.3413999999999997</v>
      </c>
      <c r="DN1051" s="82" t="s">
        <v>85</v>
      </c>
      <c r="DO1051" s="82" t="s">
        <v>85</v>
      </c>
      <c r="DP1051" s="410" t="s">
        <v>85</v>
      </c>
    </row>
    <row r="1052" spans="1:120" x14ac:dyDescent="0.25">
      <c r="A1052" s="16" t="s">
        <v>3247</v>
      </c>
      <c r="B1052" s="16" t="s">
        <v>3248</v>
      </c>
      <c r="C1052" s="16" t="s">
        <v>3249</v>
      </c>
      <c r="D1052" s="16" t="s">
        <v>3207</v>
      </c>
      <c r="E1052" s="16" t="s">
        <v>3250</v>
      </c>
      <c r="F1052" s="16" t="s">
        <v>3251</v>
      </c>
      <c r="G1052" s="16" t="s">
        <v>3252</v>
      </c>
      <c r="H1052" s="16" t="s">
        <v>3251</v>
      </c>
      <c r="I1052" s="16" t="s">
        <v>1163</v>
      </c>
      <c r="J1052" s="16" t="s">
        <v>995</v>
      </c>
      <c r="K1052" s="16" t="s">
        <v>1164</v>
      </c>
      <c r="L1052" s="16" t="s">
        <v>85</v>
      </c>
      <c r="M1052" s="16" t="s">
        <v>1165</v>
      </c>
      <c r="N1052" s="16" t="s">
        <v>914</v>
      </c>
      <c r="O1052" s="16" t="s">
        <v>1166</v>
      </c>
      <c r="P1052" s="16" t="s">
        <v>914</v>
      </c>
      <c r="Q1052" s="16" t="s">
        <v>1166</v>
      </c>
      <c r="R1052" s="16" t="s">
        <v>915</v>
      </c>
      <c r="S1052" s="16" t="s">
        <v>915</v>
      </c>
      <c r="T1052" s="16" t="s">
        <v>1167</v>
      </c>
      <c r="U1052" s="16" t="s">
        <v>1168</v>
      </c>
      <c r="V1052" s="16" t="s">
        <v>916</v>
      </c>
      <c r="W1052" s="16" t="s">
        <v>1168</v>
      </c>
      <c r="X1052" s="16" t="s">
        <v>934</v>
      </c>
      <c r="Y1052" s="16" t="s">
        <v>934</v>
      </c>
      <c r="Z1052" s="16" t="s">
        <v>935</v>
      </c>
      <c r="DA1052" s="405" t="s">
        <v>5</v>
      </c>
      <c r="DB1052" s="405" t="s">
        <v>363</v>
      </c>
      <c r="DC1052" s="406" t="s">
        <v>85</v>
      </c>
      <c r="DD1052" s="405" t="s">
        <v>917</v>
      </c>
      <c r="DE1052" s="405" t="s">
        <v>5</v>
      </c>
      <c r="DF1052" s="406" t="s">
        <v>85</v>
      </c>
      <c r="DG1052" s="407">
        <v>45861</v>
      </c>
      <c r="DH1052" s="405" t="s">
        <v>3250</v>
      </c>
      <c r="DI1052" s="406">
        <v>465455</v>
      </c>
      <c r="DJ1052" s="408">
        <v>5</v>
      </c>
      <c r="DK1052" s="405">
        <v>1</v>
      </c>
      <c r="DL1052" s="82">
        <v>468.28</v>
      </c>
      <c r="DM1052" s="409">
        <v>2.3413999999999997</v>
      </c>
      <c r="DN1052" s="82" t="s">
        <v>85</v>
      </c>
      <c r="DO1052" s="82" t="s">
        <v>85</v>
      </c>
      <c r="DP1052" s="410" t="s">
        <v>85</v>
      </c>
    </row>
    <row r="1053" spans="1:120" x14ac:dyDescent="0.25">
      <c r="A1053" s="16" t="s">
        <v>3253</v>
      </c>
      <c r="B1053" s="16" t="s">
        <v>3254</v>
      </c>
      <c r="C1053" s="16" t="s">
        <v>3255</v>
      </c>
      <c r="D1053" s="16" t="s">
        <v>3207</v>
      </c>
      <c r="E1053" s="16" t="s">
        <v>3256</v>
      </c>
      <c r="F1053" s="16" t="s">
        <v>3257</v>
      </c>
      <c r="G1053" s="16" t="s">
        <v>3258</v>
      </c>
      <c r="H1053" s="16" t="s">
        <v>3257</v>
      </c>
      <c r="I1053" s="16" t="s">
        <v>1377</v>
      </c>
      <c r="J1053" s="16" t="s">
        <v>943</v>
      </c>
      <c r="K1053" s="16" t="s">
        <v>1378</v>
      </c>
      <c r="L1053" s="16" t="s">
        <v>85</v>
      </c>
      <c r="M1053" s="16" t="s">
        <v>984</v>
      </c>
      <c r="N1053" s="16" t="s">
        <v>914</v>
      </c>
      <c r="O1053" s="16" t="s">
        <v>985</v>
      </c>
      <c r="P1053" s="16" t="s">
        <v>914</v>
      </c>
      <c r="Q1053" s="16" t="s">
        <v>985</v>
      </c>
      <c r="R1053" s="16" t="s">
        <v>915</v>
      </c>
      <c r="S1053" s="16" t="s">
        <v>915</v>
      </c>
      <c r="T1053" s="16" t="s">
        <v>986</v>
      </c>
      <c r="U1053" s="16" t="s">
        <v>987</v>
      </c>
      <c r="V1053" s="16" t="s">
        <v>916</v>
      </c>
      <c r="W1053" s="16" t="s">
        <v>987</v>
      </c>
      <c r="X1053" s="16" t="s">
        <v>934</v>
      </c>
      <c r="Y1053" s="16" t="s">
        <v>934</v>
      </c>
      <c r="Z1053" s="16" t="s">
        <v>935</v>
      </c>
      <c r="DA1053" s="405" t="s">
        <v>5</v>
      </c>
      <c r="DB1053" s="405" t="s">
        <v>363</v>
      </c>
      <c r="DC1053" s="406" t="s">
        <v>85</v>
      </c>
      <c r="DD1053" s="405" t="s">
        <v>917</v>
      </c>
      <c r="DE1053" s="405" t="s">
        <v>5</v>
      </c>
      <c r="DF1053" s="406" t="s">
        <v>85</v>
      </c>
      <c r="DG1053" s="407">
        <v>45861</v>
      </c>
      <c r="DH1053" s="405" t="s">
        <v>3256</v>
      </c>
      <c r="DI1053" s="406">
        <v>465455</v>
      </c>
      <c r="DJ1053" s="408">
        <v>5</v>
      </c>
      <c r="DK1053" s="405">
        <v>1</v>
      </c>
      <c r="DL1053" s="82">
        <v>340.55</v>
      </c>
      <c r="DM1053" s="409">
        <v>1.70275</v>
      </c>
      <c r="DN1053" s="82" t="s">
        <v>85</v>
      </c>
      <c r="DO1053" s="82" t="s">
        <v>85</v>
      </c>
      <c r="DP1053" s="410" t="s">
        <v>85</v>
      </c>
    </row>
    <row r="1054" spans="1:120" x14ac:dyDescent="0.25">
      <c r="A1054" s="16" t="s">
        <v>3253</v>
      </c>
      <c r="B1054" s="16" t="s">
        <v>3254</v>
      </c>
      <c r="C1054" s="16" t="s">
        <v>3255</v>
      </c>
      <c r="D1054" s="16" t="s">
        <v>3207</v>
      </c>
      <c r="E1054" s="16" t="s">
        <v>3256</v>
      </c>
      <c r="F1054" s="16" t="s">
        <v>3257</v>
      </c>
      <c r="G1054" s="16" t="s">
        <v>3258</v>
      </c>
      <c r="H1054" s="16" t="s">
        <v>3257</v>
      </c>
      <c r="I1054" s="16" t="s">
        <v>1099</v>
      </c>
      <c r="J1054" s="16" t="s">
        <v>943</v>
      </c>
      <c r="K1054" s="16" t="s">
        <v>1100</v>
      </c>
      <c r="L1054" s="16" t="s">
        <v>85</v>
      </c>
      <c r="M1054" s="16" t="s">
        <v>984</v>
      </c>
      <c r="N1054" s="16" t="s">
        <v>914</v>
      </c>
      <c r="O1054" s="16" t="s">
        <v>985</v>
      </c>
      <c r="P1054" s="16" t="s">
        <v>914</v>
      </c>
      <c r="Q1054" s="16" t="s">
        <v>985</v>
      </c>
      <c r="R1054" s="16" t="s">
        <v>915</v>
      </c>
      <c r="S1054" s="16" t="s">
        <v>915</v>
      </c>
      <c r="T1054" s="16" t="s">
        <v>986</v>
      </c>
      <c r="U1054" s="16" t="s">
        <v>987</v>
      </c>
      <c r="V1054" s="16" t="s">
        <v>916</v>
      </c>
      <c r="W1054" s="16" t="s">
        <v>987</v>
      </c>
      <c r="X1054" s="16" t="s">
        <v>934</v>
      </c>
      <c r="Y1054" s="16" t="s">
        <v>934</v>
      </c>
      <c r="Z1054" s="16" t="s">
        <v>935</v>
      </c>
      <c r="DA1054" s="405" t="s">
        <v>5</v>
      </c>
      <c r="DB1054" s="405" t="s">
        <v>363</v>
      </c>
      <c r="DC1054" s="406" t="s">
        <v>85</v>
      </c>
      <c r="DD1054" s="405" t="s">
        <v>917</v>
      </c>
      <c r="DE1054" s="405" t="s">
        <v>5</v>
      </c>
      <c r="DF1054" s="406" t="s">
        <v>85</v>
      </c>
      <c r="DG1054" s="407">
        <v>45861</v>
      </c>
      <c r="DH1054" s="405" t="s">
        <v>3256</v>
      </c>
      <c r="DI1054" s="406">
        <v>465455</v>
      </c>
      <c r="DJ1054" s="408">
        <v>5</v>
      </c>
      <c r="DK1054" s="405">
        <v>1</v>
      </c>
      <c r="DL1054" s="82">
        <v>340.55</v>
      </c>
      <c r="DM1054" s="409">
        <v>1.70275</v>
      </c>
      <c r="DN1054" s="82" t="s">
        <v>85</v>
      </c>
      <c r="DO1054" s="82" t="s">
        <v>85</v>
      </c>
      <c r="DP1054" s="410" t="s">
        <v>85</v>
      </c>
    </row>
    <row r="1055" spans="1:120" x14ac:dyDescent="0.25">
      <c r="A1055" s="16" t="s">
        <v>3253</v>
      </c>
      <c r="B1055" s="16" t="s">
        <v>3254</v>
      </c>
      <c r="C1055" s="16" t="s">
        <v>3255</v>
      </c>
      <c r="D1055" s="16" t="s">
        <v>3207</v>
      </c>
      <c r="E1055" s="16" t="s">
        <v>3256</v>
      </c>
      <c r="F1055" s="16" t="s">
        <v>3257</v>
      </c>
      <c r="G1055" s="16" t="s">
        <v>3258</v>
      </c>
      <c r="H1055" s="16" t="s">
        <v>3257</v>
      </c>
      <c r="I1055" s="16" t="s">
        <v>1287</v>
      </c>
      <c r="J1055" s="16" t="s">
        <v>943</v>
      </c>
      <c r="K1055" s="16" t="s">
        <v>1288</v>
      </c>
      <c r="L1055" s="16" t="s">
        <v>85</v>
      </c>
      <c r="M1055" s="16" t="s">
        <v>984</v>
      </c>
      <c r="N1055" s="16" t="s">
        <v>914</v>
      </c>
      <c r="O1055" s="16" t="s">
        <v>985</v>
      </c>
      <c r="P1055" s="16" t="s">
        <v>914</v>
      </c>
      <c r="Q1055" s="16" t="s">
        <v>985</v>
      </c>
      <c r="R1055" s="16" t="s">
        <v>915</v>
      </c>
      <c r="S1055" s="16" t="s">
        <v>915</v>
      </c>
      <c r="T1055" s="16" t="s">
        <v>986</v>
      </c>
      <c r="U1055" s="16" t="s">
        <v>987</v>
      </c>
      <c r="V1055" s="16" t="s">
        <v>916</v>
      </c>
      <c r="W1055" s="16" t="s">
        <v>987</v>
      </c>
      <c r="X1055" s="16" t="s">
        <v>934</v>
      </c>
      <c r="Y1055" s="16" t="s">
        <v>934</v>
      </c>
      <c r="Z1055" s="16" t="s">
        <v>935</v>
      </c>
      <c r="DA1055" s="405" t="s">
        <v>5</v>
      </c>
      <c r="DB1055" s="405" t="s">
        <v>363</v>
      </c>
      <c r="DC1055" s="406" t="s">
        <v>85</v>
      </c>
      <c r="DD1055" s="405" t="s">
        <v>917</v>
      </c>
      <c r="DE1055" s="405" t="s">
        <v>5</v>
      </c>
      <c r="DF1055" s="406" t="s">
        <v>85</v>
      </c>
      <c r="DG1055" s="407">
        <v>45861</v>
      </c>
      <c r="DH1055" s="405" t="s">
        <v>3256</v>
      </c>
      <c r="DI1055" s="406">
        <v>465455</v>
      </c>
      <c r="DJ1055" s="408">
        <v>5</v>
      </c>
      <c r="DK1055" s="405">
        <v>1</v>
      </c>
      <c r="DL1055" s="82">
        <v>340.55</v>
      </c>
      <c r="DM1055" s="409">
        <v>1.70275</v>
      </c>
      <c r="DN1055" s="82" t="s">
        <v>85</v>
      </c>
      <c r="DO1055" s="82" t="s">
        <v>85</v>
      </c>
      <c r="DP1055" s="410" t="s">
        <v>85</v>
      </c>
    </row>
    <row r="1056" spans="1:120" x14ac:dyDescent="0.25">
      <c r="A1056" s="16" t="s">
        <v>3259</v>
      </c>
      <c r="B1056" s="16" t="s">
        <v>3260</v>
      </c>
      <c r="C1056" s="16" t="s">
        <v>3261</v>
      </c>
      <c r="D1056" s="16" t="s">
        <v>3207</v>
      </c>
      <c r="E1056" s="16" t="s">
        <v>3262</v>
      </c>
      <c r="F1056" s="16" t="s">
        <v>3263</v>
      </c>
      <c r="G1056" s="16" t="s">
        <v>3264</v>
      </c>
      <c r="H1056" s="16" t="s">
        <v>3265</v>
      </c>
      <c r="I1056" s="16" t="s">
        <v>1332</v>
      </c>
      <c r="J1056" s="16" t="s">
        <v>1123</v>
      </c>
      <c r="K1056" s="16" t="s">
        <v>1333</v>
      </c>
      <c r="L1056" s="16" t="s">
        <v>85</v>
      </c>
      <c r="M1056" s="16" t="s">
        <v>1238</v>
      </c>
      <c r="N1056" s="16" t="s">
        <v>914</v>
      </c>
      <c r="O1056" s="16" t="s">
        <v>1239</v>
      </c>
      <c r="P1056" s="16" t="s">
        <v>914</v>
      </c>
      <c r="Q1056" s="16" t="s">
        <v>1239</v>
      </c>
      <c r="R1056" s="16" t="s">
        <v>915</v>
      </c>
      <c r="S1056" s="16" t="s">
        <v>915</v>
      </c>
      <c r="T1056" s="16" t="s">
        <v>1238</v>
      </c>
      <c r="U1056" s="16" t="s">
        <v>1240</v>
      </c>
      <c r="V1056" s="16" t="s">
        <v>916</v>
      </c>
      <c r="W1056" s="16" t="s">
        <v>1240</v>
      </c>
      <c r="X1056" s="16" t="s">
        <v>934</v>
      </c>
      <c r="Y1056" s="16" t="s">
        <v>934</v>
      </c>
      <c r="Z1056" s="16" t="s">
        <v>935</v>
      </c>
      <c r="DA1056" s="405" t="s">
        <v>5</v>
      </c>
      <c r="DB1056" s="405" t="s">
        <v>363</v>
      </c>
      <c r="DC1056" s="406" t="s">
        <v>85</v>
      </c>
      <c r="DD1056" s="405" t="s">
        <v>917</v>
      </c>
      <c r="DE1056" s="405" t="s">
        <v>5</v>
      </c>
      <c r="DF1056" s="406" t="s">
        <v>85</v>
      </c>
      <c r="DG1056" s="407">
        <v>45861</v>
      </c>
      <c r="DH1056" s="405" t="s">
        <v>3262</v>
      </c>
      <c r="DI1056" s="406">
        <v>465455</v>
      </c>
      <c r="DJ1056" s="408">
        <v>5</v>
      </c>
      <c r="DK1056" s="405">
        <v>1</v>
      </c>
      <c r="DL1056" s="82">
        <v>383.16</v>
      </c>
      <c r="DM1056" s="409">
        <v>1.9158000000000002</v>
      </c>
      <c r="DN1056" s="82" t="s">
        <v>85</v>
      </c>
      <c r="DO1056" s="82" t="s">
        <v>85</v>
      </c>
      <c r="DP1056" s="410" t="s">
        <v>85</v>
      </c>
    </row>
    <row r="1057" spans="1:120" x14ac:dyDescent="0.25">
      <c r="A1057" s="16" t="s">
        <v>3266</v>
      </c>
      <c r="B1057" s="16" t="s">
        <v>3267</v>
      </c>
      <c r="C1057" s="16" t="s">
        <v>3268</v>
      </c>
      <c r="D1057" s="16" t="s">
        <v>3207</v>
      </c>
      <c r="E1057" s="16" t="s">
        <v>3269</v>
      </c>
      <c r="F1057" s="16" t="s">
        <v>3270</v>
      </c>
      <c r="G1057" s="16" t="s">
        <v>3271</v>
      </c>
      <c r="H1057" s="16" t="s">
        <v>3270</v>
      </c>
      <c r="I1057" s="16" t="s">
        <v>1320</v>
      </c>
      <c r="J1057" s="16" t="s">
        <v>928</v>
      </c>
      <c r="K1057" s="16" t="s">
        <v>1321</v>
      </c>
      <c r="L1057" s="16" t="s">
        <v>85</v>
      </c>
      <c r="M1057" s="16" t="s">
        <v>1322</v>
      </c>
      <c r="N1057" s="16" t="s">
        <v>914</v>
      </c>
      <c r="O1057" s="16" t="s">
        <v>1323</v>
      </c>
      <c r="P1057" s="16" t="s">
        <v>914</v>
      </c>
      <c r="Q1057" s="16" t="s">
        <v>1323</v>
      </c>
      <c r="R1057" s="16" t="s">
        <v>915</v>
      </c>
      <c r="S1057" s="16" t="s">
        <v>915</v>
      </c>
      <c r="T1057" s="16" t="s">
        <v>1322</v>
      </c>
      <c r="U1057" s="16" t="s">
        <v>1324</v>
      </c>
      <c r="V1057" s="16" t="s">
        <v>916</v>
      </c>
      <c r="W1057" s="16" t="s">
        <v>1324</v>
      </c>
      <c r="X1057" s="16" t="s">
        <v>934</v>
      </c>
      <c r="Y1057" s="16" t="s">
        <v>934</v>
      </c>
      <c r="Z1057" s="16" t="s">
        <v>935</v>
      </c>
      <c r="DA1057" s="405" t="s">
        <v>5</v>
      </c>
      <c r="DB1057" s="405" t="s">
        <v>363</v>
      </c>
      <c r="DC1057" s="406" t="s">
        <v>85</v>
      </c>
      <c r="DD1057" s="405" t="s">
        <v>917</v>
      </c>
      <c r="DE1057" s="405" t="s">
        <v>5</v>
      </c>
      <c r="DF1057" s="406" t="s">
        <v>85</v>
      </c>
      <c r="DG1057" s="407">
        <v>45861</v>
      </c>
      <c r="DH1057" s="405" t="s">
        <v>3269</v>
      </c>
      <c r="DI1057" s="406">
        <v>465455</v>
      </c>
      <c r="DJ1057" s="408">
        <v>5</v>
      </c>
      <c r="DK1057" s="405">
        <v>1</v>
      </c>
      <c r="DL1057" s="82">
        <v>332.47</v>
      </c>
      <c r="DM1057" s="409">
        <v>1.6623500000000002</v>
      </c>
      <c r="DN1057" s="82" t="s">
        <v>85</v>
      </c>
      <c r="DO1057" s="82" t="s">
        <v>85</v>
      </c>
      <c r="DP1057" s="410" t="s">
        <v>85</v>
      </c>
    </row>
    <row r="1058" spans="1:120" x14ac:dyDescent="0.25">
      <c r="A1058" s="16" t="s">
        <v>3272</v>
      </c>
      <c r="B1058" s="16" t="s">
        <v>3273</v>
      </c>
      <c r="C1058" s="16" t="s">
        <v>3274</v>
      </c>
      <c r="D1058" s="16" t="s">
        <v>3207</v>
      </c>
      <c r="E1058" s="16" t="s">
        <v>3275</v>
      </c>
      <c r="F1058" s="16" t="s">
        <v>3276</v>
      </c>
      <c r="G1058" s="16" t="s">
        <v>3277</v>
      </c>
      <c r="H1058" s="16" t="s">
        <v>3276</v>
      </c>
      <c r="I1058" s="16" t="s">
        <v>1979</v>
      </c>
      <c r="J1058" s="16" t="s">
        <v>1123</v>
      </c>
      <c r="K1058" s="16" t="s">
        <v>1980</v>
      </c>
      <c r="L1058" s="16" t="s">
        <v>85</v>
      </c>
      <c r="M1058" s="16" t="s">
        <v>1238</v>
      </c>
      <c r="N1058" s="16" t="s">
        <v>914</v>
      </c>
      <c r="O1058" s="16" t="s">
        <v>1239</v>
      </c>
      <c r="P1058" s="16" t="s">
        <v>914</v>
      </c>
      <c r="Q1058" s="16" t="s">
        <v>1239</v>
      </c>
      <c r="R1058" s="16" t="s">
        <v>915</v>
      </c>
      <c r="S1058" s="16" t="s">
        <v>915</v>
      </c>
      <c r="T1058" s="16" t="s">
        <v>1238</v>
      </c>
      <c r="U1058" s="16" t="s">
        <v>1240</v>
      </c>
      <c r="V1058" s="16" t="s">
        <v>916</v>
      </c>
      <c r="W1058" s="16" t="s">
        <v>1240</v>
      </c>
      <c r="X1058" s="16" t="s">
        <v>934</v>
      </c>
      <c r="Y1058" s="16" t="s">
        <v>934</v>
      </c>
      <c r="Z1058" s="16" t="s">
        <v>935</v>
      </c>
      <c r="DA1058" s="405" t="s">
        <v>5</v>
      </c>
      <c r="DB1058" s="405" t="s">
        <v>363</v>
      </c>
      <c r="DC1058" s="406" t="s">
        <v>85</v>
      </c>
      <c r="DD1058" s="405" t="s">
        <v>917</v>
      </c>
      <c r="DE1058" s="405" t="s">
        <v>5</v>
      </c>
      <c r="DF1058" s="406" t="s">
        <v>85</v>
      </c>
      <c r="DG1058" s="407">
        <v>45861</v>
      </c>
      <c r="DH1058" s="405" t="s">
        <v>3275</v>
      </c>
      <c r="DI1058" s="406">
        <v>465455</v>
      </c>
      <c r="DJ1058" s="408">
        <v>5</v>
      </c>
      <c r="DK1058" s="405">
        <v>1</v>
      </c>
      <c r="DL1058" s="82">
        <v>383.16</v>
      </c>
      <c r="DM1058" s="409">
        <v>1.9158000000000002</v>
      </c>
      <c r="DN1058" s="82" t="s">
        <v>85</v>
      </c>
      <c r="DO1058" s="82" t="s">
        <v>85</v>
      </c>
      <c r="DP1058" s="410" t="s">
        <v>85</v>
      </c>
    </row>
    <row r="1059" spans="1:120" x14ac:dyDescent="0.25">
      <c r="A1059" s="16" t="s">
        <v>3278</v>
      </c>
      <c r="B1059" s="16" t="s">
        <v>3279</v>
      </c>
      <c r="C1059" s="16" t="s">
        <v>3280</v>
      </c>
      <c r="D1059" s="16" t="s">
        <v>3207</v>
      </c>
      <c r="E1059" s="16" t="s">
        <v>3281</v>
      </c>
      <c r="F1059" s="16" t="s">
        <v>3282</v>
      </c>
      <c r="G1059" s="16" t="s">
        <v>3283</v>
      </c>
      <c r="H1059" s="16" t="s">
        <v>3284</v>
      </c>
      <c r="I1059" s="16" t="s">
        <v>2958</v>
      </c>
      <c r="J1059" s="16" t="s">
        <v>943</v>
      </c>
      <c r="K1059" s="16" t="s">
        <v>2959</v>
      </c>
      <c r="L1059" s="16" t="s">
        <v>85</v>
      </c>
      <c r="M1059" s="16" t="s">
        <v>984</v>
      </c>
      <c r="N1059" s="16" t="s">
        <v>914</v>
      </c>
      <c r="O1059" s="16" t="s">
        <v>985</v>
      </c>
      <c r="P1059" s="16" t="s">
        <v>914</v>
      </c>
      <c r="Q1059" s="16" t="s">
        <v>985</v>
      </c>
      <c r="R1059" s="16" t="s">
        <v>915</v>
      </c>
      <c r="S1059" s="16" t="s">
        <v>915</v>
      </c>
      <c r="T1059" s="16" t="s">
        <v>986</v>
      </c>
      <c r="U1059" s="16" t="s">
        <v>987</v>
      </c>
      <c r="V1059" s="16" t="s">
        <v>916</v>
      </c>
      <c r="W1059" s="16" t="s">
        <v>987</v>
      </c>
      <c r="X1059" s="16" t="s">
        <v>934</v>
      </c>
      <c r="Y1059" s="16" t="s">
        <v>934</v>
      </c>
      <c r="Z1059" s="16" t="s">
        <v>935</v>
      </c>
      <c r="DA1059" s="405" t="s">
        <v>5</v>
      </c>
      <c r="DB1059" s="405" t="s">
        <v>363</v>
      </c>
      <c r="DC1059" s="406" t="s">
        <v>85</v>
      </c>
      <c r="DD1059" s="405" t="s">
        <v>917</v>
      </c>
      <c r="DE1059" s="405" t="s">
        <v>5</v>
      </c>
      <c r="DF1059" s="406" t="s">
        <v>85</v>
      </c>
      <c r="DG1059" s="407">
        <v>45861</v>
      </c>
      <c r="DH1059" s="405" t="s">
        <v>3281</v>
      </c>
      <c r="DI1059" s="406">
        <v>465455</v>
      </c>
      <c r="DJ1059" s="408">
        <v>5</v>
      </c>
      <c r="DK1059" s="405">
        <v>1</v>
      </c>
      <c r="DL1059" s="82">
        <v>340.55</v>
      </c>
      <c r="DM1059" s="409">
        <v>1.70275</v>
      </c>
      <c r="DN1059" s="82" t="s">
        <v>85</v>
      </c>
      <c r="DO1059" s="82" t="s">
        <v>85</v>
      </c>
      <c r="DP1059" s="410" t="s">
        <v>85</v>
      </c>
    </row>
    <row r="1060" spans="1:120" x14ac:dyDescent="0.25">
      <c r="A1060" s="16" t="s">
        <v>3285</v>
      </c>
      <c r="B1060" s="16" t="s">
        <v>3286</v>
      </c>
      <c r="C1060" s="16" t="s">
        <v>3287</v>
      </c>
      <c r="D1060" s="16" t="s">
        <v>3207</v>
      </c>
      <c r="E1060" s="16" t="s">
        <v>3288</v>
      </c>
      <c r="F1060" s="16" t="s">
        <v>3289</v>
      </c>
      <c r="G1060" s="16" t="s">
        <v>3290</v>
      </c>
      <c r="H1060" s="16" t="s">
        <v>3291</v>
      </c>
      <c r="I1060" s="16" t="s">
        <v>1414</v>
      </c>
      <c r="J1060" s="16" t="s">
        <v>1109</v>
      </c>
      <c r="K1060" s="16" t="s">
        <v>1415</v>
      </c>
      <c r="L1060" s="16" t="s">
        <v>85</v>
      </c>
      <c r="M1060" s="16" t="s">
        <v>1311</v>
      </c>
      <c r="N1060" s="16" t="s">
        <v>914</v>
      </c>
      <c r="O1060" s="16" t="s">
        <v>1312</v>
      </c>
      <c r="P1060" s="16" t="s">
        <v>914</v>
      </c>
      <c r="Q1060" s="16" t="s">
        <v>1312</v>
      </c>
      <c r="R1060" s="16" t="s">
        <v>915</v>
      </c>
      <c r="S1060" s="16" t="s">
        <v>915</v>
      </c>
      <c r="T1060" s="16" t="s">
        <v>1311</v>
      </c>
      <c r="U1060" s="16" t="s">
        <v>1313</v>
      </c>
      <c r="V1060" s="16" t="s">
        <v>916</v>
      </c>
      <c r="W1060" s="16" t="s">
        <v>1313</v>
      </c>
      <c r="X1060" s="16" t="s">
        <v>934</v>
      </c>
      <c r="Y1060" s="16" t="s">
        <v>934</v>
      </c>
      <c r="Z1060" s="16" t="s">
        <v>935</v>
      </c>
      <c r="DA1060" s="405" t="s">
        <v>5</v>
      </c>
      <c r="DB1060" s="405" t="s">
        <v>363</v>
      </c>
      <c r="DC1060" s="406" t="s">
        <v>85</v>
      </c>
      <c r="DD1060" s="405" t="s">
        <v>917</v>
      </c>
      <c r="DE1060" s="405" t="s">
        <v>5</v>
      </c>
      <c r="DF1060" s="406" t="s">
        <v>85</v>
      </c>
      <c r="DG1060" s="407">
        <v>45861</v>
      </c>
      <c r="DH1060" s="405" t="s">
        <v>3288</v>
      </c>
      <c r="DI1060" s="406">
        <v>465455</v>
      </c>
      <c r="DJ1060" s="408">
        <v>5</v>
      </c>
      <c r="DK1060" s="405">
        <v>1</v>
      </c>
      <c r="DL1060" s="82">
        <v>531.54</v>
      </c>
      <c r="DM1060" s="409">
        <v>2.6576999999999997</v>
      </c>
      <c r="DN1060" s="82" t="s">
        <v>85</v>
      </c>
      <c r="DO1060" s="82" t="s">
        <v>85</v>
      </c>
      <c r="DP1060" s="410" t="s">
        <v>85</v>
      </c>
    </row>
    <row r="1061" spans="1:120" x14ac:dyDescent="0.25">
      <c r="A1061" s="16" t="s">
        <v>3292</v>
      </c>
      <c r="B1061" s="16" t="s">
        <v>3293</v>
      </c>
      <c r="C1061" s="16" t="s">
        <v>3294</v>
      </c>
      <c r="D1061" s="16" t="s">
        <v>3207</v>
      </c>
      <c r="E1061" s="16" t="s">
        <v>3295</v>
      </c>
      <c r="F1061" s="16" t="s">
        <v>3296</v>
      </c>
      <c r="G1061" s="16" t="s">
        <v>3297</v>
      </c>
      <c r="H1061" s="16" t="s">
        <v>3298</v>
      </c>
      <c r="I1061" s="16" t="s">
        <v>1765</v>
      </c>
      <c r="J1061" s="16" t="s">
        <v>943</v>
      </c>
      <c r="K1061" s="16" t="s">
        <v>1766</v>
      </c>
      <c r="L1061" s="16" t="s">
        <v>85</v>
      </c>
      <c r="M1061" s="16" t="s">
        <v>984</v>
      </c>
      <c r="N1061" s="16" t="s">
        <v>914</v>
      </c>
      <c r="O1061" s="16" t="s">
        <v>985</v>
      </c>
      <c r="P1061" s="16" t="s">
        <v>914</v>
      </c>
      <c r="Q1061" s="16" t="s">
        <v>985</v>
      </c>
      <c r="R1061" s="16" t="s">
        <v>915</v>
      </c>
      <c r="S1061" s="16" t="s">
        <v>915</v>
      </c>
      <c r="T1061" s="16" t="s">
        <v>986</v>
      </c>
      <c r="U1061" s="16" t="s">
        <v>987</v>
      </c>
      <c r="V1061" s="16" t="s">
        <v>916</v>
      </c>
      <c r="W1061" s="16" t="s">
        <v>987</v>
      </c>
      <c r="X1061" s="16" t="s">
        <v>934</v>
      </c>
      <c r="Y1061" s="16" t="s">
        <v>934</v>
      </c>
      <c r="Z1061" s="16" t="s">
        <v>935</v>
      </c>
      <c r="DA1061" s="405" t="s">
        <v>5</v>
      </c>
      <c r="DB1061" s="405" t="s">
        <v>363</v>
      </c>
      <c r="DC1061" s="406" t="s">
        <v>85</v>
      </c>
      <c r="DD1061" s="405" t="s">
        <v>917</v>
      </c>
      <c r="DE1061" s="405" t="s">
        <v>5</v>
      </c>
      <c r="DF1061" s="406" t="s">
        <v>85</v>
      </c>
      <c r="DG1061" s="407">
        <v>45861</v>
      </c>
      <c r="DH1061" s="405" t="s">
        <v>3295</v>
      </c>
      <c r="DI1061" s="406">
        <v>465455</v>
      </c>
      <c r="DJ1061" s="408">
        <v>5</v>
      </c>
      <c r="DK1061" s="405">
        <v>1</v>
      </c>
      <c r="DL1061" s="82">
        <v>340.55</v>
      </c>
      <c r="DM1061" s="409">
        <v>1.70275</v>
      </c>
      <c r="DN1061" s="82" t="s">
        <v>85</v>
      </c>
      <c r="DO1061" s="82" t="s">
        <v>85</v>
      </c>
      <c r="DP1061" s="410" t="s">
        <v>85</v>
      </c>
    </row>
    <row r="1062" spans="1:120" x14ac:dyDescent="0.25">
      <c r="A1062" s="16" t="s">
        <v>3299</v>
      </c>
      <c r="B1062" s="16" t="s">
        <v>3300</v>
      </c>
      <c r="C1062" s="16" t="s">
        <v>3301</v>
      </c>
      <c r="D1062" s="16" t="s">
        <v>3207</v>
      </c>
      <c r="E1062" s="16" t="s">
        <v>3302</v>
      </c>
      <c r="F1062" s="16" t="s">
        <v>3303</v>
      </c>
      <c r="G1062" s="16" t="s">
        <v>3304</v>
      </c>
      <c r="H1062" s="16" t="s">
        <v>3305</v>
      </c>
      <c r="I1062" s="16" t="s">
        <v>2241</v>
      </c>
      <c r="J1062" s="16" t="s">
        <v>1123</v>
      </c>
      <c r="K1062" s="16" t="s">
        <v>2242</v>
      </c>
      <c r="L1062" s="16" t="s">
        <v>85</v>
      </c>
      <c r="M1062" s="16" t="s">
        <v>1238</v>
      </c>
      <c r="N1062" s="16" t="s">
        <v>914</v>
      </c>
      <c r="O1062" s="16" t="s">
        <v>1239</v>
      </c>
      <c r="P1062" s="16" t="s">
        <v>914</v>
      </c>
      <c r="Q1062" s="16" t="s">
        <v>1239</v>
      </c>
      <c r="R1062" s="16" t="s">
        <v>915</v>
      </c>
      <c r="S1062" s="16" t="s">
        <v>915</v>
      </c>
      <c r="T1062" s="16" t="s">
        <v>1238</v>
      </c>
      <c r="U1062" s="16" t="s">
        <v>1240</v>
      </c>
      <c r="V1062" s="16" t="s">
        <v>916</v>
      </c>
      <c r="W1062" s="16" t="s">
        <v>1240</v>
      </c>
      <c r="X1062" s="16" t="s">
        <v>934</v>
      </c>
      <c r="Y1062" s="16" t="s">
        <v>934</v>
      </c>
      <c r="Z1062" s="16" t="s">
        <v>935</v>
      </c>
      <c r="DA1062" s="405" t="s">
        <v>5</v>
      </c>
      <c r="DB1062" s="405" t="s">
        <v>363</v>
      </c>
      <c r="DC1062" s="406" t="s">
        <v>85</v>
      </c>
      <c r="DD1062" s="405" t="s">
        <v>917</v>
      </c>
      <c r="DE1062" s="405" t="s">
        <v>5</v>
      </c>
      <c r="DF1062" s="406" t="s">
        <v>85</v>
      </c>
      <c r="DG1062" s="407">
        <v>45861</v>
      </c>
      <c r="DH1062" s="405" t="s">
        <v>3302</v>
      </c>
      <c r="DI1062" s="406">
        <v>465455</v>
      </c>
      <c r="DJ1062" s="408">
        <v>5</v>
      </c>
      <c r="DK1062" s="405">
        <v>1</v>
      </c>
      <c r="DL1062" s="82">
        <v>383.16</v>
      </c>
      <c r="DM1062" s="409">
        <v>1.9158000000000002</v>
      </c>
      <c r="DN1062" s="82" t="s">
        <v>85</v>
      </c>
      <c r="DO1062" s="82" t="s">
        <v>85</v>
      </c>
      <c r="DP1062" s="410" t="s">
        <v>85</v>
      </c>
    </row>
    <row r="1063" spans="1:120" x14ac:dyDescent="0.25">
      <c r="A1063" s="16" t="s">
        <v>3306</v>
      </c>
      <c r="B1063" s="16" t="s">
        <v>3307</v>
      </c>
      <c r="C1063" s="16" t="s">
        <v>3308</v>
      </c>
      <c r="D1063" s="16" t="s">
        <v>3207</v>
      </c>
      <c r="E1063" s="16" t="s">
        <v>3309</v>
      </c>
      <c r="F1063" s="16" t="s">
        <v>3310</v>
      </c>
      <c r="G1063" s="16" t="s">
        <v>3311</v>
      </c>
      <c r="H1063" s="16" t="s">
        <v>3310</v>
      </c>
      <c r="I1063" s="16" t="s">
        <v>3312</v>
      </c>
      <c r="J1063" s="16" t="s">
        <v>943</v>
      </c>
      <c r="K1063" s="16" t="s">
        <v>3313</v>
      </c>
      <c r="L1063" s="16" t="s">
        <v>85</v>
      </c>
      <c r="M1063" s="16" t="s">
        <v>984</v>
      </c>
      <c r="N1063" s="16" t="s">
        <v>914</v>
      </c>
      <c r="O1063" s="16" t="s">
        <v>985</v>
      </c>
      <c r="P1063" s="16" t="s">
        <v>914</v>
      </c>
      <c r="Q1063" s="16" t="s">
        <v>985</v>
      </c>
      <c r="R1063" s="16" t="s">
        <v>915</v>
      </c>
      <c r="S1063" s="16" t="s">
        <v>915</v>
      </c>
      <c r="T1063" s="16" t="s">
        <v>986</v>
      </c>
      <c r="U1063" s="16" t="s">
        <v>987</v>
      </c>
      <c r="V1063" s="16" t="s">
        <v>916</v>
      </c>
      <c r="W1063" s="16" t="s">
        <v>987</v>
      </c>
      <c r="X1063" s="16" t="s">
        <v>934</v>
      </c>
      <c r="Y1063" s="16" t="s">
        <v>934</v>
      </c>
      <c r="Z1063" s="16" t="s">
        <v>935</v>
      </c>
      <c r="DA1063" s="405" t="s">
        <v>5</v>
      </c>
      <c r="DB1063" s="405" t="s">
        <v>363</v>
      </c>
      <c r="DC1063" s="406" t="s">
        <v>85</v>
      </c>
      <c r="DD1063" s="405" t="s">
        <v>917</v>
      </c>
      <c r="DE1063" s="405" t="s">
        <v>5</v>
      </c>
      <c r="DF1063" s="406" t="s">
        <v>85</v>
      </c>
      <c r="DG1063" s="407">
        <v>45861</v>
      </c>
      <c r="DH1063" s="405" t="s">
        <v>3309</v>
      </c>
      <c r="DI1063" s="406">
        <v>465455</v>
      </c>
      <c r="DJ1063" s="408">
        <v>5</v>
      </c>
      <c r="DK1063" s="405">
        <v>1</v>
      </c>
      <c r="DL1063" s="82">
        <v>340.55</v>
      </c>
      <c r="DM1063" s="409">
        <v>1.70275</v>
      </c>
      <c r="DN1063" s="82" t="s">
        <v>85</v>
      </c>
      <c r="DO1063" s="82" t="s">
        <v>85</v>
      </c>
      <c r="DP1063" s="410" t="s">
        <v>85</v>
      </c>
    </row>
    <row r="1064" spans="1:120" x14ac:dyDescent="0.25">
      <c r="A1064" s="16" t="s">
        <v>3314</v>
      </c>
      <c r="B1064" s="16" t="s">
        <v>3315</v>
      </c>
      <c r="C1064" s="16" t="s">
        <v>3316</v>
      </c>
      <c r="D1064" s="16" t="s">
        <v>3207</v>
      </c>
      <c r="E1064" s="16" t="s">
        <v>3317</v>
      </c>
      <c r="F1064" s="16" t="s">
        <v>3318</v>
      </c>
      <c r="G1064" s="16" t="s">
        <v>3319</v>
      </c>
      <c r="H1064" s="16" t="s">
        <v>3318</v>
      </c>
      <c r="I1064" s="16" t="s">
        <v>1377</v>
      </c>
      <c r="J1064" s="16" t="s">
        <v>943</v>
      </c>
      <c r="K1064" s="16" t="s">
        <v>1378</v>
      </c>
      <c r="L1064" s="16" t="s">
        <v>85</v>
      </c>
      <c r="M1064" s="16" t="s">
        <v>984</v>
      </c>
      <c r="N1064" s="16" t="s">
        <v>914</v>
      </c>
      <c r="O1064" s="16" t="s">
        <v>985</v>
      </c>
      <c r="P1064" s="16" t="s">
        <v>914</v>
      </c>
      <c r="Q1064" s="16" t="s">
        <v>985</v>
      </c>
      <c r="R1064" s="16" t="s">
        <v>915</v>
      </c>
      <c r="S1064" s="16" t="s">
        <v>915</v>
      </c>
      <c r="T1064" s="16" t="s">
        <v>986</v>
      </c>
      <c r="U1064" s="16" t="s">
        <v>987</v>
      </c>
      <c r="V1064" s="16" t="s">
        <v>916</v>
      </c>
      <c r="W1064" s="16" t="s">
        <v>987</v>
      </c>
      <c r="X1064" s="16" t="s">
        <v>934</v>
      </c>
      <c r="Y1064" s="16" t="s">
        <v>934</v>
      </c>
      <c r="Z1064" s="16" t="s">
        <v>935</v>
      </c>
      <c r="DA1064" s="405" t="s">
        <v>5</v>
      </c>
      <c r="DB1064" s="405" t="s">
        <v>363</v>
      </c>
      <c r="DC1064" s="406" t="s">
        <v>85</v>
      </c>
      <c r="DD1064" s="405" t="s">
        <v>917</v>
      </c>
      <c r="DE1064" s="405" t="s">
        <v>5</v>
      </c>
      <c r="DF1064" s="406" t="s">
        <v>85</v>
      </c>
      <c r="DG1064" s="407">
        <v>45861</v>
      </c>
      <c r="DH1064" s="405" t="s">
        <v>3317</v>
      </c>
      <c r="DI1064" s="406">
        <v>465455</v>
      </c>
      <c r="DJ1064" s="408">
        <v>5</v>
      </c>
      <c r="DK1064" s="405">
        <v>1</v>
      </c>
      <c r="DL1064" s="82">
        <v>340.55</v>
      </c>
      <c r="DM1064" s="409">
        <v>1.70275</v>
      </c>
      <c r="DN1064" s="82" t="s">
        <v>85</v>
      </c>
      <c r="DO1064" s="82" t="s">
        <v>85</v>
      </c>
      <c r="DP1064" s="410" t="s">
        <v>85</v>
      </c>
    </row>
    <row r="1065" spans="1:120" x14ac:dyDescent="0.25">
      <c r="A1065" s="16" t="s">
        <v>3314</v>
      </c>
      <c r="B1065" s="16" t="s">
        <v>3315</v>
      </c>
      <c r="C1065" s="16" t="s">
        <v>3316</v>
      </c>
      <c r="D1065" s="16" t="s">
        <v>3207</v>
      </c>
      <c r="E1065" s="16" t="s">
        <v>3317</v>
      </c>
      <c r="F1065" s="16" t="s">
        <v>3318</v>
      </c>
      <c r="G1065" s="16" t="s">
        <v>3319</v>
      </c>
      <c r="H1065" s="16" t="s">
        <v>3318</v>
      </c>
      <c r="I1065" s="16" t="s">
        <v>2822</v>
      </c>
      <c r="J1065" s="16" t="s">
        <v>943</v>
      </c>
      <c r="K1065" s="16" t="s">
        <v>2823</v>
      </c>
      <c r="L1065" s="16" t="s">
        <v>85</v>
      </c>
      <c r="M1065" s="16" t="s">
        <v>984</v>
      </c>
      <c r="N1065" s="16" t="s">
        <v>914</v>
      </c>
      <c r="O1065" s="16" t="s">
        <v>985</v>
      </c>
      <c r="P1065" s="16" t="s">
        <v>914</v>
      </c>
      <c r="Q1065" s="16" t="s">
        <v>985</v>
      </c>
      <c r="R1065" s="16" t="s">
        <v>915</v>
      </c>
      <c r="S1065" s="16" t="s">
        <v>915</v>
      </c>
      <c r="T1065" s="16" t="s">
        <v>986</v>
      </c>
      <c r="U1065" s="16" t="s">
        <v>987</v>
      </c>
      <c r="V1065" s="16" t="s">
        <v>916</v>
      </c>
      <c r="W1065" s="16" t="s">
        <v>987</v>
      </c>
      <c r="X1065" s="16" t="s">
        <v>934</v>
      </c>
      <c r="Y1065" s="16" t="s">
        <v>934</v>
      </c>
      <c r="Z1065" s="16" t="s">
        <v>935</v>
      </c>
      <c r="DA1065" s="405" t="s">
        <v>5</v>
      </c>
      <c r="DB1065" s="405" t="s">
        <v>363</v>
      </c>
      <c r="DC1065" s="406" t="s">
        <v>85</v>
      </c>
      <c r="DD1065" s="405" t="s">
        <v>917</v>
      </c>
      <c r="DE1065" s="405" t="s">
        <v>5</v>
      </c>
      <c r="DF1065" s="406" t="s">
        <v>85</v>
      </c>
      <c r="DG1065" s="407">
        <v>45861</v>
      </c>
      <c r="DH1065" s="405" t="s">
        <v>3317</v>
      </c>
      <c r="DI1065" s="406">
        <v>465455</v>
      </c>
      <c r="DJ1065" s="408">
        <v>5</v>
      </c>
      <c r="DK1065" s="405">
        <v>1</v>
      </c>
      <c r="DL1065" s="82">
        <v>340.55</v>
      </c>
      <c r="DM1065" s="409">
        <v>1.70275</v>
      </c>
      <c r="DN1065" s="82" t="s">
        <v>85</v>
      </c>
      <c r="DO1065" s="82" t="s">
        <v>85</v>
      </c>
      <c r="DP1065" s="410" t="s">
        <v>85</v>
      </c>
    </row>
    <row r="1066" spans="1:120" x14ac:dyDescent="0.25">
      <c r="A1066" s="16" t="s">
        <v>3320</v>
      </c>
      <c r="B1066" s="16" t="s">
        <v>3321</v>
      </c>
      <c r="C1066" s="16" t="s">
        <v>3322</v>
      </c>
      <c r="D1066" s="16" t="s">
        <v>3207</v>
      </c>
      <c r="E1066" s="16" t="s">
        <v>3323</v>
      </c>
      <c r="F1066" s="16" t="s">
        <v>3324</v>
      </c>
      <c r="G1066" s="16" t="s">
        <v>3325</v>
      </c>
      <c r="H1066" s="16" t="s">
        <v>3326</v>
      </c>
      <c r="I1066" s="16" t="s">
        <v>2241</v>
      </c>
      <c r="J1066" s="16" t="s">
        <v>1123</v>
      </c>
      <c r="K1066" s="16" t="s">
        <v>2242</v>
      </c>
      <c r="L1066" s="16" t="s">
        <v>85</v>
      </c>
      <c r="M1066" s="16" t="s">
        <v>1238</v>
      </c>
      <c r="N1066" s="16" t="s">
        <v>914</v>
      </c>
      <c r="O1066" s="16" t="s">
        <v>1239</v>
      </c>
      <c r="P1066" s="16" t="s">
        <v>914</v>
      </c>
      <c r="Q1066" s="16" t="s">
        <v>1239</v>
      </c>
      <c r="R1066" s="16" t="s">
        <v>915</v>
      </c>
      <c r="S1066" s="16" t="s">
        <v>915</v>
      </c>
      <c r="T1066" s="16" t="s">
        <v>1238</v>
      </c>
      <c r="U1066" s="16" t="s">
        <v>1240</v>
      </c>
      <c r="V1066" s="16" t="s">
        <v>916</v>
      </c>
      <c r="W1066" s="16" t="s">
        <v>1240</v>
      </c>
      <c r="X1066" s="16" t="s">
        <v>934</v>
      </c>
      <c r="Y1066" s="16" t="s">
        <v>934</v>
      </c>
      <c r="Z1066" s="16" t="s">
        <v>935</v>
      </c>
      <c r="DA1066" s="405" t="s">
        <v>5</v>
      </c>
      <c r="DB1066" s="405" t="s">
        <v>363</v>
      </c>
      <c r="DC1066" s="406" t="s">
        <v>85</v>
      </c>
      <c r="DD1066" s="405" t="s">
        <v>917</v>
      </c>
      <c r="DE1066" s="405" t="s">
        <v>5</v>
      </c>
      <c r="DF1066" s="406" t="s">
        <v>85</v>
      </c>
      <c r="DG1066" s="407">
        <v>45861</v>
      </c>
      <c r="DH1066" s="405" t="s">
        <v>3323</v>
      </c>
      <c r="DI1066" s="406">
        <v>465455</v>
      </c>
      <c r="DJ1066" s="408">
        <v>5</v>
      </c>
      <c r="DK1066" s="405">
        <v>1</v>
      </c>
      <c r="DL1066" s="82">
        <v>383.16</v>
      </c>
      <c r="DM1066" s="409">
        <v>1.9158000000000002</v>
      </c>
      <c r="DN1066" s="82" t="s">
        <v>85</v>
      </c>
      <c r="DO1066" s="82" t="s">
        <v>85</v>
      </c>
      <c r="DP1066" s="410" t="s">
        <v>85</v>
      </c>
    </row>
    <row r="1067" spans="1:120" x14ac:dyDescent="0.25">
      <c r="A1067" s="16" t="s">
        <v>3327</v>
      </c>
      <c r="B1067" s="16" t="s">
        <v>3328</v>
      </c>
      <c r="C1067" s="16" t="s">
        <v>3329</v>
      </c>
      <c r="D1067" s="16" t="s">
        <v>3207</v>
      </c>
      <c r="E1067" s="16" t="s">
        <v>3330</v>
      </c>
      <c r="F1067" s="16" t="s">
        <v>3331</v>
      </c>
      <c r="G1067" s="16" t="s">
        <v>3332</v>
      </c>
      <c r="H1067" s="16" t="s">
        <v>3333</v>
      </c>
      <c r="I1067" s="16" t="s">
        <v>1007</v>
      </c>
      <c r="J1067" s="16" t="s">
        <v>928</v>
      </c>
      <c r="K1067" s="16" t="s">
        <v>1008</v>
      </c>
      <c r="L1067" s="16" t="s">
        <v>85</v>
      </c>
      <c r="M1067" s="16" t="s">
        <v>1322</v>
      </c>
      <c r="N1067" s="16" t="s">
        <v>914</v>
      </c>
      <c r="O1067" s="16" t="s">
        <v>1323</v>
      </c>
      <c r="P1067" s="16" t="s">
        <v>914</v>
      </c>
      <c r="Q1067" s="16" t="s">
        <v>1323</v>
      </c>
      <c r="R1067" s="16" t="s">
        <v>915</v>
      </c>
      <c r="S1067" s="16" t="s">
        <v>915</v>
      </c>
      <c r="T1067" s="16" t="s">
        <v>1322</v>
      </c>
      <c r="U1067" s="16" t="s">
        <v>1324</v>
      </c>
      <c r="V1067" s="16" t="s">
        <v>916</v>
      </c>
      <c r="W1067" s="16" t="s">
        <v>1324</v>
      </c>
      <c r="X1067" s="16" t="s">
        <v>934</v>
      </c>
      <c r="Y1067" s="16" t="s">
        <v>934</v>
      </c>
      <c r="Z1067" s="16" t="s">
        <v>935</v>
      </c>
      <c r="DA1067" s="405" t="s">
        <v>5</v>
      </c>
      <c r="DB1067" s="405" t="s">
        <v>363</v>
      </c>
      <c r="DC1067" s="406" t="s">
        <v>85</v>
      </c>
      <c r="DD1067" s="405" t="s">
        <v>917</v>
      </c>
      <c r="DE1067" s="405" t="s">
        <v>5</v>
      </c>
      <c r="DF1067" s="406" t="s">
        <v>85</v>
      </c>
      <c r="DG1067" s="407">
        <v>45861</v>
      </c>
      <c r="DH1067" s="405" t="s">
        <v>3330</v>
      </c>
      <c r="DI1067" s="406">
        <v>465455</v>
      </c>
      <c r="DJ1067" s="408">
        <v>5</v>
      </c>
      <c r="DK1067" s="405">
        <v>1</v>
      </c>
      <c r="DL1067" s="82">
        <v>332.47</v>
      </c>
      <c r="DM1067" s="409">
        <v>1.6623500000000002</v>
      </c>
      <c r="DN1067" s="82" t="s">
        <v>85</v>
      </c>
      <c r="DO1067" s="82" t="s">
        <v>85</v>
      </c>
      <c r="DP1067" s="410" t="s">
        <v>85</v>
      </c>
    </row>
    <row r="1068" spans="1:120" x14ac:dyDescent="0.25">
      <c r="A1068" s="16" t="s">
        <v>3334</v>
      </c>
      <c r="B1068" s="16" t="s">
        <v>3335</v>
      </c>
      <c r="C1068" s="16" t="s">
        <v>3336</v>
      </c>
      <c r="D1068" s="16" t="s">
        <v>3207</v>
      </c>
      <c r="E1068" s="16" t="s">
        <v>3337</v>
      </c>
      <c r="F1068" s="16" t="s">
        <v>3338</v>
      </c>
      <c r="G1068" s="16" t="s">
        <v>3339</v>
      </c>
      <c r="H1068" s="16" t="s">
        <v>3338</v>
      </c>
      <c r="I1068" s="16" t="s">
        <v>1099</v>
      </c>
      <c r="J1068" s="16" t="s">
        <v>943</v>
      </c>
      <c r="K1068" s="16" t="s">
        <v>1100</v>
      </c>
      <c r="L1068" s="16" t="s">
        <v>85</v>
      </c>
      <c r="M1068" s="16" t="s">
        <v>984</v>
      </c>
      <c r="N1068" s="16" t="s">
        <v>914</v>
      </c>
      <c r="O1068" s="16" t="s">
        <v>985</v>
      </c>
      <c r="P1068" s="16" t="s">
        <v>914</v>
      </c>
      <c r="Q1068" s="16" t="s">
        <v>985</v>
      </c>
      <c r="R1068" s="16" t="s">
        <v>915</v>
      </c>
      <c r="S1068" s="16" t="s">
        <v>915</v>
      </c>
      <c r="T1068" s="16" t="s">
        <v>986</v>
      </c>
      <c r="U1068" s="16" t="s">
        <v>987</v>
      </c>
      <c r="V1068" s="16" t="s">
        <v>916</v>
      </c>
      <c r="W1068" s="16" t="s">
        <v>987</v>
      </c>
      <c r="X1068" s="16" t="s">
        <v>934</v>
      </c>
      <c r="Y1068" s="16" t="s">
        <v>934</v>
      </c>
      <c r="Z1068" s="16" t="s">
        <v>935</v>
      </c>
      <c r="DA1068" s="405" t="s">
        <v>5</v>
      </c>
      <c r="DB1068" s="405" t="s">
        <v>363</v>
      </c>
      <c r="DC1068" s="406" t="s">
        <v>85</v>
      </c>
      <c r="DD1068" s="405" t="s">
        <v>917</v>
      </c>
      <c r="DE1068" s="405" t="s">
        <v>5</v>
      </c>
      <c r="DF1068" s="406" t="s">
        <v>85</v>
      </c>
      <c r="DG1068" s="407">
        <v>45861</v>
      </c>
      <c r="DH1068" s="405" t="s">
        <v>3337</v>
      </c>
      <c r="DI1068" s="406">
        <v>465455</v>
      </c>
      <c r="DJ1068" s="408">
        <v>5</v>
      </c>
      <c r="DK1068" s="405">
        <v>1</v>
      </c>
      <c r="DL1068" s="82">
        <v>340.55</v>
      </c>
      <c r="DM1068" s="409">
        <v>1.70275</v>
      </c>
      <c r="DN1068" s="82" t="s">
        <v>85</v>
      </c>
      <c r="DO1068" s="82" t="s">
        <v>85</v>
      </c>
      <c r="DP1068" s="410" t="s">
        <v>85</v>
      </c>
    </row>
    <row r="1069" spans="1:120" x14ac:dyDescent="0.25">
      <c r="A1069" s="16" t="s">
        <v>3340</v>
      </c>
      <c r="B1069" s="16" t="s">
        <v>3341</v>
      </c>
      <c r="C1069" s="16" t="s">
        <v>3342</v>
      </c>
      <c r="D1069" s="16" t="s">
        <v>3207</v>
      </c>
      <c r="E1069" s="16" t="s">
        <v>3343</v>
      </c>
      <c r="F1069" s="16" t="s">
        <v>3344</v>
      </c>
      <c r="G1069" s="16" t="s">
        <v>3345</v>
      </c>
      <c r="H1069" s="16" t="s">
        <v>3346</v>
      </c>
      <c r="I1069" s="16" t="s">
        <v>968</v>
      </c>
      <c r="J1069" s="16" t="s">
        <v>943</v>
      </c>
      <c r="K1069" s="16" t="s">
        <v>969</v>
      </c>
      <c r="L1069" s="16" t="s">
        <v>85</v>
      </c>
      <c r="M1069" s="16" t="s">
        <v>984</v>
      </c>
      <c r="N1069" s="16" t="s">
        <v>914</v>
      </c>
      <c r="O1069" s="16" t="s">
        <v>985</v>
      </c>
      <c r="P1069" s="16" t="s">
        <v>914</v>
      </c>
      <c r="Q1069" s="16" t="s">
        <v>985</v>
      </c>
      <c r="R1069" s="16" t="s">
        <v>915</v>
      </c>
      <c r="S1069" s="16" t="s">
        <v>915</v>
      </c>
      <c r="T1069" s="16" t="s">
        <v>986</v>
      </c>
      <c r="U1069" s="16" t="s">
        <v>987</v>
      </c>
      <c r="V1069" s="16" t="s">
        <v>916</v>
      </c>
      <c r="W1069" s="16" t="s">
        <v>987</v>
      </c>
      <c r="X1069" s="16" t="s">
        <v>934</v>
      </c>
      <c r="Y1069" s="16" t="s">
        <v>934</v>
      </c>
      <c r="Z1069" s="16" t="s">
        <v>935</v>
      </c>
      <c r="DA1069" s="405" t="s">
        <v>5</v>
      </c>
      <c r="DB1069" s="405" t="s">
        <v>363</v>
      </c>
      <c r="DC1069" s="406" t="s">
        <v>85</v>
      </c>
      <c r="DD1069" s="405" t="s">
        <v>917</v>
      </c>
      <c r="DE1069" s="405" t="s">
        <v>5</v>
      </c>
      <c r="DF1069" s="406" t="s">
        <v>85</v>
      </c>
      <c r="DG1069" s="407">
        <v>45861</v>
      </c>
      <c r="DH1069" s="405" t="s">
        <v>3343</v>
      </c>
      <c r="DI1069" s="406">
        <v>465455</v>
      </c>
      <c r="DJ1069" s="408">
        <v>5</v>
      </c>
      <c r="DK1069" s="405">
        <v>1</v>
      </c>
      <c r="DL1069" s="82">
        <v>340.55</v>
      </c>
      <c r="DM1069" s="409">
        <v>1.70275</v>
      </c>
      <c r="DN1069" s="82" t="s">
        <v>85</v>
      </c>
      <c r="DO1069" s="82" t="s">
        <v>85</v>
      </c>
      <c r="DP1069" s="410" t="s">
        <v>85</v>
      </c>
    </row>
    <row r="1070" spans="1:120" x14ac:dyDescent="0.25">
      <c r="A1070" s="16" t="s">
        <v>3347</v>
      </c>
      <c r="B1070" s="16" t="s">
        <v>3348</v>
      </c>
      <c r="C1070" s="16" t="s">
        <v>3349</v>
      </c>
      <c r="D1070" s="16" t="s">
        <v>3207</v>
      </c>
      <c r="E1070" s="16" t="s">
        <v>3350</v>
      </c>
      <c r="F1070" s="16" t="s">
        <v>3351</v>
      </c>
      <c r="G1070" s="16" t="s">
        <v>3352</v>
      </c>
      <c r="H1070" s="16" t="s">
        <v>3353</v>
      </c>
      <c r="I1070" s="16" t="s">
        <v>1309</v>
      </c>
      <c r="J1070" s="16" t="s">
        <v>1109</v>
      </c>
      <c r="K1070" s="16" t="s">
        <v>1310</v>
      </c>
      <c r="L1070" s="16" t="s">
        <v>85</v>
      </c>
      <c r="M1070" s="16" t="s">
        <v>1311</v>
      </c>
      <c r="N1070" s="16" t="s">
        <v>914</v>
      </c>
      <c r="O1070" s="16" t="s">
        <v>1312</v>
      </c>
      <c r="P1070" s="16" t="s">
        <v>914</v>
      </c>
      <c r="Q1070" s="16" t="s">
        <v>1312</v>
      </c>
      <c r="R1070" s="16" t="s">
        <v>915</v>
      </c>
      <c r="S1070" s="16" t="s">
        <v>915</v>
      </c>
      <c r="T1070" s="16" t="s">
        <v>1311</v>
      </c>
      <c r="U1070" s="16" t="s">
        <v>1313</v>
      </c>
      <c r="V1070" s="16" t="s">
        <v>916</v>
      </c>
      <c r="W1070" s="16" t="s">
        <v>1313</v>
      </c>
      <c r="X1070" s="16" t="s">
        <v>934</v>
      </c>
      <c r="Y1070" s="16" t="s">
        <v>934</v>
      </c>
      <c r="Z1070" s="16" t="s">
        <v>935</v>
      </c>
      <c r="DA1070" s="405" t="s">
        <v>5</v>
      </c>
      <c r="DB1070" s="405" t="s">
        <v>363</v>
      </c>
      <c r="DC1070" s="406" t="s">
        <v>85</v>
      </c>
      <c r="DD1070" s="405" t="s">
        <v>917</v>
      </c>
      <c r="DE1070" s="405" t="s">
        <v>5</v>
      </c>
      <c r="DF1070" s="406" t="s">
        <v>85</v>
      </c>
      <c r="DG1070" s="407">
        <v>45861</v>
      </c>
      <c r="DH1070" s="405" t="s">
        <v>3350</v>
      </c>
      <c r="DI1070" s="406">
        <v>465455</v>
      </c>
      <c r="DJ1070" s="408">
        <v>5</v>
      </c>
      <c r="DK1070" s="405">
        <v>1</v>
      </c>
      <c r="DL1070" s="82">
        <v>531.54</v>
      </c>
      <c r="DM1070" s="409">
        <v>2.6576999999999997</v>
      </c>
      <c r="DN1070" s="82" t="s">
        <v>85</v>
      </c>
      <c r="DO1070" s="82" t="s">
        <v>85</v>
      </c>
      <c r="DP1070" s="410" t="s">
        <v>85</v>
      </c>
    </row>
    <row r="1071" spans="1:120" x14ac:dyDescent="0.25">
      <c r="A1071" s="16" t="s">
        <v>3354</v>
      </c>
      <c r="B1071" s="16" t="s">
        <v>3355</v>
      </c>
      <c r="C1071" s="16" t="s">
        <v>3356</v>
      </c>
      <c r="D1071" s="16" t="s">
        <v>3207</v>
      </c>
      <c r="E1071" s="16" t="s">
        <v>3357</v>
      </c>
      <c r="F1071" s="16" t="s">
        <v>3358</v>
      </c>
      <c r="G1071" s="16" t="s">
        <v>3359</v>
      </c>
      <c r="H1071" s="16" t="s">
        <v>3360</v>
      </c>
      <c r="I1071" s="16" t="s">
        <v>1584</v>
      </c>
      <c r="J1071" s="16" t="s">
        <v>928</v>
      </c>
      <c r="K1071" s="16" t="s">
        <v>1585</v>
      </c>
      <c r="L1071" s="16" t="s">
        <v>85</v>
      </c>
      <c r="M1071" s="16" t="s">
        <v>1322</v>
      </c>
      <c r="N1071" s="16" t="s">
        <v>914</v>
      </c>
      <c r="O1071" s="16" t="s">
        <v>1323</v>
      </c>
      <c r="P1071" s="16" t="s">
        <v>914</v>
      </c>
      <c r="Q1071" s="16" t="s">
        <v>1323</v>
      </c>
      <c r="R1071" s="16" t="s">
        <v>915</v>
      </c>
      <c r="S1071" s="16" t="s">
        <v>915</v>
      </c>
      <c r="T1071" s="16" t="s">
        <v>1322</v>
      </c>
      <c r="U1071" s="16" t="s">
        <v>1324</v>
      </c>
      <c r="V1071" s="16" t="s">
        <v>916</v>
      </c>
      <c r="W1071" s="16" t="s">
        <v>1324</v>
      </c>
      <c r="X1071" s="16" t="s">
        <v>934</v>
      </c>
      <c r="Y1071" s="16" t="s">
        <v>934</v>
      </c>
      <c r="Z1071" s="16" t="s">
        <v>935</v>
      </c>
      <c r="DA1071" s="405" t="s">
        <v>5</v>
      </c>
      <c r="DB1071" s="405" t="s">
        <v>363</v>
      </c>
      <c r="DC1071" s="406" t="s">
        <v>85</v>
      </c>
      <c r="DD1071" s="405" t="s">
        <v>917</v>
      </c>
      <c r="DE1071" s="405" t="s">
        <v>5</v>
      </c>
      <c r="DF1071" s="406" t="s">
        <v>85</v>
      </c>
      <c r="DG1071" s="407">
        <v>45861</v>
      </c>
      <c r="DH1071" s="405" t="s">
        <v>3357</v>
      </c>
      <c r="DI1071" s="406">
        <v>465455</v>
      </c>
      <c r="DJ1071" s="408">
        <v>5</v>
      </c>
      <c r="DK1071" s="405">
        <v>1</v>
      </c>
      <c r="DL1071" s="82">
        <v>332.47</v>
      </c>
      <c r="DM1071" s="409">
        <v>1.6623500000000002</v>
      </c>
      <c r="DN1071" s="82" t="s">
        <v>85</v>
      </c>
      <c r="DO1071" s="82" t="s">
        <v>85</v>
      </c>
      <c r="DP1071" s="410" t="s">
        <v>85</v>
      </c>
    </row>
    <row r="1072" spans="1:120" x14ac:dyDescent="0.25">
      <c r="A1072" s="16" t="s">
        <v>3361</v>
      </c>
      <c r="B1072" s="16" t="s">
        <v>3362</v>
      </c>
      <c r="C1072" s="16" t="s">
        <v>3363</v>
      </c>
      <c r="D1072" s="16" t="s">
        <v>3207</v>
      </c>
      <c r="E1072" s="16" t="s">
        <v>3364</v>
      </c>
      <c r="F1072" s="16" t="s">
        <v>3365</v>
      </c>
      <c r="G1072" s="16" t="s">
        <v>3366</v>
      </c>
      <c r="H1072" s="16" t="s">
        <v>3365</v>
      </c>
      <c r="I1072" s="16" t="s">
        <v>1970</v>
      </c>
      <c r="J1072" s="16" t="s">
        <v>995</v>
      </c>
      <c r="K1072" s="16" t="s">
        <v>1971</v>
      </c>
      <c r="L1072" s="16" t="s">
        <v>85</v>
      </c>
      <c r="M1072" s="16" t="s">
        <v>1165</v>
      </c>
      <c r="N1072" s="16" t="s">
        <v>914</v>
      </c>
      <c r="O1072" s="16" t="s">
        <v>1166</v>
      </c>
      <c r="P1072" s="16" t="s">
        <v>914</v>
      </c>
      <c r="Q1072" s="16" t="s">
        <v>1166</v>
      </c>
      <c r="R1072" s="16" t="s">
        <v>915</v>
      </c>
      <c r="S1072" s="16" t="s">
        <v>915</v>
      </c>
      <c r="T1072" s="16" t="s">
        <v>1167</v>
      </c>
      <c r="U1072" s="16" t="s">
        <v>1168</v>
      </c>
      <c r="V1072" s="16" t="s">
        <v>916</v>
      </c>
      <c r="W1072" s="16" t="s">
        <v>1168</v>
      </c>
      <c r="X1072" s="16" t="s">
        <v>934</v>
      </c>
      <c r="Y1072" s="16" t="s">
        <v>934</v>
      </c>
      <c r="Z1072" s="16" t="s">
        <v>935</v>
      </c>
      <c r="DA1072" s="405" t="s">
        <v>5</v>
      </c>
      <c r="DB1072" s="405" t="s">
        <v>363</v>
      </c>
      <c r="DC1072" s="406" t="s">
        <v>85</v>
      </c>
      <c r="DD1072" s="405" t="s">
        <v>917</v>
      </c>
      <c r="DE1072" s="405" t="s">
        <v>5</v>
      </c>
      <c r="DF1072" s="406" t="s">
        <v>85</v>
      </c>
      <c r="DG1072" s="407">
        <v>45861</v>
      </c>
      <c r="DH1072" s="405" t="s">
        <v>3364</v>
      </c>
      <c r="DI1072" s="406">
        <v>465455</v>
      </c>
      <c r="DJ1072" s="408">
        <v>5</v>
      </c>
      <c r="DK1072" s="405">
        <v>1</v>
      </c>
      <c r="DL1072" s="82">
        <v>468.28</v>
      </c>
      <c r="DM1072" s="409">
        <v>2.3413999999999997</v>
      </c>
      <c r="DN1072" s="82" t="s">
        <v>85</v>
      </c>
      <c r="DO1072" s="82" t="s">
        <v>85</v>
      </c>
      <c r="DP1072" s="410" t="s">
        <v>85</v>
      </c>
    </row>
    <row r="1073" spans="1:120" x14ac:dyDescent="0.25">
      <c r="A1073" s="16" t="s">
        <v>3367</v>
      </c>
      <c r="B1073" s="16" t="s">
        <v>3368</v>
      </c>
      <c r="C1073" s="16" t="s">
        <v>3369</v>
      </c>
      <c r="D1073" s="16" t="s">
        <v>3207</v>
      </c>
      <c r="E1073" s="16" t="s">
        <v>3370</v>
      </c>
      <c r="F1073" s="16" t="s">
        <v>3371</v>
      </c>
      <c r="G1073" s="16" t="s">
        <v>3372</v>
      </c>
      <c r="H1073" s="16" t="s">
        <v>3371</v>
      </c>
      <c r="I1073" s="16" t="s">
        <v>1309</v>
      </c>
      <c r="J1073" s="16" t="s">
        <v>1109</v>
      </c>
      <c r="K1073" s="16" t="s">
        <v>1310</v>
      </c>
      <c r="L1073" s="16" t="s">
        <v>85</v>
      </c>
      <c r="M1073" s="16" t="s">
        <v>1311</v>
      </c>
      <c r="N1073" s="16" t="s">
        <v>914</v>
      </c>
      <c r="O1073" s="16" t="s">
        <v>1312</v>
      </c>
      <c r="P1073" s="16" t="s">
        <v>914</v>
      </c>
      <c r="Q1073" s="16" t="s">
        <v>1312</v>
      </c>
      <c r="R1073" s="16" t="s">
        <v>915</v>
      </c>
      <c r="S1073" s="16" t="s">
        <v>915</v>
      </c>
      <c r="T1073" s="16" t="s">
        <v>1311</v>
      </c>
      <c r="U1073" s="16" t="s">
        <v>1313</v>
      </c>
      <c r="V1073" s="16" t="s">
        <v>916</v>
      </c>
      <c r="W1073" s="16" t="s">
        <v>1313</v>
      </c>
      <c r="X1073" s="16" t="s">
        <v>934</v>
      </c>
      <c r="Y1073" s="16" t="s">
        <v>934</v>
      </c>
      <c r="Z1073" s="16" t="s">
        <v>935</v>
      </c>
      <c r="DA1073" s="405" t="s">
        <v>5</v>
      </c>
      <c r="DB1073" s="405" t="s">
        <v>363</v>
      </c>
      <c r="DC1073" s="406" t="s">
        <v>85</v>
      </c>
      <c r="DD1073" s="405" t="s">
        <v>917</v>
      </c>
      <c r="DE1073" s="405" t="s">
        <v>5</v>
      </c>
      <c r="DF1073" s="406" t="s">
        <v>85</v>
      </c>
      <c r="DG1073" s="407">
        <v>45861</v>
      </c>
      <c r="DH1073" s="405" t="s">
        <v>3370</v>
      </c>
      <c r="DI1073" s="406">
        <v>465455</v>
      </c>
      <c r="DJ1073" s="408">
        <v>5</v>
      </c>
      <c r="DK1073" s="405">
        <v>1</v>
      </c>
      <c r="DL1073" s="82">
        <v>531.54</v>
      </c>
      <c r="DM1073" s="409">
        <v>2.6576999999999997</v>
      </c>
      <c r="DN1073" s="82" t="s">
        <v>85</v>
      </c>
      <c r="DO1073" s="82" t="s">
        <v>85</v>
      </c>
      <c r="DP1073" s="410" t="s">
        <v>85</v>
      </c>
    </row>
    <row r="1074" spans="1:120" x14ac:dyDescent="0.25">
      <c r="A1074" s="16" t="s">
        <v>3373</v>
      </c>
      <c r="B1074" s="16" t="s">
        <v>3374</v>
      </c>
      <c r="C1074" s="16" t="s">
        <v>3375</v>
      </c>
      <c r="D1074" s="16" t="s">
        <v>3207</v>
      </c>
      <c r="E1074" s="16" t="s">
        <v>3376</v>
      </c>
      <c r="F1074" s="16" t="s">
        <v>3377</v>
      </c>
      <c r="G1074" s="16" t="s">
        <v>3378</v>
      </c>
      <c r="H1074" s="16" t="s">
        <v>3379</v>
      </c>
      <c r="I1074" s="16" t="s">
        <v>1929</v>
      </c>
      <c r="J1074" s="16" t="s">
        <v>995</v>
      </c>
      <c r="K1074" s="16" t="s">
        <v>1930</v>
      </c>
      <c r="L1074" s="16" t="s">
        <v>85</v>
      </c>
      <c r="M1074" s="16" t="s">
        <v>1165</v>
      </c>
      <c r="N1074" s="16" t="s">
        <v>914</v>
      </c>
      <c r="O1074" s="16" t="s">
        <v>1166</v>
      </c>
      <c r="P1074" s="16" t="s">
        <v>914</v>
      </c>
      <c r="Q1074" s="16" t="s">
        <v>1166</v>
      </c>
      <c r="R1074" s="16" t="s">
        <v>915</v>
      </c>
      <c r="S1074" s="16" t="s">
        <v>915</v>
      </c>
      <c r="T1074" s="16" t="s">
        <v>1167</v>
      </c>
      <c r="U1074" s="16" t="s">
        <v>1168</v>
      </c>
      <c r="V1074" s="16" t="s">
        <v>916</v>
      </c>
      <c r="W1074" s="16" t="s">
        <v>1168</v>
      </c>
      <c r="X1074" s="16" t="s">
        <v>934</v>
      </c>
      <c r="Y1074" s="16" t="s">
        <v>934</v>
      </c>
      <c r="Z1074" s="16" t="s">
        <v>935</v>
      </c>
      <c r="DA1074" s="405" t="s">
        <v>5</v>
      </c>
      <c r="DB1074" s="405" t="s">
        <v>363</v>
      </c>
      <c r="DC1074" s="406" t="s">
        <v>85</v>
      </c>
      <c r="DD1074" s="405" t="s">
        <v>917</v>
      </c>
      <c r="DE1074" s="405" t="s">
        <v>5</v>
      </c>
      <c r="DF1074" s="406" t="s">
        <v>85</v>
      </c>
      <c r="DG1074" s="407">
        <v>45861</v>
      </c>
      <c r="DH1074" s="405" t="s">
        <v>3376</v>
      </c>
      <c r="DI1074" s="406">
        <v>465455</v>
      </c>
      <c r="DJ1074" s="408">
        <v>5</v>
      </c>
      <c r="DK1074" s="405">
        <v>1</v>
      </c>
      <c r="DL1074" s="82">
        <v>468.28</v>
      </c>
      <c r="DM1074" s="409">
        <v>2.3413999999999997</v>
      </c>
      <c r="DN1074" s="82" t="s">
        <v>85</v>
      </c>
      <c r="DO1074" s="82" t="s">
        <v>85</v>
      </c>
      <c r="DP1074" s="410" t="s">
        <v>85</v>
      </c>
    </row>
    <row r="1075" spans="1:120" x14ac:dyDescent="0.25">
      <c r="A1075" s="16" t="s">
        <v>3380</v>
      </c>
      <c r="B1075" s="16" t="s">
        <v>3381</v>
      </c>
      <c r="C1075" s="16" t="s">
        <v>3382</v>
      </c>
      <c r="D1075" s="16" t="s">
        <v>3207</v>
      </c>
      <c r="E1075" s="16" t="s">
        <v>3383</v>
      </c>
      <c r="F1075" s="16" t="s">
        <v>3384</v>
      </c>
      <c r="G1075" s="16" t="s">
        <v>3385</v>
      </c>
      <c r="H1075" s="16" t="s">
        <v>3386</v>
      </c>
      <c r="I1075" s="16" t="s">
        <v>1772</v>
      </c>
      <c r="J1075" s="16" t="s">
        <v>1036</v>
      </c>
      <c r="K1075" s="16" t="s">
        <v>1773</v>
      </c>
      <c r="L1075" s="16" t="s">
        <v>85</v>
      </c>
      <c r="M1075" s="16" t="s">
        <v>1216</v>
      </c>
      <c r="N1075" s="16" t="s">
        <v>914</v>
      </c>
      <c r="O1075" s="16" t="s">
        <v>946</v>
      </c>
      <c r="P1075" s="16" t="s">
        <v>914</v>
      </c>
      <c r="Q1075" s="16" t="s">
        <v>946</v>
      </c>
      <c r="R1075" s="16" t="s">
        <v>915</v>
      </c>
      <c r="S1075" s="16" t="s">
        <v>915</v>
      </c>
      <c r="T1075" s="16" t="s">
        <v>1216</v>
      </c>
      <c r="U1075" s="16" t="s">
        <v>1217</v>
      </c>
      <c r="V1075" s="16" t="s">
        <v>916</v>
      </c>
      <c r="W1075" s="16" t="s">
        <v>1217</v>
      </c>
      <c r="X1075" s="16" t="s">
        <v>934</v>
      </c>
      <c r="Y1075" s="16" t="s">
        <v>934</v>
      </c>
      <c r="Z1075" s="16" t="s">
        <v>935</v>
      </c>
      <c r="DA1075" s="405" t="s">
        <v>5</v>
      </c>
      <c r="DB1075" s="405" t="s">
        <v>363</v>
      </c>
      <c r="DC1075" s="406" t="s">
        <v>85</v>
      </c>
      <c r="DD1075" s="405" t="s">
        <v>917</v>
      </c>
      <c r="DE1075" s="405" t="s">
        <v>5</v>
      </c>
      <c r="DF1075" s="406" t="s">
        <v>85</v>
      </c>
      <c r="DG1075" s="407">
        <v>45861</v>
      </c>
      <c r="DH1075" s="405" t="s">
        <v>3383</v>
      </c>
      <c r="DI1075" s="406">
        <v>465455</v>
      </c>
      <c r="DJ1075" s="408">
        <v>5</v>
      </c>
      <c r="DK1075" s="405">
        <v>1</v>
      </c>
      <c r="DL1075" s="82">
        <v>319.22000000000003</v>
      </c>
      <c r="DM1075" s="409">
        <v>1.5961000000000001</v>
      </c>
      <c r="DN1075" s="82" t="s">
        <v>85</v>
      </c>
      <c r="DO1075" s="82" t="s">
        <v>85</v>
      </c>
      <c r="DP1075" s="410" t="s">
        <v>85</v>
      </c>
    </row>
    <row r="1076" spans="1:120" x14ac:dyDescent="0.25">
      <c r="A1076" s="16" t="s">
        <v>3387</v>
      </c>
      <c r="B1076" s="16" t="s">
        <v>3388</v>
      </c>
      <c r="C1076" s="16" t="s">
        <v>3389</v>
      </c>
      <c r="D1076" s="16" t="s">
        <v>3207</v>
      </c>
      <c r="E1076" s="16" t="s">
        <v>3390</v>
      </c>
      <c r="F1076" s="16" t="s">
        <v>3391</v>
      </c>
      <c r="G1076" s="16" t="s">
        <v>3392</v>
      </c>
      <c r="H1076" s="16" t="s">
        <v>3393</v>
      </c>
      <c r="I1076" s="16" t="s">
        <v>3394</v>
      </c>
      <c r="J1076" s="16" t="s">
        <v>2369</v>
      </c>
      <c r="K1076" s="16" t="s">
        <v>3395</v>
      </c>
      <c r="L1076" s="16" t="s">
        <v>85</v>
      </c>
      <c r="M1076" s="16" t="s">
        <v>1955</v>
      </c>
      <c r="N1076" s="16" t="s">
        <v>914</v>
      </c>
      <c r="O1076" s="16" t="s">
        <v>1039</v>
      </c>
      <c r="P1076" s="16" t="s">
        <v>914</v>
      </c>
      <c r="Q1076" s="16" t="s">
        <v>1039</v>
      </c>
      <c r="R1076" s="16" t="s">
        <v>915</v>
      </c>
      <c r="S1076" s="16" t="s">
        <v>915</v>
      </c>
      <c r="T1076" s="16" t="s">
        <v>1955</v>
      </c>
      <c r="U1076" s="16" t="s">
        <v>1956</v>
      </c>
      <c r="V1076" s="16" t="s">
        <v>916</v>
      </c>
      <c r="W1076" s="16" t="s">
        <v>1956</v>
      </c>
      <c r="X1076" s="16" t="s">
        <v>934</v>
      </c>
      <c r="Y1076" s="16" t="s">
        <v>934</v>
      </c>
      <c r="Z1076" s="16" t="s">
        <v>935</v>
      </c>
      <c r="DA1076" s="405" t="s">
        <v>5</v>
      </c>
      <c r="DB1076" s="405" t="s">
        <v>363</v>
      </c>
      <c r="DC1076" s="406" t="s">
        <v>85</v>
      </c>
      <c r="DD1076" s="405" t="s">
        <v>917</v>
      </c>
      <c r="DE1076" s="405" t="s">
        <v>5</v>
      </c>
      <c r="DF1076" s="406" t="s">
        <v>85</v>
      </c>
      <c r="DG1076" s="407">
        <v>45861</v>
      </c>
      <c r="DH1076" s="405" t="s">
        <v>3390</v>
      </c>
      <c r="DI1076" s="406">
        <v>465455</v>
      </c>
      <c r="DJ1076" s="408">
        <v>5</v>
      </c>
      <c r="DK1076" s="405">
        <v>1</v>
      </c>
      <c r="DL1076" s="82">
        <v>311.2</v>
      </c>
      <c r="DM1076" s="409">
        <v>1.556</v>
      </c>
      <c r="DN1076" s="82" t="s">
        <v>85</v>
      </c>
      <c r="DO1076" s="82" t="s">
        <v>85</v>
      </c>
      <c r="DP1076" s="410" t="s">
        <v>85</v>
      </c>
    </row>
    <row r="1077" spans="1:120" x14ac:dyDescent="0.25">
      <c r="A1077" s="16" t="s">
        <v>3396</v>
      </c>
      <c r="B1077" s="16" t="s">
        <v>3397</v>
      </c>
      <c r="C1077" s="16" t="s">
        <v>3398</v>
      </c>
      <c r="D1077" s="16" t="s">
        <v>3207</v>
      </c>
      <c r="E1077" s="16" t="s">
        <v>3399</v>
      </c>
      <c r="F1077" s="16" t="s">
        <v>3400</v>
      </c>
      <c r="G1077" s="16" t="s">
        <v>3401</v>
      </c>
      <c r="H1077" s="16" t="s">
        <v>3402</v>
      </c>
      <c r="I1077" s="16" t="s">
        <v>1620</v>
      </c>
      <c r="J1077" s="16" t="s">
        <v>943</v>
      </c>
      <c r="K1077" s="16" t="s">
        <v>1621</v>
      </c>
      <c r="L1077" s="16" t="s">
        <v>85</v>
      </c>
      <c r="M1077" s="16" t="s">
        <v>984</v>
      </c>
      <c r="N1077" s="16" t="s">
        <v>914</v>
      </c>
      <c r="O1077" s="16" t="s">
        <v>985</v>
      </c>
      <c r="P1077" s="16" t="s">
        <v>914</v>
      </c>
      <c r="Q1077" s="16" t="s">
        <v>985</v>
      </c>
      <c r="R1077" s="16" t="s">
        <v>915</v>
      </c>
      <c r="S1077" s="16" t="s">
        <v>915</v>
      </c>
      <c r="T1077" s="16" t="s">
        <v>986</v>
      </c>
      <c r="U1077" s="16" t="s">
        <v>987</v>
      </c>
      <c r="V1077" s="16" t="s">
        <v>916</v>
      </c>
      <c r="W1077" s="16" t="s">
        <v>987</v>
      </c>
      <c r="X1077" s="16" t="s">
        <v>934</v>
      </c>
      <c r="Y1077" s="16" t="s">
        <v>934</v>
      </c>
      <c r="Z1077" s="16" t="s">
        <v>935</v>
      </c>
      <c r="DA1077" s="405" t="s">
        <v>5</v>
      </c>
      <c r="DB1077" s="405" t="s">
        <v>363</v>
      </c>
      <c r="DC1077" s="406" t="s">
        <v>85</v>
      </c>
      <c r="DD1077" s="405" t="s">
        <v>917</v>
      </c>
      <c r="DE1077" s="405" t="s">
        <v>5</v>
      </c>
      <c r="DF1077" s="406" t="s">
        <v>85</v>
      </c>
      <c r="DG1077" s="407">
        <v>45861</v>
      </c>
      <c r="DH1077" s="405" t="s">
        <v>3399</v>
      </c>
      <c r="DI1077" s="406">
        <v>465455</v>
      </c>
      <c r="DJ1077" s="408">
        <v>5</v>
      </c>
      <c r="DK1077" s="405">
        <v>1</v>
      </c>
      <c r="DL1077" s="82">
        <v>340.55</v>
      </c>
      <c r="DM1077" s="409">
        <v>1.70275</v>
      </c>
      <c r="DN1077" s="82" t="s">
        <v>85</v>
      </c>
      <c r="DO1077" s="82" t="s">
        <v>85</v>
      </c>
      <c r="DP1077" s="410" t="s">
        <v>85</v>
      </c>
    </row>
    <row r="1078" spans="1:120" x14ac:dyDescent="0.25">
      <c r="A1078" s="16" t="s">
        <v>3396</v>
      </c>
      <c r="B1078" s="16" t="s">
        <v>3397</v>
      </c>
      <c r="C1078" s="16" t="s">
        <v>3398</v>
      </c>
      <c r="D1078" s="16" t="s">
        <v>3207</v>
      </c>
      <c r="E1078" s="16" t="s">
        <v>3399</v>
      </c>
      <c r="F1078" s="16" t="s">
        <v>3400</v>
      </c>
      <c r="G1078" s="16" t="s">
        <v>3401</v>
      </c>
      <c r="H1078" s="16" t="s">
        <v>3402</v>
      </c>
      <c r="I1078" s="16" t="s">
        <v>1150</v>
      </c>
      <c r="J1078" s="16" t="s">
        <v>943</v>
      </c>
      <c r="K1078" s="16" t="s">
        <v>1151</v>
      </c>
      <c r="L1078" s="16" t="s">
        <v>85</v>
      </c>
      <c r="M1078" s="16" t="s">
        <v>984</v>
      </c>
      <c r="N1078" s="16" t="s">
        <v>914</v>
      </c>
      <c r="O1078" s="16" t="s">
        <v>985</v>
      </c>
      <c r="P1078" s="16" t="s">
        <v>914</v>
      </c>
      <c r="Q1078" s="16" t="s">
        <v>985</v>
      </c>
      <c r="R1078" s="16" t="s">
        <v>915</v>
      </c>
      <c r="S1078" s="16" t="s">
        <v>915</v>
      </c>
      <c r="T1078" s="16" t="s">
        <v>986</v>
      </c>
      <c r="U1078" s="16" t="s">
        <v>987</v>
      </c>
      <c r="V1078" s="16" t="s">
        <v>916</v>
      </c>
      <c r="W1078" s="16" t="s">
        <v>987</v>
      </c>
      <c r="X1078" s="16" t="s">
        <v>934</v>
      </c>
      <c r="Y1078" s="16" t="s">
        <v>934</v>
      </c>
      <c r="Z1078" s="16" t="s">
        <v>935</v>
      </c>
      <c r="DA1078" s="405" t="s">
        <v>5</v>
      </c>
      <c r="DB1078" s="405" t="s">
        <v>363</v>
      </c>
      <c r="DC1078" s="406" t="s">
        <v>85</v>
      </c>
      <c r="DD1078" s="405" t="s">
        <v>917</v>
      </c>
      <c r="DE1078" s="405" t="s">
        <v>5</v>
      </c>
      <c r="DF1078" s="406" t="s">
        <v>85</v>
      </c>
      <c r="DG1078" s="407">
        <v>45861</v>
      </c>
      <c r="DH1078" s="405" t="s">
        <v>3399</v>
      </c>
      <c r="DI1078" s="406">
        <v>465455</v>
      </c>
      <c r="DJ1078" s="408">
        <v>5</v>
      </c>
      <c r="DK1078" s="405">
        <v>1</v>
      </c>
      <c r="DL1078" s="82">
        <v>340.55</v>
      </c>
      <c r="DM1078" s="409">
        <v>1.70275</v>
      </c>
      <c r="DN1078" s="82" t="s">
        <v>85</v>
      </c>
      <c r="DO1078" s="82" t="s">
        <v>85</v>
      </c>
      <c r="DP1078" s="410" t="s">
        <v>85</v>
      </c>
    </row>
    <row r="1079" spans="1:120" x14ac:dyDescent="0.25">
      <c r="A1079" s="16" t="s">
        <v>3403</v>
      </c>
      <c r="B1079" s="16" t="s">
        <v>3404</v>
      </c>
      <c r="C1079" s="16" t="s">
        <v>3405</v>
      </c>
      <c r="D1079" s="16" t="s">
        <v>3207</v>
      </c>
      <c r="E1079" s="16" t="s">
        <v>3406</v>
      </c>
      <c r="F1079" s="16" t="s">
        <v>3407</v>
      </c>
      <c r="G1079" s="16" t="s">
        <v>3408</v>
      </c>
      <c r="H1079" s="16" t="s">
        <v>3409</v>
      </c>
      <c r="I1079" s="16" t="s">
        <v>2958</v>
      </c>
      <c r="J1079" s="16" t="s">
        <v>943</v>
      </c>
      <c r="K1079" s="16" t="s">
        <v>2959</v>
      </c>
      <c r="L1079" s="16" t="s">
        <v>85</v>
      </c>
      <c r="M1079" s="16" t="s">
        <v>984</v>
      </c>
      <c r="N1079" s="16" t="s">
        <v>914</v>
      </c>
      <c r="O1079" s="16" t="s">
        <v>985</v>
      </c>
      <c r="P1079" s="16" t="s">
        <v>914</v>
      </c>
      <c r="Q1079" s="16" t="s">
        <v>985</v>
      </c>
      <c r="R1079" s="16" t="s">
        <v>915</v>
      </c>
      <c r="S1079" s="16" t="s">
        <v>915</v>
      </c>
      <c r="T1079" s="16" t="s">
        <v>986</v>
      </c>
      <c r="U1079" s="16" t="s">
        <v>987</v>
      </c>
      <c r="V1079" s="16" t="s">
        <v>916</v>
      </c>
      <c r="W1079" s="16" t="s">
        <v>987</v>
      </c>
      <c r="X1079" s="16" t="s">
        <v>934</v>
      </c>
      <c r="Y1079" s="16" t="s">
        <v>934</v>
      </c>
      <c r="Z1079" s="16" t="s">
        <v>935</v>
      </c>
      <c r="DA1079" s="405" t="s">
        <v>5</v>
      </c>
      <c r="DB1079" s="405" t="s">
        <v>363</v>
      </c>
      <c r="DC1079" s="406" t="s">
        <v>85</v>
      </c>
      <c r="DD1079" s="405" t="s">
        <v>917</v>
      </c>
      <c r="DE1079" s="405" t="s">
        <v>5</v>
      </c>
      <c r="DF1079" s="406" t="s">
        <v>85</v>
      </c>
      <c r="DG1079" s="407">
        <v>45861</v>
      </c>
      <c r="DH1079" s="405" t="s">
        <v>3406</v>
      </c>
      <c r="DI1079" s="406">
        <v>465455</v>
      </c>
      <c r="DJ1079" s="408">
        <v>5</v>
      </c>
      <c r="DK1079" s="405">
        <v>1</v>
      </c>
      <c r="DL1079" s="82">
        <v>340.55</v>
      </c>
      <c r="DM1079" s="409">
        <v>1.70275</v>
      </c>
      <c r="DN1079" s="82" t="s">
        <v>85</v>
      </c>
      <c r="DO1079" s="82" t="s">
        <v>85</v>
      </c>
      <c r="DP1079" s="410" t="s">
        <v>85</v>
      </c>
    </row>
    <row r="1080" spans="1:120" x14ac:dyDescent="0.25">
      <c r="A1080" s="16" t="s">
        <v>3410</v>
      </c>
      <c r="B1080" s="16" t="s">
        <v>3411</v>
      </c>
      <c r="C1080" s="16" t="s">
        <v>3412</v>
      </c>
      <c r="D1080" s="16" t="s">
        <v>3207</v>
      </c>
      <c r="E1080" s="16" t="s">
        <v>3413</v>
      </c>
      <c r="F1080" s="16" t="s">
        <v>3414</v>
      </c>
      <c r="G1080" s="16" t="s">
        <v>3415</v>
      </c>
      <c r="H1080" s="16" t="s">
        <v>3416</v>
      </c>
      <c r="I1080" s="16" t="s">
        <v>2822</v>
      </c>
      <c r="J1080" s="16" t="s">
        <v>943</v>
      </c>
      <c r="K1080" s="16" t="s">
        <v>2823</v>
      </c>
      <c r="L1080" s="16" t="s">
        <v>85</v>
      </c>
      <c r="M1080" s="16" t="s">
        <v>984</v>
      </c>
      <c r="N1080" s="16" t="s">
        <v>914</v>
      </c>
      <c r="O1080" s="16" t="s">
        <v>985</v>
      </c>
      <c r="P1080" s="16" t="s">
        <v>914</v>
      </c>
      <c r="Q1080" s="16" t="s">
        <v>985</v>
      </c>
      <c r="R1080" s="16" t="s">
        <v>915</v>
      </c>
      <c r="S1080" s="16" t="s">
        <v>915</v>
      </c>
      <c r="T1080" s="16" t="s">
        <v>986</v>
      </c>
      <c r="U1080" s="16" t="s">
        <v>987</v>
      </c>
      <c r="V1080" s="16" t="s">
        <v>916</v>
      </c>
      <c r="W1080" s="16" t="s">
        <v>987</v>
      </c>
      <c r="X1080" s="16" t="s">
        <v>934</v>
      </c>
      <c r="Y1080" s="16" t="s">
        <v>934</v>
      </c>
      <c r="Z1080" s="16" t="s">
        <v>935</v>
      </c>
      <c r="DA1080" s="405" t="s">
        <v>5</v>
      </c>
      <c r="DB1080" s="405" t="s">
        <v>363</v>
      </c>
      <c r="DC1080" s="406" t="s">
        <v>85</v>
      </c>
      <c r="DD1080" s="405" t="s">
        <v>917</v>
      </c>
      <c r="DE1080" s="405" t="s">
        <v>5</v>
      </c>
      <c r="DF1080" s="406" t="s">
        <v>85</v>
      </c>
      <c r="DG1080" s="407">
        <v>45861</v>
      </c>
      <c r="DH1080" s="405" t="s">
        <v>3413</v>
      </c>
      <c r="DI1080" s="406">
        <v>465455</v>
      </c>
      <c r="DJ1080" s="408">
        <v>5</v>
      </c>
      <c r="DK1080" s="405">
        <v>1</v>
      </c>
      <c r="DL1080" s="82">
        <v>340.55</v>
      </c>
      <c r="DM1080" s="409">
        <v>1.70275</v>
      </c>
      <c r="DN1080" s="82" t="s">
        <v>85</v>
      </c>
      <c r="DO1080" s="82" t="s">
        <v>85</v>
      </c>
      <c r="DP1080" s="410" t="s">
        <v>85</v>
      </c>
    </row>
    <row r="1081" spans="1:120" x14ac:dyDescent="0.25">
      <c r="A1081" s="16" t="s">
        <v>3417</v>
      </c>
      <c r="B1081" s="16" t="s">
        <v>3418</v>
      </c>
      <c r="C1081" s="16" t="s">
        <v>3419</v>
      </c>
      <c r="D1081" s="16" t="s">
        <v>3207</v>
      </c>
      <c r="E1081" s="16" t="s">
        <v>3420</v>
      </c>
      <c r="F1081" s="16" t="s">
        <v>3421</v>
      </c>
      <c r="G1081" s="16" t="s">
        <v>3422</v>
      </c>
      <c r="H1081" s="16" t="s">
        <v>3423</v>
      </c>
      <c r="I1081" s="16" t="s">
        <v>1386</v>
      </c>
      <c r="J1081" s="16" t="s">
        <v>1109</v>
      </c>
      <c r="K1081" s="16" t="s">
        <v>1387</v>
      </c>
      <c r="L1081" s="16" t="s">
        <v>85</v>
      </c>
      <c r="M1081" s="16" t="s">
        <v>1311</v>
      </c>
      <c r="N1081" s="16" t="s">
        <v>914</v>
      </c>
      <c r="O1081" s="16" t="s">
        <v>1312</v>
      </c>
      <c r="P1081" s="16" t="s">
        <v>914</v>
      </c>
      <c r="Q1081" s="16" t="s">
        <v>1312</v>
      </c>
      <c r="R1081" s="16" t="s">
        <v>915</v>
      </c>
      <c r="S1081" s="16" t="s">
        <v>915</v>
      </c>
      <c r="T1081" s="16" t="s">
        <v>1311</v>
      </c>
      <c r="U1081" s="16" t="s">
        <v>1313</v>
      </c>
      <c r="V1081" s="16" t="s">
        <v>916</v>
      </c>
      <c r="W1081" s="16" t="s">
        <v>1313</v>
      </c>
      <c r="X1081" s="16" t="s">
        <v>934</v>
      </c>
      <c r="Y1081" s="16" t="s">
        <v>934</v>
      </c>
      <c r="Z1081" s="16" t="s">
        <v>935</v>
      </c>
      <c r="DA1081" s="405" t="s">
        <v>5</v>
      </c>
      <c r="DB1081" s="405" t="s">
        <v>363</v>
      </c>
      <c r="DC1081" s="406" t="s">
        <v>85</v>
      </c>
      <c r="DD1081" s="405" t="s">
        <v>917</v>
      </c>
      <c r="DE1081" s="405" t="s">
        <v>5</v>
      </c>
      <c r="DF1081" s="406" t="s">
        <v>85</v>
      </c>
      <c r="DG1081" s="407">
        <v>45861</v>
      </c>
      <c r="DH1081" s="405" t="s">
        <v>3420</v>
      </c>
      <c r="DI1081" s="406">
        <v>465455</v>
      </c>
      <c r="DJ1081" s="408">
        <v>5</v>
      </c>
      <c r="DK1081" s="405">
        <v>1</v>
      </c>
      <c r="DL1081" s="82">
        <v>531.54</v>
      </c>
      <c r="DM1081" s="409">
        <v>2.6576999999999997</v>
      </c>
      <c r="DN1081" s="82" t="s">
        <v>85</v>
      </c>
      <c r="DO1081" s="82" t="s">
        <v>85</v>
      </c>
      <c r="DP1081" s="410" t="s">
        <v>85</v>
      </c>
    </row>
    <row r="1082" spans="1:120" x14ac:dyDescent="0.25">
      <c r="A1082" s="16" t="s">
        <v>3424</v>
      </c>
      <c r="B1082" s="16" t="s">
        <v>3425</v>
      </c>
      <c r="C1082" s="16" t="s">
        <v>3426</v>
      </c>
      <c r="D1082" s="16" t="s">
        <v>3207</v>
      </c>
      <c r="E1082" s="16" t="s">
        <v>3427</v>
      </c>
      <c r="F1082" s="16" t="s">
        <v>3428</v>
      </c>
      <c r="G1082" s="16" t="s">
        <v>3429</v>
      </c>
      <c r="H1082" s="16" t="s">
        <v>3430</v>
      </c>
      <c r="I1082" s="16" t="s">
        <v>2136</v>
      </c>
      <c r="J1082" s="16" t="s">
        <v>943</v>
      </c>
      <c r="K1082" s="16" t="s">
        <v>2137</v>
      </c>
      <c r="L1082" s="16" t="s">
        <v>85</v>
      </c>
      <c r="M1082" s="16" t="s">
        <v>984</v>
      </c>
      <c r="N1082" s="16" t="s">
        <v>914</v>
      </c>
      <c r="O1082" s="16" t="s">
        <v>985</v>
      </c>
      <c r="P1082" s="16" t="s">
        <v>914</v>
      </c>
      <c r="Q1082" s="16" t="s">
        <v>985</v>
      </c>
      <c r="R1082" s="16" t="s">
        <v>915</v>
      </c>
      <c r="S1082" s="16" t="s">
        <v>915</v>
      </c>
      <c r="T1082" s="16" t="s">
        <v>986</v>
      </c>
      <c r="U1082" s="16" t="s">
        <v>987</v>
      </c>
      <c r="V1082" s="16" t="s">
        <v>916</v>
      </c>
      <c r="W1082" s="16" t="s">
        <v>987</v>
      </c>
      <c r="X1082" s="16" t="s">
        <v>934</v>
      </c>
      <c r="Y1082" s="16" t="s">
        <v>934</v>
      </c>
      <c r="Z1082" s="16" t="s">
        <v>935</v>
      </c>
      <c r="DA1082" s="405" t="s">
        <v>5</v>
      </c>
      <c r="DB1082" s="405" t="s">
        <v>363</v>
      </c>
      <c r="DC1082" s="406" t="s">
        <v>85</v>
      </c>
      <c r="DD1082" s="405" t="s">
        <v>917</v>
      </c>
      <c r="DE1082" s="405" t="s">
        <v>5</v>
      </c>
      <c r="DF1082" s="406" t="s">
        <v>85</v>
      </c>
      <c r="DG1082" s="407">
        <v>45861</v>
      </c>
      <c r="DH1082" s="405" t="s">
        <v>3427</v>
      </c>
      <c r="DI1082" s="406">
        <v>465455</v>
      </c>
      <c r="DJ1082" s="408">
        <v>5</v>
      </c>
      <c r="DK1082" s="405">
        <v>1</v>
      </c>
      <c r="DL1082" s="82">
        <v>340.55</v>
      </c>
      <c r="DM1082" s="409">
        <v>1.70275</v>
      </c>
      <c r="DN1082" s="82" t="s">
        <v>85</v>
      </c>
      <c r="DO1082" s="82" t="s">
        <v>85</v>
      </c>
      <c r="DP1082" s="410" t="s">
        <v>85</v>
      </c>
    </row>
    <row r="1083" spans="1:120" x14ac:dyDescent="0.25">
      <c r="A1083" s="16" t="s">
        <v>3431</v>
      </c>
      <c r="B1083" s="16" t="s">
        <v>3432</v>
      </c>
      <c r="C1083" s="16" t="s">
        <v>3433</v>
      </c>
      <c r="D1083" s="16" t="s">
        <v>3207</v>
      </c>
      <c r="E1083" s="16" t="s">
        <v>3434</v>
      </c>
      <c r="F1083" s="16" t="s">
        <v>3435</v>
      </c>
      <c r="G1083" s="16" t="s">
        <v>3436</v>
      </c>
      <c r="H1083" s="16" t="s">
        <v>3437</v>
      </c>
      <c r="I1083" s="16" t="s">
        <v>2145</v>
      </c>
      <c r="J1083" s="16" t="s">
        <v>928</v>
      </c>
      <c r="K1083" s="16" t="s">
        <v>2146</v>
      </c>
      <c r="L1083" s="16" t="s">
        <v>85</v>
      </c>
      <c r="M1083" s="16" t="s">
        <v>1322</v>
      </c>
      <c r="N1083" s="16" t="s">
        <v>914</v>
      </c>
      <c r="O1083" s="16" t="s">
        <v>1323</v>
      </c>
      <c r="P1083" s="16" t="s">
        <v>914</v>
      </c>
      <c r="Q1083" s="16" t="s">
        <v>1323</v>
      </c>
      <c r="R1083" s="16" t="s">
        <v>915</v>
      </c>
      <c r="S1083" s="16" t="s">
        <v>915</v>
      </c>
      <c r="T1083" s="16" t="s">
        <v>1322</v>
      </c>
      <c r="U1083" s="16" t="s">
        <v>1324</v>
      </c>
      <c r="V1083" s="16" t="s">
        <v>916</v>
      </c>
      <c r="W1083" s="16" t="s">
        <v>1324</v>
      </c>
      <c r="X1083" s="16" t="s">
        <v>934</v>
      </c>
      <c r="Y1083" s="16" t="s">
        <v>934</v>
      </c>
      <c r="Z1083" s="16" t="s">
        <v>935</v>
      </c>
      <c r="DA1083" s="405" t="s">
        <v>5</v>
      </c>
      <c r="DB1083" s="405" t="s">
        <v>363</v>
      </c>
      <c r="DC1083" s="406" t="s">
        <v>85</v>
      </c>
      <c r="DD1083" s="405" t="s">
        <v>917</v>
      </c>
      <c r="DE1083" s="405" t="s">
        <v>5</v>
      </c>
      <c r="DF1083" s="406" t="s">
        <v>85</v>
      </c>
      <c r="DG1083" s="407">
        <v>45861</v>
      </c>
      <c r="DH1083" s="405" t="s">
        <v>3434</v>
      </c>
      <c r="DI1083" s="406">
        <v>465455</v>
      </c>
      <c r="DJ1083" s="408">
        <v>5</v>
      </c>
      <c r="DK1083" s="405">
        <v>1</v>
      </c>
      <c r="DL1083" s="82">
        <v>332.47</v>
      </c>
      <c r="DM1083" s="409">
        <v>1.6623500000000002</v>
      </c>
      <c r="DN1083" s="82" t="s">
        <v>85</v>
      </c>
      <c r="DO1083" s="82" t="s">
        <v>85</v>
      </c>
      <c r="DP1083" s="410" t="s">
        <v>85</v>
      </c>
    </row>
    <row r="1084" spans="1:120" x14ac:dyDescent="0.25">
      <c r="A1084" s="16" t="s">
        <v>3438</v>
      </c>
      <c r="B1084" s="16" t="s">
        <v>3439</v>
      </c>
      <c r="C1084" s="16" t="s">
        <v>3440</v>
      </c>
      <c r="D1084" s="16" t="s">
        <v>3207</v>
      </c>
      <c r="E1084" s="16" t="s">
        <v>3441</v>
      </c>
      <c r="F1084" s="16" t="s">
        <v>3442</v>
      </c>
      <c r="G1084" s="16" t="s">
        <v>3443</v>
      </c>
      <c r="H1084" s="16" t="s">
        <v>3444</v>
      </c>
      <c r="I1084" s="16" t="s">
        <v>3445</v>
      </c>
      <c r="J1084" s="16" t="s">
        <v>956</v>
      </c>
      <c r="K1084" s="16" t="s">
        <v>3446</v>
      </c>
      <c r="L1084" s="16" t="s">
        <v>85</v>
      </c>
      <c r="M1084" s="16" t="s">
        <v>1396</v>
      </c>
      <c r="N1084" s="16" t="s">
        <v>914</v>
      </c>
      <c r="O1084" s="16" t="s">
        <v>1397</v>
      </c>
      <c r="P1084" s="16" t="s">
        <v>914</v>
      </c>
      <c r="Q1084" s="16" t="s">
        <v>1397</v>
      </c>
      <c r="R1084" s="16" t="s">
        <v>915</v>
      </c>
      <c r="S1084" s="16" t="s">
        <v>915</v>
      </c>
      <c r="T1084" s="16" t="s">
        <v>1396</v>
      </c>
      <c r="U1084" s="16" t="s">
        <v>1398</v>
      </c>
      <c r="V1084" s="16" t="s">
        <v>916</v>
      </c>
      <c r="W1084" s="16" t="s">
        <v>1398</v>
      </c>
      <c r="X1084" s="16" t="s">
        <v>934</v>
      </c>
      <c r="Y1084" s="16" t="s">
        <v>934</v>
      </c>
      <c r="Z1084" s="16" t="s">
        <v>935</v>
      </c>
      <c r="DA1084" s="405" t="s">
        <v>5</v>
      </c>
      <c r="DB1084" s="405" t="s">
        <v>363</v>
      </c>
      <c r="DC1084" s="406" t="s">
        <v>85</v>
      </c>
      <c r="DD1084" s="405" t="s">
        <v>917</v>
      </c>
      <c r="DE1084" s="405" t="s">
        <v>5</v>
      </c>
      <c r="DF1084" s="406" t="s">
        <v>85</v>
      </c>
      <c r="DG1084" s="407">
        <v>45861</v>
      </c>
      <c r="DH1084" s="405" t="s">
        <v>3441</v>
      </c>
      <c r="DI1084" s="406">
        <v>465455</v>
      </c>
      <c r="DJ1084" s="408">
        <v>5</v>
      </c>
      <c r="DK1084" s="405">
        <v>1</v>
      </c>
      <c r="DL1084" s="82">
        <v>265.92</v>
      </c>
      <c r="DM1084" s="409">
        <v>1.3296000000000001</v>
      </c>
      <c r="DN1084" s="82" t="s">
        <v>85</v>
      </c>
      <c r="DO1084" s="82" t="s">
        <v>85</v>
      </c>
      <c r="DP1084" s="410" t="s">
        <v>85</v>
      </c>
    </row>
    <row r="1085" spans="1:120" x14ac:dyDescent="0.25">
      <c r="A1085" s="16" t="s">
        <v>3447</v>
      </c>
      <c r="B1085" s="16" t="s">
        <v>3448</v>
      </c>
      <c r="C1085" s="16" t="s">
        <v>3449</v>
      </c>
      <c r="D1085" s="16" t="s">
        <v>3207</v>
      </c>
      <c r="E1085" s="16" t="s">
        <v>3450</v>
      </c>
      <c r="F1085" s="16" t="s">
        <v>3451</v>
      </c>
      <c r="G1085" s="16" t="s">
        <v>3452</v>
      </c>
      <c r="H1085" s="16" t="s">
        <v>3453</v>
      </c>
      <c r="I1085" s="16" t="s">
        <v>1099</v>
      </c>
      <c r="J1085" s="16" t="s">
        <v>943</v>
      </c>
      <c r="K1085" s="16" t="s">
        <v>1100</v>
      </c>
      <c r="L1085" s="16" t="s">
        <v>85</v>
      </c>
      <c r="M1085" s="16" t="s">
        <v>3454</v>
      </c>
      <c r="N1085" s="16" t="s">
        <v>914</v>
      </c>
      <c r="O1085" s="16" t="s">
        <v>985</v>
      </c>
      <c r="P1085" s="16" t="s">
        <v>914</v>
      </c>
      <c r="Q1085" s="16" t="s">
        <v>985</v>
      </c>
      <c r="R1085" s="16" t="s">
        <v>915</v>
      </c>
      <c r="S1085" s="16" t="s">
        <v>915</v>
      </c>
      <c r="T1085" s="16" t="s">
        <v>986</v>
      </c>
      <c r="U1085" s="16" t="s">
        <v>987</v>
      </c>
      <c r="V1085" s="16" t="s">
        <v>1763</v>
      </c>
      <c r="W1085" s="16" t="s">
        <v>3455</v>
      </c>
      <c r="X1085" s="16" t="s">
        <v>934</v>
      </c>
      <c r="Y1085" s="16" t="s">
        <v>934</v>
      </c>
      <c r="Z1085" s="16" t="s">
        <v>935</v>
      </c>
      <c r="DA1085" s="405" t="s">
        <v>5</v>
      </c>
      <c r="DB1085" s="405" t="s">
        <v>363</v>
      </c>
      <c r="DC1085" s="406" t="s">
        <v>85</v>
      </c>
      <c r="DD1085" s="405" t="s">
        <v>917</v>
      </c>
      <c r="DE1085" s="405" t="s">
        <v>5</v>
      </c>
      <c r="DF1085" s="406" t="s">
        <v>85</v>
      </c>
      <c r="DG1085" s="407">
        <v>45861</v>
      </c>
      <c r="DH1085" s="405" t="s">
        <v>3450</v>
      </c>
      <c r="DI1085" s="406">
        <v>465455</v>
      </c>
      <c r="DJ1085" s="408">
        <v>5</v>
      </c>
      <c r="DK1085" s="405">
        <v>2</v>
      </c>
      <c r="DL1085" s="82">
        <v>340.55</v>
      </c>
      <c r="DM1085" s="409">
        <v>1.70275</v>
      </c>
      <c r="DN1085" s="82" t="s">
        <v>85</v>
      </c>
      <c r="DO1085" s="82" t="s">
        <v>85</v>
      </c>
      <c r="DP1085" s="410" t="s">
        <v>85</v>
      </c>
    </row>
    <row r="1086" spans="1:120" x14ac:dyDescent="0.25">
      <c r="A1086" s="16" t="s">
        <v>3456</v>
      </c>
      <c r="B1086" s="16" t="s">
        <v>3457</v>
      </c>
      <c r="C1086" s="16" t="s">
        <v>3458</v>
      </c>
      <c r="D1086" s="16" t="s">
        <v>3207</v>
      </c>
      <c r="E1086" s="16" t="s">
        <v>3459</v>
      </c>
      <c r="F1086" s="16" t="s">
        <v>3460</v>
      </c>
      <c r="G1086" s="16" t="s">
        <v>3461</v>
      </c>
      <c r="H1086" s="16" t="s">
        <v>3462</v>
      </c>
      <c r="I1086" s="16" t="s">
        <v>1236</v>
      </c>
      <c r="J1086" s="16" t="s">
        <v>1123</v>
      </c>
      <c r="K1086" s="16" t="s">
        <v>1237</v>
      </c>
      <c r="L1086" s="16" t="s">
        <v>85</v>
      </c>
      <c r="M1086" s="16" t="s">
        <v>1238</v>
      </c>
      <c r="N1086" s="16" t="s">
        <v>914</v>
      </c>
      <c r="O1086" s="16" t="s">
        <v>1239</v>
      </c>
      <c r="P1086" s="16" t="s">
        <v>914</v>
      </c>
      <c r="Q1086" s="16" t="s">
        <v>1239</v>
      </c>
      <c r="R1086" s="16" t="s">
        <v>915</v>
      </c>
      <c r="S1086" s="16" t="s">
        <v>915</v>
      </c>
      <c r="T1086" s="16" t="s">
        <v>1238</v>
      </c>
      <c r="U1086" s="16" t="s">
        <v>1240</v>
      </c>
      <c r="V1086" s="16" t="s">
        <v>916</v>
      </c>
      <c r="W1086" s="16" t="s">
        <v>1240</v>
      </c>
      <c r="X1086" s="16" t="s">
        <v>934</v>
      </c>
      <c r="Y1086" s="16" t="s">
        <v>934</v>
      </c>
      <c r="Z1086" s="16" t="s">
        <v>935</v>
      </c>
      <c r="DA1086" s="405" t="s">
        <v>5</v>
      </c>
      <c r="DB1086" s="405" t="s">
        <v>363</v>
      </c>
      <c r="DC1086" s="406" t="s">
        <v>85</v>
      </c>
      <c r="DD1086" s="405" t="s">
        <v>917</v>
      </c>
      <c r="DE1086" s="405" t="s">
        <v>5</v>
      </c>
      <c r="DF1086" s="406" t="s">
        <v>85</v>
      </c>
      <c r="DG1086" s="407">
        <v>45861</v>
      </c>
      <c r="DH1086" s="405" t="s">
        <v>3459</v>
      </c>
      <c r="DI1086" s="406">
        <v>465455</v>
      </c>
      <c r="DJ1086" s="408">
        <v>5</v>
      </c>
      <c r="DK1086" s="405">
        <v>1</v>
      </c>
      <c r="DL1086" s="82">
        <v>383.16</v>
      </c>
      <c r="DM1086" s="409">
        <v>1.9158000000000002</v>
      </c>
      <c r="DN1086" s="82" t="s">
        <v>85</v>
      </c>
      <c r="DO1086" s="82" t="s">
        <v>85</v>
      </c>
      <c r="DP1086" s="410" t="s">
        <v>85</v>
      </c>
    </row>
    <row r="1087" spans="1:120" x14ac:dyDescent="0.25">
      <c r="A1087" s="16" t="s">
        <v>3463</v>
      </c>
      <c r="B1087" s="16" t="s">
        <v>3464</v>
      </c>
      <c r="C1087" s="16" t="s">
        <v>3465</v>
      </c>
      <c r="D1087" s="16" t="s">
        <v>3207</v>
      </c>
      <c r="E1087" s="16" t="s">
        <v>3466</v>
      </c>
      <c r="F1087" s="16" t="s">
        <v>3467</v>
      </c>
      <c r="G1087" s="16" t="s">
        <v>3468</v>
      </c>
      <c r="H1087" s="16" t="s">
        <v>3469</v>
      </c>
      <c r="I1087" s="16" t="s">
        <v>1414</v>
      </c>
      <c r="J1087" s="16" t="s">
        <v>1109</v>
      </c>
      <c r="K1087" s="16" t="s">
        <v>1415</v>
      </c>
      <c r="L1087" s="16" t="s">
        <v>85</v>
      </c>
      <c r="M1087" s="16" t="s">
        <v>1311</v>
      </c>
      <c r="N1087" s="16" t="s">
        <v>914</v>
      </c>
      <c r="O1087" s="16" t="s">
        <v>1312</v>
      </c>
      <c r="P1087" s="16" t="s">
        <v>914</v>
      </c>
      <c r="Q1087" s="16" t="s">
        <v>1312</v>
      </c>
      <c r="R1087" s="16" t="s">
        <v>915</v>
      </c>
      <c r="S1087" s="16" t="s">
        <v>915</v>
      </c>
      <c r="T1087" s="16" t="s">
        <v>1311</v>
      </c>
      <c r="U1087" s="16" t="s">
        <v>1313</v>
      </c>
      <c r="V1087" s="16" t="s">
        <v>916</v>
      </c>
      <c r="W1087" s="16" t="s">
        <v>1313</v>
      </c>
      <c r="X1087" s="16" t="s">
        <v>934</v>
      </c>
      <c r="Y1087" s="16" t="s">
        <v>934</v>
      </c>
      <c r="Z1087" s="16" t="s">
        <v>935</v>
      </c>
      <c r="DA1087" s="405" t="s">
        <v>5</v>
      </c>
      <c r="DB1087" s="405" t="s">
        <v>363</v>
      </c>
      <c r="DC1087" s="406" t="s">
        <v>85</v>
      </c>
      <c r="DD1087" s="405" t="s">
        <v>917</v>
      </c>
      <c r="DE1087" s="405" t="s">
        <v>5</v>
      </c>
      <c r="DF1087" s="406" t="s">
        <v>85</v>
      </c>
      <c r="DG1087" s="407">
        <v>45861</v>
      </c>
      <c r="DH1087" s="405" t="s">
        <v>3466</v>
      </c>
      <c r="DI1087" s="406">
        <v>465455</v>
      </c>
      <c r="DJ1087" s="408">
        <v>5</v>
      </c>
      <c r="DK1087" s="405">
        <v>1</v>
      </c>
      <c r="DL1087" s="82">
        <v>531.54</v>
      </c>
      <c r="DM1087" s="409">
        <v>2.6576999999999997</v>
      </c>
      <c r="DN1087" s="82" t="s">
        <v>85</v>
      </c>
      <c r="DO1087" s="82" t="s">
        <v>85</v>
      </c>
      <c r="DP1087" s="410" t="s">
        <v>85</v>
      </c>
    </row>
    <row r="1088" spans="1:120" x14ac:dyDescent="0.25">
      <c r="A1088" s="16" t="s">
        <v>3470</v>
      </c>
      <c r="B1088" s="16" t="s">
        <v>3471</v>
      </c>
      <c r="C1088" s="16" t="s">
        <v>3472</v>
      </c>
      <c r="D1088" s="16" t="s">
        <v>3207</v>
      </c>
      <c r="E1088" s="16" t="s">
        <v>3473</v>
      </c>
      <c r="F1088" s="16" t="s">
        <v>3474</v>
      </c>
      <c r="G1088" s="16" t="s">
        <v>3475</v>
      </c>
      <c r="H1088" s="16" t="s">
        <v>3467</v>
      </c>
      <c r="I1088" s="16" t="s">
        <v>3476</v>
      </c>
      <c r="J1088" s="16" t="s">
        <v>943</v>
      </c>
      <c r="K1088" s="16" t="s">
        <v>3477</v>
      </c>
      <c r="L1088" s="16" t="s">
        <v>85</v>
      </c>
      <c r="M1088" s="16" t="s">
        <v>984</v>
      </c>
      <c r="N1088" s="16" t="s">
        <v>914</v>
      </c>
      <c r="O1088" s="16" t="s">
        <v>985</v>
      </c>
      <c r="P1088" s="16" t="s">
        <v>914</v>
      </c>
      <c r="Q1088" s="16" t="s">
        <v>985</v>
      </c>
      <c r="R1088" s="16" t="s">
        <v>915</v>
      </c>
      <c r="S1088" s="16" t="s">
        <v>915</v>
      </c>
      <c r="T1088" s="16" t="s">
        <v>986</v>
      </c>
      <c r="U1088" s="16" t="s">
        <v>987</v>
      </c>
      <c r="V1088" s="16" t="s">
        <v>916</v>
      </c>
      <c r="W1088" s="16" t="s">
        <v>987</v>
      </c>
      <c r="X1088" s="16" t="s">
        <v>934</v>
      </c>
      <c r="Y1088" s="16" t="s">
        <v>934</v>
      </c>
      <c r="Z1088" s="16" t="s">
        <v>935</v>
      </c>
      <c r="DA1088" s="405" t="s">
        <v>5</v>
      </c>
      <c r="DB1088" s="405" t="s">
        <v>363</v>
      </c>
      <c r="DC1088" s="406" t="s">
        <v>85</v>
      </c>
      <c r="DD1088" s="405" t="s">
        <v>917</v>
      </c>
      <c r="DE1088" s="405" t="s">
        <v>5</v>
      </c>
      <c r="DF1088" s="406" t="s">
        <v>85</v>
      </c>
      <c r="DG1088" s="407">
        <v>45861</v>
      </c>
      <c r="DH1088" s="405" t="s">
        <v>3473</v>
      </c>
      <c r="DI1088" s="406">
        <v>465455</v>
      </c>
      <c r="DJ1088" s="408">
        <v>5</v>
      </c>
      <c r="DK1088" s="405">
        <v>1</v>
      </c>
      <c r="DL1088" s="82">
        <v>340.55</v>
      </c>
      <c r="DM1088" s="409">
        <v>1.70275</v>
      </c>
      <c r="DN1088" s="82" t="s">
        <v>85</v>
      </c>
      <c r="DO1088" s="82" t="s">
        <v>85</v>
      </c>
      <c r="DP1088" s="410" t="s">
        <v>85</v>
      </c>
    </row>
    <row r="1089" spans="1:120" x14ac:dyDescent="0.25">
      <c r="A1089" s="16" t="s">
        <v>3478</v>
      </c>
      <c r="B1089" s="16" t="s">
        <v>3479</v>
      </c>
      <c r="C1089" s="16" t="s">
        <v>3480</v>
      </c>
      <c r="D1089" s="16" t="s">
        <v>3207</v>
      </c>
      <c r="E1089" s="16" t="s">
        <v>3481</v>
      </c>
      <c r="F1089" s="16" t="s">
        <v>3482</v>
      </c>
      <c r="G1089" s="16" t="s">
        <v>3483</v>
      </c>
      <c r="H1089" s="16" t="s">
        <v>3484</v>
      </c>
      <c r="I1089" s="16" t="s">
        <v>1818</v>
      </c>
      <c r="J1089" s="16" t="s">
        <v>928</v>
      </c>
      <c r="K1089" s="16" t="s">
        <v>1819</v>
      </c>
      <c r="L1089" s="16" t="s">
        <v>85</v>
      </c>
      <c r="M1089" s="16" t="s">
        <v>1322</v>
      </c>
      <c r="N1089" s="16" t="s">
        <v>914</v>
      </c>
      <c r="O1089" s="16" t="s">
        <v>1323</v>
      </c>
      <c r="P1089" s="16" t="s">
        <v>914</v>
      </c>
      <c r="Q1089" s="16" t="s">
        <v>1323</v>
      </c>
      <c r="R1089" s="16" t="s">
        <v>915</v>
      </c>
      <c r="S1089" s="16" t="s">
        <v>915</v>
      </c>
      <c r="T1089" s="16" t="s">
        <v>1322</v>
      </c>
      <c r="U1089" s="16" t="s">
        <v>1324</v>
      </c>
      <c r="V1089" s="16" t="s">
        <v>916</v>
      </c>
      <c r="W1089" s="16" t="s">
        <v>1324</v>
      </c>
      <c r="X1089" s="16" t="s">
        <v>934</v>
      </c>
      <c r="Y1089" s="16" t="s">
        <v>934</v>
      </c>
      <c r="Z1089" s="16" t="s">
        <v>935</v>
      </c>
      <c r="DA1089" s="405" t="s">
        <v>5</v>
      </c>
      <c r="DB1089" s="405" t="s">
        <v>363</v>
      </c>
      <c r="DC1089" s="406" t="s">
        <v>85</v>
      </c>
      <c r="DD1089" s="405" t="s">
        <v>917</v>
      </c>
      <c r="DE1089" s="405" t="s">
        <v>5</v>
      </c>
      <c r="DF1089" s="406" t="s">
        <v>85</v>
      </c>
      <c r="DG1089" s="407">
        <v>45861</v>
      </c>
      <c r="DH1089" s="405" t="s">
        <v>3481</v>
      </c>
      <c r="DI1089" s="406">
        <v>465455</v>
      </c>
      <c r="DJ1089" s="408">
        <v>5</v>
      </c>
      <c r="DK1089" s="405">
        <v>1</v>
      </c>
      <c r="DL1089" s="82">
        <v>332.47</v>
      </c>
      <c r="DM1089" s="409">
        <v>1.6623500000000002</v>
      </c>
      <c r="DN1089" s="82" t="s">
        <v>85</v>
      </c>
      <c r="DO1089" s="82" t="s">
        <v>85</v>
      </c>
      <c r="DP1089" s="410" t="s">
        <v>85</v>
      </c>
    </row>
    <row r="1090" spans="1:120" x14ac:dyDescent="0.25">
      <c r="A1090" s="16" t="s">
        <v>3485</v>
      </c>
      <c r="B1090" s="16" t="s">
        <v>3486</v>
      </c>
      <c r="C1090" s="16" t="s">
        <v>3487</v>
      </c>
      <c r="D1090" s="16" t="s">
        <v>3207</v>
      </c>
      <c r="E1090" s="16" t="s">
        <v>3488</v>
      </c>
      <c r="F1090" s="16" t="s">
        <v>3489</v>
      </c>
      <c r="G1090" s="16" t="s">
        <v>3490</v>
      </c>
      <c r="H1090" s="16" t="s">
        <v>3491</v>
      </c>
      <c r="I1090" s="16" t="s">
        <v>1309</v>
      </c>
      <c r="J1090" s="16" t="s">
        <v>1109</v>
      </c>
      <c r="K1090" s="16" t="s">
        <v>1310</v>
      </c>
      <c r="L1090" s="16" t="s">
        <v>85</v>
      </c>
      <c r="M1090" s="16" t="s">
        <v>1311</v>
      </c>
      <c r="N1090" s="16" t="s">
        <v>914</v>
      </c>
      <c r="O1090" s="16" t="s">
        <v>1312</v>
      </c>
      <c r="P1090" s="16" t="s">
        <v>914</v>
      </c>
      <c r="Q1090" s="16" t="s">
        <v>1312</v>
      </c>
      <c r="R1090" s="16" t="s">
        <v>915</v>
      </c>
      <c r="S1090" s="16" t="s">
        <v>915</v>
      </c>
      <c r="T1090" s="16" t="s">
        <v>1311</v>
      </c>
      <c r="U1090" s="16" t="s">
        <v>1313</v>
      </c>
      <c r="V1090" s="16" t="s">
        <v>916</v>
      </c>
      <c r="W1090" s="16" t="s">
        <v>1313</v>
      </c>
      <c r="X1090" s="16" t="s">
        <v>934</v>
      </c>
      <c r="Y1090" s="16" t="s">
        <v>934</v>
      </c>
      <c r="Z1090" s="16" t="s">
        <v>935</v>
      </c>
      <c r="DA1090" s="405" t="s">
        <v>5</v>
      </c>
      <c r="DB1090" s="405" t="s">
        <v>363</v>
      </c>
      <c r="DC1090" s="406" t="s">
        <v>85</v>
      </c>
      <c r="DD1090" s="405" t="s">
        <v>917</v>
      </c>
      <c r="DE1090" s="405" t="s">
        <v>5</v>
      </c>
      <c r="DF1090" s="406" t="s">
        <v>85</v>
      </c>
      <c r="DG1090" s="407">
        <v>45861</v>
      </c>
      <c r="DH1090" s="405" t="s">
        <v>3488</v>
      </c>
      <c r="DI1090" s="406">
        <v>465455</v>
      </c>
      <c r="DJ1090" s="408">
        <v>5</v>
      </c>
      <c r="DK1090" s="405">
        <v>1</v>
      </c>
      <c r="DL1090" s="82">
        <v>531.54</v>
      </c>
      <c r="DM1090" s="409">
        <v>2.6576999999999997</v>
      </c>
      <c r="DN1090" s="82" t="s">
        <v>85</v>
      </c>
      <c r="DO1090" s="82" t="s">
        <v>85</v>
      </c>
      <c r="DP1090" s="410" t="s">
        <v>85</v>
      </c>
    </row>
    <row r="1091" spans="1:120" x14ac:dyDescent="0.25">
      <c r="A1091" s="16" t="s">
        <v>3492</v>
      </c>
      <c r="B1091" s="16" t="s">
        <v>3493</v>
      </c>
      <c r="C1091" s="16" t="s">
        <v>3494</v>
      </c>
      <c r="D1091" s="16" t="s">
        <v>3207</v>
      </c>
      <c r="E1091" s="16" t="s">
        <v>3495</v>
      </c>
      <c r="F1091" s="16" t="s">
        <v>3496</v>
      </c>
      <c r="G1091" s="16" t="s">
        <v>3497</v>
      </c>
      <c r="H1091" s="16" t="s">
        <v>3498</v>
      </c>
      <c r="I1091" s="16" t="s">
        <v>3499</v>
      </c>
      <c r="J1091" s="16" t="s">
        <v>1257</v>
      </c>
      <c r="K1091" s="16" t="s">
        <v>3500</v>
      </c>
      <c r="L1091" s="16" t="s">
        <v>85</v>
      </c>
      <c r="M1091" s="16" t="s">
        <v>1829</v>
      </c>
      <c r="N1091" s="16" t="s">
        <v>914</v>
      </c>
      <c r="O1091" s="16" t="s">
        <v>1830</v>
      </c>
      <c r="P1091" s="16" t="s">
        <v>914</v>
      </c>
      <c r="Q1091" s="16" t="s">
        <v>1830</v>
      </c>
      <c r="R1091" s="16" t="s">
        <v>915</v>
      </c>
      <c r="S1091" s="16" t="s">
        <v>915</v>
      </c>
      <c r="T1091" s="16" t="s">
        <v>1829</v>
      </c>
      <c r="U1091" s="16" t="s">
        <v>1831</v>
      </c>
      <c r="V1091" s="16" t="s">
        <v>916</v>
      </c>
      <c r="W1091" s="16" t="s">
        <v>1831</v>
      </c>
      <c r="X1091" s="16" t="s">
        <v>934</v>
      </c>
      <c r="Y1091" s="16" t="s">
        <v>934</v>
      </c>
      <c r="Z1091" s="16" t="s">
        <v>935</v>
      </c>
      <c r="DA1091" s="405" t="s">
        <v>5</v>
      </c>
      <c r="DB1091" s="405" t="s">
        <v>363</v>
      </c>
      <c r="DC1091" s="406" t="s">
        <v>85</v>
      </c>
      <c r="DD1091" s="405" t="s">
        <v>917</v>
      </c>
      <c r="DE1091" s="405" t="s">
        <v>5</v>
      </c>
      <c r="DF1091" s="406" t="s">
        <v>85</v>
      </c>
      <c r="DG1091" s="407">
        <v>45861</v>
      </c>
      <c r="DH1091" s="405" t="s">
        <v>3495</v>
      </c>
      <c r="DI1091" s="406">
        <v>465455</v>
      </c>
      <c r="DJ1091" s="408">
        <v>5</v>
      </c>
      <c r="DK1091" s="405">
        <v>1</v>
      </c>
      <c r="DL1091" s="82">
        <v>242.05</v>
      </c>
      <c r="DM1091" s="409">
        <v>1.21025</v>
      </c>
      <c r="DN1091" s="82" t="s">
        <v>85</v>
      </c>
      <c r="DO1091" s="82" t="s">
        <v>85</v>
      </c>
      <c r="DP1091" s="410" t="s">
        <v>85</v>
      </c>
    </row>
    <row r="1092" spans="1:120" x14ac:dyDescent="0.25">
      <c r="A1092" s="16" t="s">
        <v>3501</v>
      </c>
      <c r="B1092" s="16" t="s">
        <v>3502</v>
      </c>
      <c r="C1092" s="16" t="s">
        <v>3503</v>
      </c>
      <c r="D1092" s="16" t="s">
        <v>3207</v>
      </c>
      <c r="E1092" s="16" t="s">
        <v>3504</v>
      </c>
      <c r="F1092" s="16" t="s">
        <v>3505</v>
      </c>
      <c r="G1092" s="16" t="s">
        <v>3506</v>
      </c>
      <c r="H1092" s="16" t="s">
        <v>3507</v>
      </c>
      <c r="I1092" s="16" t="s">
        <v>994</v>
      </c>
      <c r="J1092" s="16" t="s">
        <v>995</v>
      </c>
      <c r="K1092" s="16" t="s">
        <v>996</v>
      </c>
      <c r="L1092" s="16" t="s">
        <v>85</v>
      </c>
      <c r="M1092" s="16" t="s">
        <v>1165</v>
      </c>
      <c r="N1092" s="16" t="s">
        <v>914</v>
      </c>
      <c r="O1092" s="16" t="s">
        <v>1166</v>
      </c>
      <c r="P1092" s="16" t="s">
        <v>914</v>
      </c>
      <c r="Q1092" s="16" t="s">
        <v>1166</v>
      </c>
      <c r="R1092" s="16" t="s">
        <v>915</v>
      </c>
      <c r="S1092" s="16" t="s">
        <v>915</v>
      </c>
      <c r="T1092" s="16" t="s">
        <v>1167</v>
      </c>
      <c r="U1092" s="16" t="s">
        <v>1168</v>
      </c>
      <c r="V1092" s="16" t="s">
        <v>916</v>
      </c>
      <c r="W1092" s="16" t="s">
        <v>1168</v>
      </c>
      <c r="X1092" s="16" t="s">
        <v>934</v>
      </c>
      <c r="Y1092" s="16" t="s">
        <v>934</v>
      </c>
      <c r="Z1092" s="16" t="s">
        <v>935</v>
      </c>
      <c r="DA1092" s="405" t="s">
        <v>5</v>
      </c>
      <c r="DB1092" s="405" t="s">
        <v>363</v>
      </c>
      <c r="DC1092" s="406" t="s">
        <v>85</v>
      </c>
      <c r="DD1092" s="405" t="s">
        <v>917</v>
      </c>
      <c r="DE1092" s="405" t="s">
        <v>5</v>
      </c>
      <c r="DF1092" s="406" t="s">
        <v>85</v>
      </c>
      <c r="DG1092" s="407">
        <v>45861</v>
      </c>
      <c r="DH1092" s="405" t="s">
        <v>3504</v>
      </c>
      <c r="DI1092" s="406">
        <v>465455</v>
      </c>
      <c r="DJ1092" s="408">
        <v>5</v>
      </c>
      <c r="DK1092" s="405">
        <v>1</v>
      </c>
      <c r="DL1092" s="82">
        <v>468.28</v>
      </c>
      <c r="DM1092" s="409">
        <v>2.3413999999999997</v>
      </c>
      <c r="DN1092" s="82" t="s">
        <v>85</v>
      </c>
      <c r="DO1092" s="82" t="s">
        <v>85</v>
      </c>
      <c r="DP1092" s="410" t="s">
        <v>85</v>
      </c>
    </row>
    <row r="1093" spans="1:120" x14ac:dyDescent="0.25">
      <c r="A1093" s="16" t="s">
        <v>3508</v>
      </c>
      <c r="B1093" s="16" t="s">
        <v>3509</v>
      </c>
      <c r="C1093" s="16" t="s">
        <v>3510</v>
      </c>
      <c r="D1093" s="16" t="s">
        <v>3207</v>
      </c>
      <c r="E1093" s="16" t="s">
        <v>3511</v>
      </c>
      <c r="F1093" s="16" t="s">
        <v>3512</v>
      </c>
      <c r="G1093" s="16" t="s">
        <v>3513</v>
      </c>
      <c r="H1093" s="16" t="s">
        <v>3514</v>
      </c>
      <c r="I1093" s="16" t="s">
        <v>2876</v>
      </c>
      <c r="J1093" s="16" t="s">
        <v>995</v>
      </c>
      <c r="K1093" s="16" t="s">
        <v>2877</v>
      </c>
      <c r="L1093" s="16" t="s">
        <v>85</v>
      </c>
      <c r="M1093" s="16" t="s">
        <v>1165</v>
      </c>
      <c r="N1093" s="16" t="s">
        <v>914</v>
      </c>
      <c r="O1093" s="16" t="s">
        <v>1166</v>
      </c>
      <c r="P1093" s="16" t="s">
        <v>914</v>
      </c>
      <c r="Q1093" s="16" t="s">
        <v>1166</v>
      </c>
      <c r="R1093" s="16" t="s">
        <v>915</v>
      </c>
      <c r="S1093" s="16" t="s">
        <v>915</v>
      </c>
      <c r="T1093" s="16" t="s">
        <v>1167</v>
      </c>
      <c r="U1093" s="16" t="s">
        <v>1168</v>
      </c>
      <c r="V1093" s="16" t="s">
        <v>916</v>
      </c>
      <c r="W1093" s="16" t="s">
        <v>1168</v>
      </c>
      <c r="X1093" s="16" t="s">
        <v>934</v>
      </c>
      <c r="Y1093" s="16" t="s">
        <v>934</v>
      </c>
      <c r="Z1093" s="16" t="s">
        <v>935</v>
      </c>
      <c r="DA1093" s="405" t="s">
        <v>5</v>
      </c>
      <c r="DB1093" s="405" t="s">
        <v>363</v>
      </c>
      <c r="DC1093" s="406" t="s">
        <v>85</v>
      </c>
      <c r="DD1093" s="405" t="s">
        <v>917</v>
      </c>
      <c r="DE1093" s="405" t="s">
        <v>5</v>
      </c>
      <c r="DF1093" s="406" t="s">
        <v>85</v>
      </c>
      <c r="DG1093" s="407">
        <v>45861</v>
      </c>
      <c r="DH1093" s="405" t="s">
        <v>3511</v>
      </c>
      <c r="DI1093" s="406">
        <v>465455</v>
      </c>
      <c r="DJ1093" s="408">
        <v>5</v>
      </c>
      <c r="DK1093" s="405">
        <v>1</v>
      </c>
      <c r="DL1093" s="82">
        <v>468.28</v>
      </c>
      <c r="DM1093" s="409">
        <v>2.3413999999999997</v>
      </c>
      <c r="DN1093" s="82" t="s">
        <v>85</v>
      </c>
      <c r="DO1093" s="82" t="s">
        <v>85</v>
      </c>
      <c r="DP1093" s="410" t="s">
        <v>85</v>
      </c>
    </row>
    <row r="1094" spans="1:120" x14ac:dyDescent="0.25">
      <c r="A1094" s="16" t="s">
        <v>3515</v>
      </c>
      <c r="B1094" s="16" t="s">
        <v>3516</v>
      </c>
      <c r="C1094" s="16" t="s">
        <v>3517</v>
      </c>
      <c r="D1094" s="16" t="s">
        <v>3518</v>
      </c>
      <c r="E1094" s="16" t="s">
        <v>3519</v>
      </c>
      <c r="F1094" s="16" t="s">
        <v>3520</v>
      </c>
      <c r="G1094" s="16" t="s">
        <v>3521</v>
      </c>
      <c r="H1094" s="16" t="s">
        <v>3522</v>
      </c>
      <c r="I1094" s="16" t="s">
        <v>1719</v>
      </c>
      <c r="J1094" s="16" t="s">
        <v>943</v>
      </c>
      <c r="K1094" s="16" t="s">
        <v>1720</v>
      </c>
      <c r="L1094" s="16" t="s">
        <v>85</v>
      </c>
      <c r="M1094" s="16" t="s">
        <v>984</v>
      </c>
      <c r="N1094" s="16" t="s">
        <v>914</v>
      </c>
      <c r="O1094" s="16" t="s">
        <v>985</v>
      </c>
      <c r="P1094" s="16" t="s">
        <v>914</v>
      </c>
      <c r="Q1094" s="16" t="s">
        <v>985</v>
      </c>
      <c r="R1094" s="16" t="s">
        <v>915</v>
      </c>
      <c r="S1094" s="16" t="s">
        <v>915</v>
      </c>
      <c r="T1094" s="16" t="s">
        <v>986</v>
      </c>
      <c r="U1094" s="16" t="s">
        <v>987</v>
      </c>
      <c r="V1094" s="16" t="s">
        <v>916</v>
      </c>
      <c r="W1094" s="16" t="s">
        <v>987</v>
      </c>
      <c r="X1094" s="16" t="s">
        <v>934</v>
      </c>
      <c r="Y1094" s="16" t="s">
        <v>934</v>
      </c>
      <c r="Z1094" s="16" t="s">
        <v>935</v>
      </c>
      <c r="DA1094" s="405" t="s">
        <v>5</v>
      </c>
      <c r="DB1094" s="405" t="s">
        <v>363</v>
      </c>
      <c r="DC1094" s="406" t="s">
        <v>85</v>
      </c>
      <c r="DD1094" s="405" t="s">
        <v>917</v>
      </c>
      <c r="DE1094" s="405" t="s">
        <v>5</v>
      </c>
      <c r="DF1094" s="406" t="s">
        <v>85</v>
      </c>
      <c r="DG1094" s="407">
        <v>45861</v>
      </c>
      <c r="DH1094" s="405" t="s">
        <v>3519</v>
      </c>
      <c r="DI1094" s="406">
        <v>465455</v>
      </c>
      <c r="DJ1094" s="408">
        <v>5</v>
      </c>
      <c r="DK1094" s="405">
        <v>1</v>
      </c>
      <c r="DL1094" s="82">
        <v>340.55</v>
      </c>
      <c r="DM1094" s="409">
        <v>1.70275</v>
      </c>
      <c r="DN1094" s="82" t="s">
        <v>85</v>
      </c>
      <c r="DO1094" s="82" t="s">
        <v>85</v>
      </c>
      <c r="DP1094" s="410" t="s">
        <v>85</v>
      </c>
    </row>
    <row r="1095" spans="1:120" x14ac:dyDescent="0.25">
      <c r="A1095" s="16" t="s">
        <v>2930</v>
      </c>
      <c r="B1095" s="16" t="s">
        <v>2931</v>
      </c>
      <c r="C1095" s="16" t="s">
        <v>2932</v>
      </c>
      <c r="D1095" s="16" t="s">
        <v>2933</v>
      </c>
      <c r="E1095" s="16" t="s">
        <v>2934</v>
      </c>
      <c r="F1095" s="16" t="s">
        <v>2935</v>
      </c>
      <c r="G1095" s="16" t="s">
        <v>2936</v>
      </c>
      <c r="H1095" s="16" t="s">
        <v>2937</v>
      </c>
      <c r="I1095" s="16" t="s">
        <v>1108</v>
      </c>
      <c r="J1095" s="16" t="s">
        <v>1109</v>
      </c>
      <c r="K1095" s="16" t="s">
        <v>1110</v>
      </c>
      <c r="L1095" s="16" t="s">
        <v>85</v>
      </c>
      <c r="M1095" s="16" t="s">
        <v>1311</v>
      </c>
      <c r="N1095" s="16" t="s">
        <v>914</v>
      </c>
      <c r="O1095" s="16" t="s">
        <v>1312</v>
      </c>
      <c r="P1095" s="16" t="s">
        <v>914</v>
      </c>
      <c r="Q1095" s="16" t="s">
        <v>1312</v>
      </c>
      <c r="R1095" s="16" t="s">
        <v>915</v>
      </c>
      <c r="S1095" s="16" t="s">
        <v>915</v>
      </c>
      <c r="T1095" s="16" t="s">
        <v>1311</v>
      </c>
      <c r="U1095" s="16" t="s">
        <v>1313</v>
      </c>
      <c r="V1095" s="16" t="s">
        <v>916</v>
      </c>
      <c r="W1095" s="16" t="s">
        <v>1313</v>
      </c>
      <c r="X1095" s="16" t="s">
        <v>934</v>
      </c>
      <c r="Y1095" s="16" t="s">
        <v>934</v>
      </c>
      <c r="Z1095" s="16" t="s">
        <v>935</v>
      </c>
      <c r="DA1095" s="405" t="s">
        <v>5</v>
      </c>
      <c r="DB1095" s="405" t="s">
        <v>363</v>
      </c>
      <c r="DC1095" s="406" t="s">
        <v>85</v>
      </c>
      <c r="DD1095" s="405" t="s">
        <v>917</v>
      </c>
      <c r="DE1095" s="405" t="s">
        <v>5</v>
      </c>
      <c r="DF1095" s="406" t="s">
        <v>85</v>
      </c>
      <c r="DG1095" s="407">
        <v>45862</v>
      </c>
      <c r="DH1095" s="405" t="s">
        <v>2934</v>
      </c>
      <c r="DI1095" s="406">
        <v>465455</v>
      </c>
      <c r="DJ1095" s="408">
        <v>5</v>
      </c>
      <c r="DK1095" s="405">
        <v>1</v>
      </c>
      <c r="DL1095" s="82">
        <v>531.54</v>
      </c>
      <c r="DM1095" s="409">
        <v>2.6576999999999997</v>
      </c>
      <c r="DN1095" s="82" t="s">
        <v>85</v>
      </c>
      <c r="DO1095" s="82" t="s">
        <v>85</v>
      </c>
      <c r="DP1095" s="410" t="s">
        <v>85</v>
      </c>
    </row>
    <row r="1096" spans="1:120" x14ac:dyDescent="0.25">
      <c r="A1096" s="16" t="s">
        <v>2938</v>
      </c>
      <c r="B1096" s="16" t="s">
        <v>2939</v>
      </c>
      <c r="C1096" s="16" t="s">
        <v>2940</v>
      </c>
      <c r="D1096" s="16" t="s">
        <v>2933</v>
      </c>
      <c r="E1096" s="16" t="s">
        <v>2941</v>
      </c>
      <c r="F1096" s="16" t="s">
        <v>2942</v>
      </c>
      <c r="G1096" s="16" t="s">
        <v>2943</v>
      </c>
      <c r="H1096" s="16" t="s">
        <v>2942</v>
      </c>
      <c r="I1096" s="16" t="s">
        <v>1026</v>
      </c>
      <c r="J1096" s="16" t="s">
        <v>943</v>
      </c>
      <c r="K1096" s="16" t="s">
        <v>1027</v>
      </c>
      <c r="L1096" s="16" t="s">
        <v>85</v>
      </c>
      <c r="M1096" s="16" t="s">
        <v>984</v>
      </c>
      <c r="N1096" s="16" t="s">
        <v>914</v>
      </c>
      <c r="O1096" s="16" t="s">
        <v>985</v>
      </c>
      <c r="P1096" s="16" t="s">
        <v>914</v>
      </c>
      <c r="Q1096" s="16" t="s">
        <v>985</v>
      </c>
      <c r="R1096" s="16" t="s">
        <v>915</v>
      </c>
      <c r="S1096" s="16" t="s">
        <v>915</v>
      </c>
      <c r="T1096" s="16" t="s">
        <v>986</v>
      </c>
      <c r="U1096" s="16" t="s">
        <v>987</v>
      </c>
      <c r="V1096" s="16" t="s">
        <v>916</v>
      </c>
      <c r="W1096" s="16" t="s">
        <v>987</v>
      </c>
      <c r="X1096" s="16" t="s">
        <v>934</v>
      </c>
      <c r="Y1096" s="16" t="s">
        <v>934</v>
      </c>
      <c r="Z1096" s="16" t="s">
        <v>935</v>
      </c>
      <c r="DA1096" s="405" t="s">
        <v>5</v>
      </c>
      <c r="DB1096" s="405" t="s">
        <v>363</v>
      </c>
      <c r="DC1096" s="406" t="s">
        <v>85</v>
      </c>
      <c r="DD1096" s="405" t="s">
        <v>917</v>
      </c>
      <c r="DE1096" s="405" t="s">
        <v>5</v>
      </c>
      <c r="DF1096" s="406" t="s">
        <v>85</v>
      </c>
      <c r="DG1096" s="407">
        <v>45862</v>
      </c>
      <c r="DH1096" s="405" t="s">
        <v>2941</v>
      </c>
      <c r="DI1096" s="406">
        <v>465455</v>
      </c>
      <c r="DJ1096" s="408">
        <v>5</v>
      </c>
      <c r="DK1096" s="405">
        <v>1</v>
      </c>
      <c r="DL1096" s="82">
        <v>340.55</v>
      </c>
      <c r="DM1096" s="409">
        <v>1.70275</v>
      </c>
      <c r="DN1096" s="82" t="s">
        <v>85</v>
      </c>
      <c r="DO1096" s="82" t="s">
        <v>85</v>
      </c>
      <c r="DP1096" s="410" t="s">
        <v>85</v>
      </c>
    </row>
    <row r="1097" spans="1:120" x14ac:dyDescent="0.25">
      <c r="A1097" s="16" t="s">
        <v>2944</v>
      </c>
      <c r="B1097" s="16" t="s">
        <v>2945</v>
      </c>
      <c r="C1097" s="16" t="s">
        <v>2946</v>
      </c>
      <c r="D1097" s="16" t="s">
        <v>2933</v>
      </c>
      <c r="E1097" s="16" t="s">
        <v>2947</v>
      </c>
      <c r="F1097" s="16" t="s">
        <v>2948</v>
      </c>
      <c r="G1097" s="16" t="s">
        <v>2949</v>
      </c>
      <c r="H1097" s="16" t="s">
        <v>2950</v>
      </c>
      <c r="I1097" s="16" t="s">
        <v>1737</v>
      </c>
      <c r="J1097" s="16" t="s">
        <v>1123</v>
      </c>
      <c r="K1097" s="16" t="s">
        <v>1738</v>
      </c>
      <c r="L1097" s="16" t="s">
        <v>85</v>
      </c>
      <c r="M1097" s="16" t="s">
        <v>1238</v>
      </c>
      <c r="N1097" s="16" t="s">
        <v>914</v>
      </c>
      <c r="O1097" s="16" t="s">
        <v>1239</v>
      </c>
      <c r="P1097" s="16" t="s">
        <v>914</v>
      </c>
      <c r="Q1097" s="16" t="s">
        <v>1239</v>
      </c>
      <c r="R1097" s="16" t="s">
        <v>915</v>
      </c>
      <c r="S1097" s="16" t="s">
        <v>915</v>
      </c>
      <c r="T1097" s="16" t="s">
        <v>1238</v>
      </c>
      <c r="U1097" s="16" t="s">
        <v>1240</v>
      </c>
      <c r="V1097" s="16" t="s">
        <v>916</v>
      </c>
      <c r="W1097" s="16" t="s">
        <v>1240</v>
      </c>
      <c r="X1097" s="16" t="s">
        <v>934</v>
      </c>
      <c r="Y1097" s="16" t="s">
        <v>934</v>
      </c>
      <c r="Z1097" s="16" t="s">
        <v>935</v>
      </c>
      <c r="DA1097" s="405" t="s">
        <v>5</v>
      </c>
      <c r="DB1097" s="405" t="s">
        <v>363</v>
      </c>
      <c r="DC1097" s="406" t="s">
        <v>85</v>
      </c>
      <c r="DD1097" s="405" t="s">
        <v>917</v>
      </c>
      <c r="DE1097" s="405" t="s">
        <v>5</v>
      </c>
      <c r="DF1097" s="406" t="s">
        <v>85</v>
      </c>
      <c r="DG1097" s="407">
        <v>45862</v>
      </c>
      <c r="DH1097" s="405" t="s">
        <v>2947</v>
      </c>
      <c r="DI1097" s="406">
        <v>465455</v>
      </c>
      <c r="DJ1097" s="408">
        <v>5</v>
      </c>
      <c r="DK1097" s="405">
        <v>1</v>
      </c>
      <c r="DL1097" s="82">
        <v>383.16</v>
      </c>
      <c r="DM1097" s="409">
        <v>1.9158000000000002</v>
      </c>
      <c r="DN1097" s="82" t="s">
        <v>85</v>
      </c>
      <c r="DO1097" s="82" t="s">
        <v>85</v>
      </c>
      <c r="DP1097" s="410" t="s">
        <v>85</v>
      </c>
    </row>
    <row r="1098" spans="1:120" x14ac:dyDescent="0.25">
      <c r="A1098" s="16" t="s">
        <v>2951</v>
      </c>
      <c r="B1098" s="16" t="s">
        <v>2952</v>
      </c>
      <c r="C1098" s="16" t="s">
        <v>2953</v>
      </c>
      <c r="D1098" s="16" t="s">
        <v>2933</v>
      </c>
      <c r="E1098" s="16" t="s">
        <v>2954</v>
      </c>
      <c r="F1098" s="16" t="s">
        <v>2955</v>
      </c>
      <c r="G1098" s="16" t="s">
        <v>2956</v>
      </c>
      <c r="H1098" s="16" t="s">
        <v>2957</v>
      </c>
      <c r="I1098" s="16" t="s">
        <v>2661</v>
      </c>
      <c r="J1098" s="16" t="s">
        <v>943</v>
      </c>
      <c r="K1098" s="16" t="s">
        <v>2662</v>
      </c>
      <c r="L1098" s="16" t="s">
        <v>85</v>
      </c>
      <c r="M1098" s="16" t="s">
        <v>984</v>
      </c>
      <c r="N1098" s="16" t="s">
        <v>914</v>
      </c>
      <c r="O1098" s="16" t="s">
        <v>985</v>
      </c>
      <c r="P1098" s="16" t="s">
        <v>914</v>
      </c>
      <c r="Q1098" s="16" t="s">
        <v>985</v>
      </c>
      <c r="R1098" s="16" t="s">
        <v>915</v>
      </c>
      <c r="S1098" s="16" t="s">
        <v>915</v>
      </c>
      <c r="T1098" s="16" t="s">
        <v>986</v>
      </c>
      <c r="U1098" s="16" t="s">
        <v>987</v>
      </c>
      <c r="V1098" s="16" t="s">
        <v>916</v>
      </c>
      <c r="W1098" s="16" t="s">
        <v>987</v>
      </c>
      <c r="X1098" s="16" t="s">
        <v>934</v>
      </c>
      <c r="Y1098" s="16" t="s">
        <v>934</v>
      </c>
      <c r="Z1098" s="16" t="s">
        <v>935</v>
      </c>
      <c r="DA1098" s="405" t="s">
        <v>5</v>
      </c>
      <c r="DB1098" s="405" t="s">
        <v>363</v>
      </c>
      <c r="DC1098" s="406" t="s">
        <v>85</v>
      </c>
      <c r="DD1098" s="405" t="s">
        <v>917</v>
      </c>
      <c r="DE1098" s="405" t="s">
        <v>5</v>
      </c>
      <c r="DF1098" s="406" t="s">
        <v>85</v>
      </c>
      <c r="DG1098" s="407">
        <v>45862</v>
      </c>
      <c r="DH1098" s="405" t="s">
        <v>2954</v>
      </c>
      <c r="DI1098" s="406">
        <v>465455</v>
      </c>
      <c r="DJ1098" s="408">
        <v>5</v>
      </c>
      <c r="DK1098" s="405">
        <v>1</v>
      </c>
      <c r="DL1098" s="82">
        <v>340.55</v>
      </c>
      <c r="DM1098" s="409">
        <v>1.70275</v>
      </c>
      <c r="DN1098" s="82" t="s">
        <v>85</v>
      </c>
      <c r="DO1098" s="82" t="s">
        <v>85</v>
      </c>
      <c r="DP1098" s="410" t="s">
        <v>85</v>
      </c>
    </row>
    <row r="1099" spans="1:120" x14ac:dyDescent="0.25">
      <c r="A1099" s="16" t="s">
        <v>2951</v>
      </c>
      <c r="B1099" s="16" t="s">
        <v>2952</v>
      </c>
      <c r="C1099" s="16" t="s">
        <v>2953</v>
      </c>
      <c r="D1099" s="16" t="s">
        <v>2933</v>
      </c>
      <c r="E1099" s="16" t="s">
        <v>2954</v>
      </c>
      <c r="F1099" s="16" t="s">
        <v>2955</v>
      </c>
      <c r="G1099" s="16" t="s">
        <v>2956</v>
      </c>
      <c r="H1099" s="16" t="s">
        <v>2957</v>
      </c>
      <c r="I1099" s="16" t="s">
        <v>1638</v>
      </c>
      <c r="J1099" s="16" t="s">
        <v>943</v>
      </c>
      <c r="K1099" s="16" t="s">
        <v>1639</v>
      </c>
      <c r="L1099" s="16" t="s">
        <v>85</v>
      </c>
      <c r="M1099" s="16" t="s">
        <v>984</v>
      </c>
      <c r="N1099" s="16" t="s">
        <v>914</v>
      </c>
      <c r="O1099" s="16" t="s">
        <v>985</v>
      </c>
      <c r="P1099" s="16" t="s">
        <v>914</v>
      </c>
      <c r="Q1099" s="16" t="s">
        <v>985</v>
      </c>
      <c r="R1099" s="16" t="s">
        <v>915</v>
      </c>
      <c r="S1099" s="16" t="s">
        <v>915</v>
      </c>
      <c r="T1099" s="16" t="s">
        <v>986</v>
      </c>
      <c r="U1099" s="16" t="s">
        <v>987</v>
      </c>
      <c r="V1099" s="16" t="s">
        <v>916</v>
      </c>
      <c r="W1099" s="16" t="s">
        <v>987</v>
      </c>
      <c r="X1099" s="16" t="s">
        <v>934</v>
      </c>
      <c r="Y1099" s="16" t="s">
        <v>934</v>
      </c>
      <c r="Z1099" s="16" t="s">
        <v>935</v>
      </c>
      <c r="DA1099" s="405" t="s">
        <v>5</v>
      </c>
      <c r="DB1099" s="405" t="s">
        <v>363</v>
      </c>
      <c r="DC1099" s="406" t="s">
        <v>85</v>
      </c>
      <c r="DD1099" s="405" t="s">
        <v>917</v>
      </c>
      <c r="DE1099" s="405" t="s">
        <v>5</v>
      </c>
      <c r="DF1099" s="406" t="s">
        <v>85</v>
      </c>
      <c r="DG1099" s="407">
        <v>45862</v>
      </c>
      <c r="DH1099" s="405" t="s">
        <v>2954</v>
      </c>
      <c r="DI1099" s="406">
        <v>465455</v>
      </c>
      <c r="DJ1099" s="408">
        <v>5</v>
      </c>
      <c r="DK1099" s="405">
        <v>1</v>
      </c>
      <c r="DL1099" s="82">
        <v>340.55</v>
      </c>
      <c r="DM1099" s="409">
        <v>1.70275</v>
      </c>
      <c r="DN1099" s="82" t="s">
        <v>85</v>
      </c>
      <c r="DO1099" s="82" t="s">
        <v>85</v>
      </c>
      <c r="DP1099" s="410" t="s">
        <v>85</v>
      </c>
    </row>
    <row r="1100" spans="1:120" x14ac:dyDescent="0.25">
      <c r="A1100" s="16" t="s">
        <v>2951</v>
      </c>
      <c r="B1100" s="16" t="s">
        <v>2952</v>
      </c>
      <c r="C1100" s="16" t="s">
        <v>2953</v>
      </c>
      <c r="D1100" s="16" t="s">
        <v>2933</v>
      </c>
      <c r="E1100" s="16" t="s">
        <v>2954</v>
      </c>
      <c r="F1100" s="16" t="s">
        <v>2955</v>
      </c>
      <c r="G1100" s="16" t="s">
        <v>2956</v>
      </c>
      <c r="H1100" s="16" t="s">
        <v>2957</v>
      </c>
      <c r="I1100" s="16" t="s">
        <v>2793</v>
      </c>
      <c r="J1100" s="16" t="s">
        <v>943</v>
      </c>
      <c r="K1100" s="16" t="s">
        <v>2794</v>
      </c>
      <c r="L1100" s="16" t="s">
        <v>85</v>
      </c>
      <c r="M1100" s="16" t="s">
        <v>984</v>
      </c>
      <c r="N1100" s="16" t="s">
        <v>914</v>
      </c>
      <c r="O1100" s="16" t="s">
        <v>985</v>
      </c>
      <c r="P1100" s="16" t="s">
        <v>914</v>
      </c>
      <c r="Q1100" s="16" t="s">
        <v>985</v>
      </c>
      <c r="R1100" s="16" t="s">
        <v>915</v>
      </c>
      <c r="S1100" s="16" t="s">
        <v>915</v>
      </c>
      <c r="T1100" s="16" t="s">
        <v>986</v>
      </c>
      <c r="U1100" s="16" t="s">
        <v>987</v>
      </c>
      <c r="V1100" s="16" t="s">
        <v>916</v>
      </c>
      <c r="W1100" s="16" t="s">
        <v>987</v>
      </c>
      <c r="X1100" s="16" t="s">
        <v>934</v>
      </c>
      <c r="Y1100" s="16" t="s">
        <v>934</v>
      </c>
      <c r="Z1100" s="16" t="s">
        <v>935</v>
      </c>
      <c r="DA1100" s="405" t="s">
        <v>5</v>
      </c>
      <c r="DB1100" s="405" t="s">
        <v>363</v>
      </c>
      <c r="DC1100" s="406" t="s">
        <v>85</v>
      </c>
      <c r="DD1100" s="405" t="s">
        <v>917</v>
      </c>
      <c r="DE1100" s="405" t="s">
        <v>5</v>
      </c>
      <c r="DF1100" s="406" t="s">
        <v>85</v>
      </c>
      <c r="DG1100" s="407">
        <v>45862</v>
      </c>
      <c r="DH1100" s="405" t="s">
        <v>2954</v>
      </c>
      <c r="DI1100" s="406">
        <v>465455</v>
      </c>
      <c r="DJ1100" s="408">
        <v>5</v>
      </c>
      <c r="DK1100" s="405">
        <v>1</v>
      </c>
      <c r="DL1100" s="82">
        <v>340.55</v>
      </c>
      <c r="DM1100" s="409">
        <v>1.70275</v>
      </c>
      <c r="DN1100" s="82" t="s">
        <v>85</v>
      </c>
      <c r="DO1100" s="82" t="s">
        <v>85</v>
      </c>
      <c r="DP1100" s="410" t="s">
        <v>85</v>
      </c>
    </row>
    <row r="1101" spans="1:120" x14ac:dyDescent="0.25">
      <c r="A1101" s="16" t="s">
        <v>2951</v>
      </c>
      <c r="B1101" s="16" t="s">
        <v>2952</v>
      </c>
      <c r="C1101" s="16" t="s">
        <v>2953</v>
      </c>
      <c r="D1101" s="16" t="s">
        <v>2933</v>
      </c>
      <c r="E1101" s="16" t="s">
        <v>2954</v>
      </c>
      <c r="F1101" s="16" t="s">
        <v>2955</v>
      </c>
      <c r="G1101" s="16" t="s">
        <v>2956</v>
      </c>
      <c r="H1101" s="16" t="s">
        <v>2957</v>
      </c>
      <c r="I1101" s="16" t="s">
        <v>2958</v>
      </c>
      <c r="J1101" s="16" t="s">
        <v>943</v>
      </c>
      <c r="K1101" s="16" t="s">
        <v>2959</v>
      </c>
      <c r="L1101" s="16" t="s">
        <v>85</v>
      </c>
      <c r="M1101" s="16" t="s">
        <v>984</v>
      </c>
      <c r="N1101" s="16" t="s">
        <v>914</v>
      </c>
      <c r="O1101" s="16" t="s">
        <v>985</v>
      </c>
      <c r="P1101" s="16" t="s">
        <v>914</v>
      </c>
      <c r="Q1101" s="16" t="s">
        <v>985</v>
      </c>
      <c r="R1101" s="16" t="s">
        <v>915</v>
      </c>
      <c r="S1101" s="16" t="s">
        <v>915</v>
      </c>
      <c r="T1101" s="16" t="s">
        <v>986</v>
      </c>
      <c r="U1101" s="16" t="s">
        <v>987</v>
      </c>
      <c r="V1101" s="16" t="s">
        <v>916</v>
      </c>
      <c r="W1101" s="16" t="s">
        <v>987</v>
      </c>
      <c r="X1101" s="16" t="s">
        <v>934</v>
      </c>
      <c r="Y1101" s="16" t="s">
        <v>934</v>
      </c>
      <c r="Z1101" s="16" t="s">
        <v>935</v>
      </c>
      <c r="DA1101" s="405" t="s">
        <v>5</v>
      </c>
      <c r="DB1101" s="405" t="s">
        <v>363</v>
      </c>
      <c r="DC1101" s="406" t="s">
        <v>85</v>
      </c>
      <c r="DD1101" s="405" t="s">
        <v>917</v>
      </c>
      <c r="DE1101" s="405" t="s">
        <v>5</v>
      </c>
      <c r="DF1101" s="406" t="s">
        <v>85</v>
      </c>
      <c r="DG1101" s="407">
        <v>45862</v>
      </c>
      <c r="DH1101" s="405" t="s">
        <v>2954</v>
      </c>
      <c r="DI1101" s="406">
        <v>465455</v>
      </c>
      <c r="DJ1101" s="408">
        <v>5</v>
      </c>
      <c r="DK1101" s="405">
        <v>1</v>
      </c>
      <c r="DL1101" s="82">
        <v>340.55</v>
      </c>
      <c r="DM1101" s="409">
        <v>1.70275</v>
      </c>
      <c r="DN1101" s="82" t="s">
        <v>85</v>
      </c>
      <c r="DO1101" s="82" t="s">
        <v>85</v>
      </c>
      <c r="DP1101" s="410" t="s">
        <v>85</v>
      </c>
    </row>
    <row r="1102" spans="1:120" x14ac:dyDescent="0.25">
      <c r="A1102" s="16" t="s">
        <v>2951</v>
      </c>
      <c r="B1102" s="16" t="s">
        <v>2952</v>
      </c>
      <c r="C1102" s="16" t="s">
        <v>2953</v>
      </c>
      <c r="D1102" s="16" t="s">
        <v>2933</v>
      </c>
      <c r="E1102" s="16" t="s">
        <v>2954</v>
      </c>
      <c r="F1102" s="16" t="s">
        <v>2955</v>
      </c>
      <c r="G1102" s="16" t="s">
        <v>2956</v>
      </c>
      <c r="H1102" s="16" t="s">
        <v>2957</v>
      </c>
      <c r="I1102" s="16" t="s">
        <v>2960</v>
      </c>
      <c r="J1102" s="16" t="s">
        <v>943</v>
      </c>
      <c r="K1102" s="16" t="s">
        <v>2961</v>
      </c>
      <c r="L1102" s="16" t="s">
        <v>85</v>
      </c>
      <c r="M1102" s="16" t="s">
        <v>984</v>
      </c>
      <c r="N1102" s="16" t="s">
        <v>914</v>
      </c>
      <c r="O1102" s="16" t="s">
        <v>985</v>
      </c>
      <c r="P1102" s="16" t="s">
        <v>914</v>
      </c>
      <c r="Q1102" s="16" t="s">
        <v>985</v>
      </c>
      <c r="R1102" s="16" t="s">
        <v>915</v>
      </c>
      <c r="S1102" s="16" t="s">
        <v>915</v>
      </c>
      <c r="T1102" s="16" t="s">
        <v>986</v>
      </c>
      <c r="U1102" s="16" t="s">
        <v>987</v>
      </c>
      <c r="V1102" s="16" t="s">
        <v>916</v>
      </c>
      <c r="W1102" s="16" t="s">
        <v>987</v>
      </c>
      <c r="X1102" s="16" t="s">
        <v>934</v>
      </c>
      <c r="Y1102" s="16" t="s">
        <v>934</v>
      </c>
      <c r="Z1102" s="16" t="s">
        <v>935</v>
      </c>
      <c r="DA1102" s="405" t="s">
        <v>5</v>
      </c>
      <c r="DB1102" s="405" t="s">
        <v>363</v>
      </c>
      <c r="DC1102" s="406" t="s">
        <v>85</v>
      </c>
      <c r="DD1102" s="405" t="s">
        <v>917</v>
      </c>
      <c r="DE1102" s="405" t="s">
        <v>5</v>
      </c>
      <c r="DF1102" s="406" t="s">
        <v>85</v>
      </c>
      <c r="DG1102" s="407">
        <v>45862</v>
      </c>
      <c r="DH1102" s="405" t="s">
        <v>2954</v>
      </c>
      <c r="DI1102" s="406">
        <v>465455</v>
      </c>
      <c r="DJ1102" s="408">
        <v>5</v>
      </c>
      <c r="DK1102" s="405">
        <v>1</v>
      </c>
      <c r="DL1102" s="82">
        <v>340.55</v>
      </c>
      <c r="DM1102" s="409">
        <v>1.70275</v>
      </c>
      <c r="DN1102" s="82" t="s">
        <v>85</v>
      </c>
      <c r="DO1102" s="82" t="s">
        <v>85</v>
      </c>
      <c r="DP1102" s="410" t="s">
        <v>85</v>
      </c>
    </row>
    <row r="1103" spans="1:120" x14ac:dyDescent="0.25">
      <c r="A1103" s="16" t="s">
        <v>2951</v>
      </c>
      <c r="B1103" s="16" t="s">
        <v>2952</v>
      </c>
      <c r="C1103" s="16" t="s">
        <v>2953</v>
      </c>
      <c r="D1103" s="16" t="s">
        <v>2933</v>
      </c>
      <c r="E1103" s="16" t="s">
        <v>2954</v>
      </c>
      <c r="F1103" s="16" t="s">
        <v>2955</v>
      </c>
      <c r="G1103" s="16" t="s">
        <v>2956</v>
      </c>
      <c r="H1103" s="16" t="s">
        <v>2957</v>
      </c>
      <c r="I1103" s="16" t="s">
        <v>1728</v>
      </c>
      <c r="J1103" s="16" t="s">
        <v>943</v>
      </c>
      <c r="K1103" s="16" t="s">
        <v>1729</v>
      </c>
      <c r="L1103" s="16" t="s">
        <v>85</v>
      </c>
      <c r="M1103" s="16" t="s">
        <v>984</v>
      </c>
      <c r="N1103" s="16" t="s">
        <v>914</v>
      </c>
      <c r="O1103" s="16" t="s">
        <v>985</v>
      </c>
      <c r="P1103" s="16" t="s">
        <v>914</v>
      </c>
      <c r="Q1103" s="16" t="s">
        <v>985</v>
      </c>
      <c r="R1103" s="16" t="s">
        <v>915</v>
      </c>
      <c r="S1103" s="16" t="s">
        <v>915</v>
      </c>
      <c r="T1103" s="16" t="s">
        <v>986</v>
      </c>
      <c r="U1103" s="16" t="s">
        <v>987</v>
      </c>
      <c r="V1103" s="16" t="s">
        <v>916</v>
      </c>
      <c r="W1103" s="16" t="s">
        <v>987</v>
      </c>
      <c r="X1103" s="16" t="s">
        <v>934</v>
      </c>
      <c r="Y1103" s="16" t="s">
        <v>934</v>
      </c>
      <c r="Z1103" s="16" t="s">
        <v>935</v>
      </c>
      <c r="DA1103" s="405" t="s">
        <v>5</v>
      </c>
      <c r="DB1103" s="405" t="s">
        <v>363</v>
      </c>
      <c r="DC1103" s="406" t="s">
        <v>85</v>
      </c>
      <c r="DD1103" s="405" t="s">
        <v>917</v>
      </c>
      <c r="DE1103" s="405" t="s">
        <v>5</v>
      </c>
      <c r="DF1103" s="406" t="s">
        <v>85</v>
      </c>
      <c r="DG1103" s="407">
        <v>45862</v>
      </c>
      <c r="DH1103" s="405" t="s">
        <v>2954</v>
      </c>
      <c r="DI1103" s="406">
        <v>465455</v>
      </c>
      <c r="DJ1103" s="408">
        <v>5</v>
      </c>
      <c r="DK1103" s="405">
        <v>1</v>
      </c>
      <c r="DL1103" s="82">
        <v>340.55</v>
      </c>
      <c r="DM1103" s="409">
        <v>1.70275</v>
      </c>
      <c r="DN1103" s="82" t="s">
        <v>85</v>
      </c>
      <c r="DO1103" s="82" t="s">
        <v>85</v>
      </c>
      <c r="DP1103" s="410" t="s">
        <v>85</v>
      </c>
    </row>
    <row r="1104" spans="1:120" x14ac:dyDescent="0.25">
      <c r="A1104" s="16" t="s">
        <v>2962</v>
      </c>
      <c r="B1104" s="16" t="s">
        <v>2963</v>
      </c>
      <c r="C1104" s="16" t="s">
        <v>2964</v>
      </c>
      <c r="D1104" s="16" t="s">
        <v>2933</v>
      </c>
      <c r="E1104" s="16" t="s">
        <v>2965</v>
      </c>
      <c r="F1104" s="16" t="s">
        <v>2957</v>
      </c>
      <c r="G1104" s="16" t="s">
        <v>2966</v>
      </c>
      <c r="H1104" s="16" t="s">
        <v>2957</v>
      </c>
      <c r="I1104" s="16" t="s">
        <v>1150</v>
      </c>
      <c r="J1104" s="16" t="s">
        <v>943</v>
      </c>
      <c r="K1104" s="16" t="s">
        <v>1151</v>
      </c>
      <c r="L1104" s="16" t="s">
        <v>85</v>
      </c>
      <c r="M1104" s="16" t="s">
        <v>984</v>
      </c>
      <c r="N1104" s="16" t="s">
        <v>914</v>
      </c>
      <c r="O1104" s="16" t="s">
        <v>985</v>
      </c>
      <c r="P1104" s="16" t="s">
        <v>914</v>
      </c>
      <c r="Q1104" s="16" t="s">
        <v>985</v>
      </c>
      <c r="R1104" s="16" t="s">
        <v>915</v>
      </c>
      <c r="S1104" s="16" t="s">
        <v>915</v>
      </c>
      <c r="T1104" s="16" t="s">
        <v>986</v>
      </c>
      <c r="U1104" s="16" t="s">
        <v>987</v>
      </c>
      <c r="V1104" s="16" t="s">
        <v>916</v>
      </c>
      <c r="W1104" s="16" t="s">
        <v>987</v>
      </c>
      <c r="X1104" s="16" t="s">
        <v>934</v>
      </c>
      <c r="Y1104" s="16" t="s">
        <v>934</v>
      </c>
      <c r="Z1104" s="16" t="s">
        <v>935</v>
      </c>
      <c r="DA1104" s="405" t="s">
        <v>5</v>
      </c>
      <c r="DB1104" s="405" t="s">
        <v>363</v>
      </c>
      <c r="DC1104" s="406" t="s">
        <v>85</v>
      </c>
      <c r="DD1104" s="405" t="s">
        <v>917</v>
      </c>
      <c r="DE1104" s="405" t="s">
        <v>5</v>
      </c>
      <c r="DF1104" s="406" t="s">
        <v>85</v>
      </c>
      <c r="DG1104" s="407">
        <v>45862</v>
      </c>
      <c r="DH1104" s="405" t="s">
        <v>2965</v>
      </c>
      <c r="DI1104" s="406">
        <v>465455</v>
      </c>
      <c r="DJ1104" s="408">
        <v>5</v>
      </c>
      <c r="DK1104" s="405">
        <v>1</v>
      </c>
      <c r="DL1104" s="82">
        <v>340.55</v>
      </c>
      <c r="DM1104" s="409">
        <v>1.70275</v>
      </c>
      <c r="DN1104" s="82" t="s">
        <v>85</v>
      </c>
      <c r="DO1104" s="82" t="s">
        <v>85</v>
      </c>
      <c r="DP1104" s="410" t="s">
        <v>85</v>
      </c>
    </row>
    <row r="1105" spans="1:120" x14ac:dyDescent="0.25">
      <c r="A1105" s="16" t="s">
        <v>2967</v>
      </c>
      <c r="B1105" s="16" t="s">
        <v>2968</v>
      </c>
      <c r="C1105" s="16" t="s">
        <v>2969</v>
      </c>
      <c r="D1105" s="16" t="s">
        <v>2933</v>
      </c>
      <c r="E1105" s="16" t="s">
        <v>2970</v>
      </c>
      <c r="F1105" s="16" t="s">
        <v>2971</v>
      </c>
      <c r="G1105" s="16" t="s">
        <v>2972</v>
      </c>
      <c r="H1105" s="16" t="s">
        <v>2973</v>
      </c>
      <c r="I1105" s="16" t="s">
        <v>2974</v>
      </c>
      <c r="J1105" s="16" t="s">
        <v>1123</v>
      </c>
      <c r="K1105" s="16" t="s">
        <v>2975</v>
      </c>
      <c r="L1105" s="16" t="s">
        <v>85</v>
      </c>
      <c r="M1105" s="16" t="s">
        <v>1238</v>
      </c>
      <c r="N1105" s="16" t="s">
        <v>914</v>
      </c>
      <c r="O1105" s="16" t="s">
        <v>1239</v>
      </c>
      <c r="P1105" s="16" t="s">
        <v>914</v>
      </c>
      <c r="Q1105" s="16" t="s">
        <v>1239</v>
      </c>
      <c r="R1105" s="16" t="s">
        <v>915</v>
      </c>
      <c r="S1105" s="16" t="s">
        <v>915</v>
      </c>
      <c r="T1105" s="16" t="s">
        <v>1238</v>
      </c>
      <c r="U1105" s="16" t="s">
        <v>1240</v>
      </c>
      <c r="V1105" s="16" t="s">
        <v>916</v>
      </c>
      <c r="W1105" s="16" t="s">
        <v>1240</v>
      </c>
      <c r="X1105" s="16" t="s">
        <v>934</v>
      </c>
      <c r="Y1105" s="16" t="s">
        <v>934</v>
      </c>
      <c r="Z1105" s="16" t="s">
        <v>935</v>
      </c>
      <c r="DA1105" s="405" t="s">
        <v>5</v>
      </c>
      <c r="DB1105" s="405" t="s">
        <v>363</v>
      </c>
      <c r="DC1105" s="406" t="s">
        <v>85</v>
      </c>
      <c r="DD1105" s="405" t="s">
        <v>917</v>
      </c>
      <c r="DE1105" s="405" t="s">
        <v>5</v>
      </c>
      <c r="DF1105" s="406" t="s">
        <v>85</v>
      </c>
      <c r="DG1105" s="407">
        <v>45862</v>
      </c>
      <c r="DH1105" s="405" t="s">
        <v>2970</v>
      </c>
      <c r="DI1105" s="406">
        <v>465455</v>
      </c>
      <c r="DJ1105" s="408">
        <v>5</v>
      </c>
      <c r="DK1105" s="405">
        <v>1</v>
      </c>
      <c r="DL1105" s="82">
        <v>383.16</v>
      </c>
      <c r="DM1105" s="409">
        <v>1.9158000000000002</v>
      </c>
      <c r="DN1105" s="82" t="s">
        <v>85</v>
      </c>
      <c r="DO1105" s="82" t="s">
        <v>85</v>
      </c>
      <c r="DP1105" s="410" t="s">
        <v>85</v>
      </c>
    </row>
    <row r="1106" spans="1:120" x14ac:dyDescent="0.25">
      <c r="A1106" s="16" t="s">
        <v>2976</v>
      </c>
      <c r="B1106" s="16" t="s">
        <v>2977</v>
      </c>
      <c r="C1106" s="16" t="s">
        <v>2978</v>
      </c>
      <c r="D1106" s="16" t="s">
        <v>2933</v>
      </c>
      <c r="E1106" s="16" t="s">
        <v>2979</v>
      </c>
      <c r="F1106" s="16" t="s">
        <v>2980</v>
      </c>
      <c r="G1106" s="16" t="s">
        <v>2981</v>
      </c>
      <c r="H1106" s="16" t="s">
        <v>2982</v>
      </c>
      <c r="I1106" s="16" t="s">
        <v>2839</v>
      </c>
      <c r="J1106" s="16" t="s">
        <v>943</v>
      </c>
      <c r="K1106" s="16" t="s">
        <v>2840</v>
      </c>
      <c r="L1106" s="16" t="s">
        <v>85</v>
      </c>
      <c r="M1106" s="16" t="s">
        <v>984</v>
      </c>
      <c r="N1106" s="16" t="s">
        <v>914</v>
      </c>
      <c r="O1106" s="16" t="s">
        <v>985</v>
      </c>
      <c r="P1106" s="16" t="s">
        <v>914</v>
      </c>
      <c r="Q1106" s="16" t="s">
        <v>985</v>
      </c>
      <c r="R1106" s="16" t="s">
        <v>915</v>
      </c>
      <c r="S1106" s="16" t="s">
        <v>915</v>
      </c>
      <c r="T1106" s="16" t="s">
        <v>986</v>
      </c>
      <c r="U1106" s="16" t="s">
        <v>987</v>
      </c>
      <c r="V1106" s="16" t="s">
        <v>916</v>
      </c>
      <c r="W1106" s="16" t="s">
        <v>987</v>
      </c>
      <c r="X1106" s="16" t="s">
        <v>934</v>
      </c>
      <c r="Y1106" s="16" t="s">
        <v>934</v>
      </c>
      <c r="Z1106" s="16" t="s">
        <v>935</v>
      </c>
      <c r="DA1106" s="405" t="s">
        <v>5</v>
      </c>
      <c r="DB1106" s="405" t="s">
        <v>363</v>
      </c>
      <c r="DC1106" s="406" t="s">
        <v>85</v>
      </c>
      <c r="DD1106" s="405" t="s">
        <v>917</v>
      </c>
      <c r="DE1106" s="405" t="s">
        <v>5</v>
      </c>
      <c r="DF1106" s="406" t="s">
        <v>85</v>
      </c>
      <c r="DG1106" s="407">
        <v>45862</v>
      </c>
      <c r="DH1106" s="405" t="s">
        <v>2979</v>
      </c>
      <c r="DI1106" s="406">
        <v>465455</v>
      </c>
      <c r="DJ1106" s="408">
        <v>5</v>
      </c>
      <c r="DK1106" s="405">
        <v>1</v>
      </c>
      <c r="DL1106" s="82">
        <v>340.55</v>
      </c>
      <c r="DM1106" s="409">
        <v>1.70275</v>
      </c>
      <c r="DN1106" s="82" t="s">
        <v>85</v>
      </c>
      <c r="DO1106" s="82" t="s">
        <v>85</v>
      </c>
      <c r="DP1106" s="410" t="s">
        <v>85</v>
      </c>
    </row>
    <row r="1107" spans="1:120" x14ac:dyDescent="0.25">
      <c r="A1107" s="16" t="s">
        <v>2983</v>
      </c>
      <c r="B1107" s="16" t="s">
        <v>2984</v>
      </c>
      <c r="C1107" s="16" t="s">
        <v>2985</v>
      </c>
      <c r="D1107" s="16" t="s">
        <v>2933</v>
      </c>
      <c r="E1107" s="16" t="s">
        <v>2986</v>
      </c>
      <c r="F1107" s="16" t="s">
        <v>2987</v>
      </c>
      <c r="G1107" s="16" t="s">
        <v>2988</v>
      </c>
      <c r="H1107" s="16" t="s">
        <v>2989</v>
      </c>
      <c r="I1107" s="16" t="s">
        <v>1620</v>
      </c>
      <c r="J1107" s="16" t="s">
        <v>943</v>
      </c>
      <c r="K1107" s="16" t="s">
        <v>1621</v>
      </c>
      <c r="L1107" s="16" t="s">
        <v>85</v>
      </c>
      <c r="M1107" s="16" t="s">
        <v>984</v>
      </c>
      <c r="N1107" s="16" t="s">
        <v>914</v>
      </c>
      <c r="O1107" s="16" t="s">
        <v>985</v>
      </c>
      <c r="P1107" s="16" t="s">
        <v>914</v>
      </c>
      <c r="Q1107" s="16" t="s">
        <v>985</v>
      </c>
      <c r="R1107" s="16" t="s">
        <v>915</v>
      </c>
      <c r="S1107" s="16" t="s">
        <v>915</v>
      </c>
      <c r="T1107" s="16" t="s">
        <v>986</v>
      </c>
      <c r="U1107" s="16" t="s">
        <v>987</v>
      </c>
      <c r="V1107" s="16" t="s">
        <v>916</v>
      </c>
      <c r="W1107" s="16" t="s">
        <v>987</v>
      </c>
      <c r="X1107" s="16" t="s">
        <v>934</v>
      </c>
      <c r="Y1107" s="16" t="s">
        <v>934</v>
      </c>
      <c r="Z1107" s="16" t="s">
        <v>935</v>
      </c>
      <c r="DA1107" s="405" t="s">
        <v>5</v>
      </c>
      <c r="DB1107" s="405" t="s">
        <v>363</v>
      </c>
      <c r="DC1107" s="406" t="s">
        <v>85</v>
      </c>
      <c r="DD1107" s="405" t="s">
        <v>917</v>
      </c>
      <c r="DE1107" s="405" t="s">
        <v>5</v>
      </c>
      <c r="DF1107" s="406" t="s">
        <v>85</v>
      </c>
      <c r="DG1107" s="407">
        <v>45862</v>
      </c>
      <c r="DH1107" s="405" t="s">
        <v>2986</v>
      </c>
      <c r="DI1107" s="406">
        <v>465455</v>
      </c>
      <c r="DJ1107" s="408">
        <v>5</v>
      </c>
      <c r="DK1107" s="405">
        <v>1</v>
      </c>
      <c r="DL1107" s="82">
        <v>340.55</v>
      </c>
      <c r="DM1107" s="409">
        <v>1.70275</v>
      </c>
      <c r="DN1107" s="82" t="s">
        <v>85</v>
      </c>
      <c r="DO1107" s="82" t="s">
        <v>85</v>
      </c>
      <c r="DP1107" s="410" t="s">
        <v>85</v>
      </c>
    </row>
    <row r="1108" spans="1:120" x14ac:dyDescent="0.25">
      <c r="A1108" s="16" t="s">
        <v>2990</v>
      </c>
      <c r="B1108" s="16" t="s">
        <v>2991</v>
      </c>
      <c r="C1108" s="16" t="s">
        <v>2992</v>
      </c>
      <c r="D1108" s="16" t="s">
        <v>2933</v>
      </c>
      <c r="E1108" s="16" t="s">
        <v>2993</v>
      </c>
      <c r="F1108" s="16" t="s">
        <v>2994</v>
      </c>
      <c r="G1108" s="16" t="s">
        <v>2995</v>
      </c>
      <c r="H1108" s="16" t="s">
        <v>2996</v>
      </c>
      <c r="I1108" s="16" t="s">
        <v>2997</v>
      </c>
      <c r="J1108" s="16" t="s">
        <v>943</v>
      </c>
      <c r="K1108" s="16" t="s">
        <v>2998</v>
      </c>
      <c r="L1108" s="16" t="s">
        <v>85</v>
      </c>
      <c r="M1108" s="16" t="s">
        <v>984</v>
      </c>
      <c r="N1108" s="16" t="s">
        <v>914</v>
      </c>
      <c r="O1108" s="16" t="s">
        <v>985</v>
      </c>
      <c r="P1108" s="16" t="s">
        <v>914</v>
      </c>
      <c r="Q1108" s="16" t="s">
        <v>985</v>
      </c>
      <c r="R1108" s="16" t="s">
        <v>915</v>
      </c>
      <c r="S1108" s="16" t="s">
        <v>915</v>
      </c>
      <c r="T1108" s="16" t="s">
        <v>986</v>
      </c>
      <c r="U1108" s="16" t="s">
        <v>987</v>
      </c>
      <c r="V1108" s="16" t="s">
        <v>916</v>
      </c>
      <c r="W1108" s="16" t="s">
        <v>987</v>
      </c>
      <c r="X1108" s="16" t="s">
        <v>934</v>
      </c>
      <c r="Y1108" s="16" t="s">
        <v>934</v>
      </c>
      <c r="Z1108" s="16" t="s">
        <v>935</v>
      </c>
      <c r="DA1108" s="405" t="s">
        <v>5</v>
      </c>
      <c r="DB1108" s="405" t="s">
        <v>363</v>
      </c>
      <c r="DC1108" s="406" t="s">
        <v>85</v>
      </c>
      <c r="DD1108" s="405" t="s">
        <v>917</v>
      </c>
      <c r="DE1108" s="405" t="s">
        <v>5</v>
      </c>
      <c r="DF1108" s="406" t="s">
        <v>85</v>
      </c>
      <c r="DG1108" s="407">
        <v>45862</v>
      </c>
      <c r="DH1108" s="405" t="s">
        <v>2993</v>
      </c>
      <c r="DI1108" s="406">
        <v>465455</v>
      </c>
      <c r="DJ1108" s="408">
        <v>5</v>
      </c>
      <c r="DK1108" s="405">
        <v>1</v>
      </c>
      <c r="DL1108" s="82">
        <v>340.55</v>
      </c>
      <c r="DM1108" s="409">
        <v>1.70275</v>
      </c>
      <c r="DN1108" s="82" t="s">
        <v>85</v>
      </c>
      <c r="DO1108" s="82" t="s">
        <v>85</v>
      </c>
      <c r="DP1108" s="410" t="s">
        <v>85</v>
      </c>
    </row>
    <row r="1109" spans="1:120" x14ac:dyDescent="0.25">
      <c r="A1109" s="16" t="s">
        <v>2999</v>
      </c>
      <c r="B1109" s="16" t="s">
        <v>3000</v>
      </c>
      <c r="C1109" s="16" t="s">
        <v>3001</v>
      </c>
      <c r="D1109" s="16" t="s">
        <v>2933</v>
      </c>
      <c r="E1109" s="16" t="s">
        <v>3002</v>
      </c>
      <c r="F1109" s="16" t="s">
        <v>3003</v>
      </c>
      <c r="G1109" s="16" t="s">
        <v>3004</v>
      </c>
      <c r="H1109" s="16" t="s">
        <v>3005</v>
      </c>
      <c r="I1109" s="16" t="s">
        <v>1584</v>
      </c>
      <c r="J1109" s="16" t="s">
        <v>928</v>
      </c>
      <c r="K1109" s="16" t="s">
        <v>1585</v>
      </c>
      <c r="L1109" s="16" t="s">
        <v>85</v>
      </c>
      <c r="M1109" s="16" t="s">
        <v>1322</v>
      </c>
      <c r="N1109" s="16" t="s">
        <v>914</v>
      </c>
      <c r="O1109" s="16" t="s">
        <v>1323</v>
      </c>
      <c r="P1109" s="16" t="s">
        <v>914</v>
      </c>
      <c r="Q1109" s="16" t="s">
        <v>1323</v>
      </c>
      <c r="R1109" s="16" t="s">
        <v>915</v>
      </c>
      <c r="S1109" s="16" t="s">
        <v>915</v>
      </c>
      <c r="T1109" s="16" t="s">
        <v>1322</v>
      </c>
      <c r="U1109" s="16" t="s">
        <v>1324</v>
      </c>
      <c r="V1109" s="16" t="s">
        <v>916</v>
      </c>
      <c r="W1109" s="16" t="s">
        <v>1324</v>
      </c>
      <c r="X1109" s="16" t="s">
        <v>934</v>
      </c>
      <c r="Y1109" s="16" t="s">
        <v>934</v>
      </c>
      <c r="Z1109" s="16" t="s">
        <v>935</v>
      </c>
      <c r="DA1109" s="405" t="s">
        <v>5</v>
      </c>
      <c r="DB1109" s="405" t="s">
        <v>363</v>
      </c>
      <c r="DC1109" s="406" t="s">
        <v>85</v>
      </c>
      <c r="DD1109" s="405" t="s">
        <v>917</v>
      </c>
      <c r="DE1109" s="405" t="s">
        <v>5</v>
      </c>
      <c r="DF1109" s="406" t="s">
        <v>85</v>
      </c>
      <c r="DG1109" s="407">
        <v>45862</v>
      </c>
      <c r="DH1109" s="405" t="s">
        <v>3002</v>
      </c>
      <c r="DI1109" s="406">
        <v>465455</v>
      </c>
      <c r="DJ1109" s="408">
        <v>5</v>
      </c>
      <c r="DK1109" s="405">
        <v>1</v>
      </c>
      <c r="DL1109" s="82">
        <v>332.47</v>
      </c>
      <c r="DM1109" s="409">
        <v>1.6623500000000002</v>
      </c>
      <c r="DN1109" s="82" t="s">
        <v>85</v>
      </c>
      <c r="DO1109" s="82" t="s">
        <v>85</v>
      </c>
      <c r="DP1109" s="410" t="s">
        <v>85</v>
      </c>
    </row>
    <row r="1110" spans="1:120" x14ac:dyDescent="0.25">
      <c r="A1110" s="16" t="s">
        <v>3006</v>
      </c>
      <c r="B1110" s="16" t="s">
        <v>3007</v>
      </c>
      <c r="C1110" s="16" t="s">
        <v>3008</v>
      </c>
      <c r="D1110" s="16" t="s">
        <v>2933</v>
      </c>
      <c r="E1110" s="16" t="s">
        <v>3009</v>
      </c>
      <c r="F1110" s="16" t="s">
        <v>3010</v>
      </c>
      <c r="G1110" s="16" t="s">
        <v>3011</v>
      </c>
      <c r="H1110" s="16" t="s">
        <v>3012</v>
      </c>
      <c r="I1110" s="16" t="s">
        <v>3013</v>
      </c>
      <c r="J1110" s="16" t="s">
        <v>943</v>
      </c>
      <c r="K1110" s="16" t="s">
        <v>3014</v>
      </c>
      <c r="L1110" s="16" t="s">
        <v>85</v>
      </c>
      <c r="M1110" s="16" t="s">
        <v>984</v>
      </c>
      <c r="N1110" s="16" t="s">
        <v>914</v>
      </c>
      <c r="O1110" s="16" t="s">
        <v>985</v>
      </c>
      <c r="P1110" s="16" t="s">
        <v>914</v>
      </c>
      <c r="Q1110" s="16" t="s">
        <v>985</v>
      </c>
      <c r="R1110" s="16" t="s">
        <v>915</v>
      </c>
      <c r="S1110" s="16" t="s">
        <v>915</v>
      </c>
      <c r="T1110" s="16" t="s">
        <v>986</v>
      </c>
      <c r="U1110" s="16" t="s">
        <v>987</v>
      </c>
      <c r="V1110" s="16" t="s">
        <v>916</v>
      </c>
      <c r="W1110" s="16" t="s">
        <v>987</v>
      </c>
      <c r="X1110" s="16" t="s">
        <v>934</v>
      </c>
      <c r="Y1110" s="16" t="s">
        <v>934</v>
      </c>
      <c r="Z1110" s="16" t="s">
        <v>935</v>
      </c>
      <c r="DA1110" s="405" t="s">
        <v>5</v>
      </c>
      <c r="DB1110" s="405" t="s">
        <v>363</v>
      </c>
      <c r="DC1110" s="406" t="s">
        <v>85</v>
      </c>
      <c r="DD1110" s="405" t="s">
        <v>917</v>
      </c>
      <c r="DE1110" s="405" t="s">
        <v>5</v>
      </c>
      <c r="DF1110" s="406" t="s">
        <v>85</v>
      </c>
      <c r="DG1110" s="407">
        <v>45862</v>
      </c>
      <c r="DH1110" s="405" t="s">
        <v>3009</v>
      </c>
      <c r="DI1110" s="406">
        <v>465455</v>
      </c>
      <c r="DJ1110" s="408">
        <v>5</v>
      </c>
      <c r="DK1110" s="405">
        <v>1</v>
      </c>
      <c r="DL1110" s="82">
        <v>340.55</v>
      </c>
      <c r="DM1110" s="409">
        <v>1.70275</v>
      </c>
      <c r="DN1110" s="82" t="s">
        <v>85</v>
      </c>
      <c r="DO1110" s="82" t="s">
        <v>85</v>
      </c>
      <c r="DP1110" s="410" t="s">
        <v>85</v>
      </c>
    </row>
    <row r="1111" spans="1:120" x14ac:dyDescent="0.25">
      <c r="A1111" s="16" t="s">
        <v>3015</v>
      </c>
      <c r="B1111" s="16" t="s">
        <v>3016</v>
      </c>
      <c r="C1111" s="16" t="s">
        <v>3017</v>
      </c>
      <c r="D1111" s="16" t="s">
        <v>2933</v>
      </c>
      <c r="E1111" s="16" t="s">
        <v>3018</v>
      </c>
      <c r="F1111" s="16" t="s">
        <v>3019</v>
      </c>
      <c r="G1111" s="16" t="s">
        <v>3020</v>
      </c>
      <c r="H1111" s="16" t="s">
        <v>3021</v>
      </c>
      <c r="I1111" s="16" t="s">
        <v>1309</v>
      </c>
      <c r="J1111" s="16" t="s">
        <v>1109</v>
      </c>
      <c r="K1111" s="16" t="s">
        <v>1310</v>
      </c>
      <c r="L1111" s="16" t="s">
        <v>85</v>
      </c>
      <c r="M1111" s="16" t="s">
        <v>1311</v>
      </c>
      <c r="N1111" s="16" t="s">
        <v>914</v>
      </c>
      <c r="O1111" s="16" t="s">
        <v>1312</v>
      </c>
      <c r="P1111" s="16" t="s">
        <v>914</v>
      </c>
      <c r="Q1111" s="16" t="s">
        <v>1312</v>
      </c>
      <c r="R1111" s="16" t="s">
        <v>915</v>
      </c>
      <c r="S1111" s="16" t="s">
        <v>915</v>
      </c>
      <c r="T1111" s="16" t="s">
        <v>1311</v>
      </c>
      <c r="U1111" s="16" t="s">
        <v>1313</v>
      </c>
      <c r="V1111" s="16" t="s">
        <v>916</v>
      </c>
      <c r="W1111" s="16" t="s">
        <v>1313</v>
      </c>
      <c r="X1111" s="16" t="s">
        <v>934</v>
      </c>
      <c r="Y1111" s="16" t="s">
        <v>934</v>
      </c>
      <c r="Z1111" s="16" t="s">
        <v>935</v>
      </c>
      <c r="DA1111" s="405" t="s">
        <v>5</v>
      </c>
      <c r="DB1111" s="405" t="s">
        <v>363</v>
      </c>
      <c r="DC1111" s="406" t="s">
        <v>85</v>
      </c>
      <c r="DD1111" s="405" t="s">
        <v>917</v>
      </c>
      <c r="DE1111" s="405" t="s">
        <v>5</v>
      </c>
      <c r="DF1111" s="406" t="s">
        <v>85</v>
      </c>
      <c r="DG1111" s="407">
        <v>45862</v>
      </c>
      <c r="DH1111" s="405" t="s">
        <v>3018</v>
      </c>
      <c r="DI1111" s="406">
        <v>465455</v>
      </c>
      <c r="DJ1111" s="408">
        <v>5</v>
      </c>
      <c r="DK1111" s="405">
        <v>1</v>
      </c>
      <c r="DL1111" s="82">
        <v>531.54</v>
      </c>
      <c r="DM1111" s="409">
        <v>2.6576999999999997</v>
      </c>
      <c r="DN1111" s="82" t="s">
        <v>85</v>
      </c>
      <c r="DO1111" s="82" t="s">
        <v>85</v>
      </c>
      <c r="DP1111" s="410" t="s">
        <v>85</v>
      </c>
    </row>
    <row r="1112" spans="1:120" x14ac:dyDescent="0.25">
      <c r="A1112" s="16" t="s">
        <v>3022</v>
      </c>
      <c r="B1112" s="16" t="s">
        <v>3023</v>
      </c>
      <c r="C1112" s="16" t="s">
        <v>3024</v>
      </c>
      <c r="D1112" s="16" t="s">
        <v>2933</v>
      </c>
      <c r="E1112" s="16" t="s">
        <v>3025</v>
      </c>
      <c r="F1112" s="16" t="s">
        <v>3026</v>
      </c>
      <c r="G1112" s="16" t="s">
        <v>3027</v>
      </c>
      <c r="H1112" s="16" t="s">
        <v>3026</v>
      </c>
      <c r="I1112" s="16" t="s">
        <v>2793</v>
      </c>
      <c r="J1112" s="16" t="s">
        <v>943</v>
      </c>
      <c r="K1112" s="16" t="s">
        <v>2794</v>
      </c>
      <c r="L1112" s="16" t="s">
        <v>85</v>
      </c>
      <c r="M1112" s="16" t="s">
        <v>984</v>
      </c>
      <c r="N1112" s="16" t="s">
        <v>914</v>
      </c>
      <c r="O1112" s="16" t="s">
        <v>985</v>
      </c>
      <c r="P1112" s="16" t="s">
        <v>914</v>
      </c>
      <c r="Q1112" s="16" t="s">
        <v>985</v>
      </c>
      <c r="R1112" s="16" t="s">
        <v>915</v>
      </c>
      <c r="S1112" s="16" t="s">
        <v>915</v>
      </c>
      <c r="T1112" s="16" t="s">
        <v>986</v>
      </c>
      <c r="U1112" s="16" t="s">
        <v>987</v>
      </c>
      <c r="V1112" s="16" t="s">
        <v>916</v>
      </c>
      <c r="W1112" s="16" t="s">
        <v>987</v>
      </c>
      <c r="X1112" s="16" t="s">
        <v>934</v>
      </c>
      <c r="Y1112" s="16" t="s">
        <v>934</v>
      </c>
      <c r="Z1112" s="16" t="s">
        <v>935</v>
      </c>
      <c r="DA1112" s="405" t="s">
        <v>5</v>
      </c>
      <c r="DB1112" s="405" t="s">
        <v>363</v>
      </c>
      <c r="DC1112" s="406" t="s">
        <v>85</v>
      </c>
      <c r="DD1112" s="405" t="s">
        <v>917</v>
      </c>
      <c r="DE1112" s="405" t="s">
        <v>5</v>
      </c>
      <c r="DF1112" s="406" t="s">
        <v>85</v>
      </c>
      <c r="DG1112" s="407">
        <v>45862</v>
      </c>
      <c r="DH1112" s="405" t="s">
        <v>3025</v>
      </c>
      <c r="DI1112" s="406">
        <v>465455</v>
      </c>
      <c r="DJ1112" s="408">
        <v>5</v>
      </c>
      <c r="DK1112" s="405">
        <v>1</v>
      </c>
      <c r="DL1112" s="82">
        <v>340.55</v>
      </c>
      <c r="DM1112" s="409">
        <v>1.70275</v>
      </c>
      <c r="DN1112" s="82" t="s">
        <v>85</v>
      </c>
      <c r="DO1112" s="82" t="s">
        <v>85</v>
      </c>
      <c r="DP1112" s="410" t="s">
        <v>85</v>
      </c>
    </row>
    <row r="1113" spans="1:120" x14ac:dyDescent="0.25">
      <c r="A1113" s="16" t="s">
        <v>3028</v>
      </c>
      <c r="B1113" s="16" t="s">
        <v>3029</v>
      </c>
      <c r="C1113" s="16" t="s">
        <v>3030</v>
      </c>
      <c r="D1113" s="16" t="s">
        <v>2933</v>
      </c>
      <c r="E1113" s="16" t="s">
        <v>3031</v>
      </c>
      <c r="F1113" s="16" t="s">
        <v>3032</v>
      </c>
      <c r="G1113" s="16" t="s">
        <v>3033</v>
      </c>
      <c r="H1113" s="16" t="s">
        <v>3032</v>
      </c>
      <c r="I1113" s="16" t="s">
        <v>1227</v>
      </c>
      <c r="J1113" s="16" t="s">
        <v>928</v>
      </c>
      <c r="K1113" s="16" t="s">
        <v>1228</v>
      </c>
      <c r="L1113" s="16" t="s">
        <v>85</v>
      </c>
      <c r="M1113" s="16" t="s">
        <v>1322</v>
      </c>
      <c r="N1113" s="16" t="s">
        <v>914</v>
      </c>
      <c r="O1113" s="16" t="s">
        <v>1323</v>
      </c>
      <c r="P1113" s="16" t="s">
        <v>914</v>
      </c>
      <c r="Q1113" s="16" t="s">
        <v>1323</v>
      </c>
      <c r="R1113" s="16" t="s">
        <v>915</v>
      </c>
      <c r="S1113" s="16" t="s">
        <v>915</v>
      </c>
      <c r="T1113" s="16" t="s">
        <v>1322</v>
      </c>
      <c r="U1113" s="16" t="s">
        <v>1324</v>
      </c>
      <c r="V1113" s="16" t="s">
        <v>916</v>
      </c>
      <c r="W1113" s="16" t="s">
        <v>1324</v>
      </c>
      <c r="X1113" s="16" t="s">
        <v>934</v>
      </c>
      <c r="Y1113" s="16" t="s">
        <v>934</v>
      </c>
      <c r="Z1113" s="16" t="s">
        <v>935</v>
      </c>
      <c r="DA1113" s="405" t="s">
        <v>5</v>
      </c>
      <c r="DB1113" s="405" t="s">
        <v>363</v>
      </c>
      <c r="DC1113" s="406" t="s">
        <v>85</v>
      </c>
      <c r="DD1113" s="405" t="s">
        <v>917</v>
      </c>
      <c r="DE1113" s="405" t="s">
        <v>5</v>
      </c>
      <c r="DF1113" s="406" t="s">
        <v>85</v>
      </c>
      <c r="DG1113" s="407">
        <v>45862</v>
      </c>
      <c r="DH1113" s="405" t="s">
        <v>3031</v>
      </c>
      <c r="DI1113" s="406">
        <v>465455</v>
      </c>
      <c r="DJ1113" s="408">
        <v>5</v>
      </c>
      <c r="DK1113" s="405">
        <v>1</v>
      </c>
      <c r="DL1113" s="82">
        <v>332.47</v>
      </c>
      <c r="DM1113" s="409">
        <v>1.6623500000000002</v>
      </c>
      <c r="DN1113" s="82" t="s">
        <v>85</v>
      </c>
      <c r="DO1113" s="82" t="s">
        <v>85</v>
      </c>
      <c r="DP1113" s="410" t="s">
        <v>85</v>
      </c>
    </row>
    <row r="1114" spans="1:120" x14ac:dyDescent="0.25">
      <c r="A1114" s="16" t="s">
        <v>3034</v>
      </c>
      <c r="B1114" s="16" t="s">
        <v>3035</v>
      </c>
      <c r="C1114" s="16" t="s">
        <v>3036</v>
      </c>
      <c r="D1114" s="16" t="s">
        <v>2933</v>
      </c>
      <c r="E1114" s="16" t="s">
        <v>3037</v>
      </c>
      <c r="F1114" s="16" t="s">
        <v>3038</v>
      </c>
      <c r="G1114" s="16" t="s">
        <v>3039</v>
      </c>
      <c r="H1114" s="16" t="s">
        <v>3040</v>
      </c>
      <c r="I1114" s="16" t="s">
        <v>3041</v>
      </c>
      <c r="J1114" s="16" t="s">
        <v>928</v>
      </c>
      <c r="K1114" s="16" t="s">
        <v>3042</v>
      </c>
      <c r="L1114" s="16" t="s">
        <v>85</v>
      </c>
      <c r="M1114" s="16" t="s">
        <v>1322</v>
      </c>
      <c r="N1114" s="16" t="s">
        <v>914</v>
      </c>
      <c r="O1114" s="16" t="s">
        <v>1323</v>
      </c>
      <c r="P1114" s="16" t="s">
        <v>914</v>
      </c>
      <c r="Q1114" s="16" t="s">
        <v>1323</v>
      </c>
      <c r="R1114" s="16" t="s">
        <v>915</v>
      </c>
      <c r="S1114" s="16" t="s">
        <v>915</v>
      </c>
      <c r="T1114" s="16" t="s">
        <v>1322</v>
      </c>
      <c r="U1114" s="16" t="s">
        <v>1324</v>
      </c>
      <c r="V1114" s="16" t="s">
        <v>916</v>
      </c>
      <c r="W1114" s="16" t="s">
        <v>1324</v>
      </c>
      <c r="X1114" s="16" t="s">
        <v>934</v>
      </c>
      <c r="Y1114" s="16" t="s">
        <v>934</v>
      </c>
      <c r="Z1114" s="16" t="s">
        <v>935</v>
      </c>
      <c r="DA1114" s="405" t="s">
        <v>5</v>
      </c>
      <c r="DB1114" s="405" t="s">
        <v>363</v>
      </c>
      <c r="DC1114" s="406" t="s">
        <v>85</v>
      </c>
      <c r="DD1114" s="405" t="s">
        <v>917</v>
      </c>
      <c r="DE1114" s="405" t="s">
        <v>5</v>
      </c>
      <c r="DF1114" s="406" t="s">
        <v>85</v>
      </c>
      <c r="DG1114" s="407">
        <v>45862</v>
      </c>
      <c r="DH1114" s="405" t="s">
        <v>3037</v>
      </c>
      <c r="DI1114" s="406">
        <v>465455</v>
      </c>
      <c r="DJ1114" s="408">
        <v>5</v>
      </c>
      <c r="DK1114" s="405">
        <v>1</v>
      </c>
      <c r="DL1114" s="82">
        <v>332.47</v>
      </c>
      <c r="DM1114" s="409">
        <v>1.6623500000000002</v>
      </c>
      <c r="DN1114" s="82" t="s">
        <v>85</v>
      </c>
      <c r="DO1114" s="82" t="s">
        <v>85</v>
      </c>
      <c r="DP1114" s="410" t="s">
        <v>85</v>
      </c>
    </row>
    <row r="1115" spans="1:120" x14ac:dyDescent="0.25">
      <c r="A1115" s="16" t="s">
        <v>3043</v>
      </c>
      <c r="B1115" s="16" t="s">
        <v>3044</v>
      </c>
      <c r="C1115" s="16" t="s">
        <v>3045</v>
      </c>
      <c r="D1115" s="16" t="s">
        <v>2933</v>
      </c>
      <c r="E1115" s="16" t="s">
        <v>3046</v>
      </c>
      <c r="F1115" s="16" t="s">
        <v>3047</v>
      </c>
      <c r="G1115" s="16" t="s">
        <v>3048</v>
      </c>
      <c r="H1115" s="16" t="s">
        <v>3049</v>
      </c>
      <c r="I1115" s="16" t="s">
        <v>2958</v>
      </c>
      <c r="J1115" s="16" t="s">
        <v>943</v>
      </c>
      <c r="K1115" s="16" t="s">
        <v>2959</v>
      </c>
      <c r="L1115" s="16" t="s">
        <v>85</v>
      </c>
      <c r="M1115" s="16" t="s">
        <v>984</v>
      </c>
      <c r="N1115" s="16" t="s">
        <v>914</v>
      </c>
      <c r="O1115" s="16" t="s">
        <v>985</v>
      </c>
      <c r="P1115" s="16" t="s">
        <v>914</v>
      </c>
      <c r="Q1115" s="16" t="s">
        <v>985</v>
      </c>
      <c r="R1115" s="16" t="s">
        <v>915</v>
      </c>
      <c r="S1115" s="16" t="s">
        <v>915</v>
      </c>
      <c r="T1115" s="16" t="s">
        <v>986</v>
      </c>
      <c r="U1115" s="16" t="s">
        <v>987</v>
      </c>
      <c r="V1115" s="16" t="s">
        <v>916</v>
      </c>
      <c r="W1115" s="16" t="s">
        <v>987</v>
      </c>
      <c r="X1115" s="16" t="s">
        <v>934</v>
      </c>
      <c r="Y1115" s="16" t="s">
        <v>934</v>
      </c>
      <c r="Z1115" s="16" t="s">
        <v>935</v>
      </c>
      <c r="DA1115" s="405" t="s">
        <v>5</v>
      </c>
      <c r="DB1115" s="405" t="s">
        <v>363</v>
      </c>
      <c r="DC1115" s="406" t="s">
        <v>85</v>
      </c>
      <c r="DD1115" s="405" t="s">
        <v>917</v>
      </c>
      <c r="DE1115" s="405" t="s">
        <v>5</v>
      </c>
      <c r="DF1115" s="406" t="s">
        <v>85</v>
      </c>
      <c r="DG1115" s="407">
        <v>45862</v>
      </c>
      <c r="DH1115" s="405" t="s">
        <v>3046</v>
      </c>
      <c r="DI1115" s="406">
        <v>465455</v>
      </c>
      <c r="DJ1115" s="408">
        <v>5</v>
      </c>
      <c r="DK1115" s="405">
        <v>1</v>
      </c>
      <c r="DL1115" s="82">
        <v>340.55</v>
      </c>
      <c r="DM1115" s="409">
        <v>1.70275</v>
      </c>
      <c r="DN1115" s="82" t="s">
        <v>85</v>
      </c>
      <c r="DO1115" s="82" t="s">
        <v>85</v>
      </c>
      <c r="DP1115" s="410" t="s">
        <v>85</v>
      </c>
    </row>
    <row r="1116" spans="1:120" x14ac:dyDescent="0.25">
      <c r="A1116" s="16" t="s">
        <v>3050</v>
      </c>
      <c r="B1116" s="16" t="s">
        <v>3051</v>
      </c>
      <c r="C1116" s="16" t="s">
        <v>3052</v>
      </c>
      <c r="D1116" s="16" t="s">
        <v>2933</v>
      </c>
      <c r="E1116" s="16" t="s">
        <v>3053</v>
      </c>
      <c r="F1116" s="16" t="s">
        <v>3054</v>
      </c>
      <c r="G1116" s="16" t="s">
        <v>3055</v>
      </c>
      <c r="H1116" s="16" t="s">
        <v>3054</v>
      </c>
      <c r="I1116" s="16" t="s">
        <v>1772</v>
      </c>
      <c r="J1116" s="16" t="s">
        <v>1036</v>
      </c>
      <c r="K1116" s="16" t="s">
        <v>1773</v>
      </c>
      <c r="L1116" s="16" t="s">
        <v>85</v>
      </c>
      <c r="M1116" s="16" t="s">
        <v>1216</v>
      </c>
      <c r="N1116" s="16" t="s">
        <v>914</v>
      </c>
      <c r="O1116" s="16" t="s">
        <v>946</v>
      </c>
      <c r="P1116" s="16" t="s">
        <v>914</v>
      </c>
      <c r="Q1116" s="16" t="s">
        <v>946</v>
      </c>
      <c r="R1116" s="16" t="s">
        <v>915</v>
      </c>
      <c r="S1116" s="16" t="s">
        <v>915</v>
      </c>
      <c r="T1116" s="16" t="s">
        <v>1216</v>
      </c>
      <c r="U1116" s="16" t="s">
        <v>1217</v>
      </c>
      <c r="V1116" s="16" t="s">
        <v>916</v>
      </c>
      <c r="W1116" s="16" t="s">
        <v>1217</v>
      </c>
      <c r="X1116" s="16" t="s">
        <v>934</v>
      </c>
      <c r="Y1116" s="16" t="s">
        <v>934</v>
      </c>
      <c r="Z1116" s="16" t="s">
        <v>935</v>
      </c>
      <c r="DA1116" s="405" t="s">
        <v>5</v>
      </c>
      <c r="DB1116" s="405" t="s">
        <v>363</v>
      </c>
      <c r="DC1116" s="406" t="s">
        <v>85</v>
      </c>
      <c r="DD1116" s="405" t="s">
        <v>917</v>
      </c>
      <c r="DE1116" s="405" t="s">
        <v>5</v>
      </c>
      <c r="DF1116" s="406" t="s">
        <v>85</v>
      </c>
      <c r="DG1116" s="407">
        <v>45862</v>
      </c>
      <c r="DH1116" s="405" t="s">
        <v>3053</v>
      </c>
      <c r="DI1116" s="406">
        <v>465455</v>
      </c>
      <c r="DJ1116" s="408">
        <v>5</v>
      </c>
      <c r="DK1116" s="405">
        <v>1</v>
      </c>
      <c r="DL1116" s="82">
        <v>319.22000000000003</v>
      </c>
      <c r="DM1116" s="409">
        <v>1.5961000000000001</v>
      </c>
      <c r="DN1116" s="82" t="s">
        <v>85</v>
      </c>
      <c r="DO1116" s="82" t="s">
        <v>85</v>
      </c>
      <c r="DP1116" s="410" t="s">
        <v>85</v>
      </c>
    </row>
    <row r="1117" spans="1:120" x14ac:dyDescent="0.25">
      <c r="A1117" s="16" t="s">
        <v>3056</v>
      </c>
      <c r="B1117" s="16" t="s">
        <v>3057</v>
      </c>
      <c r="C1117" s="16" t="s">
        <v>3058</v>
      </c>
      <c r="D1117" s="16" t="s">
        <v>2933</v>
      </c>
      <c r="E1117" s="16" t="s">
        <v>3059</v>
      </c>
      <c r="F1117" s="16" t="s">
        <v>3060</v>
      </c>
      <c r="G1117" s="16" t="s">
        <v>3061</v>
      </c>
      <c r="H1117" s="16" t="s">
        <v>3062</v>
      </c>
      <c r="I1117" s="16" t="s">
        <v>2599</v>
      </c>
      <c r="J1117" s="16" t="s">
        <v>2600</v>
      </c>
      <c r="K1117" s="16" t="s">
        <v>2601</v>
      </c>
      <c r="L1117" s="16" t="s">
        <v>85</v>
      </c>
      <c r="M1117" s="16" t="s">
        <v>1955</v>
      </c>
      <c r="N1117" s="16" t="s">
        <v>914</v>
      </c>
      <c r="O1117" s="16" t="s">
        <v>1039</v>
      </c>
      <c r="P1117" s="16" t="s">
        <v>914</v>
      </c>
      <c r="Q1117" s="16" t="s">
        <v>1039</v>
      </c>
      <c r="R1117" s="16" t="s">
        <v>915</v>
      </c>
      <c r="S1117" s="16" t="s">
        <v>915</v>
      </c>
      <c r="T1117" s="16" t="s">
        <v>1955</v>
      </c>
      <c r="U1117" s="16" t="s">
        <v>1956</v>
      </c>
      <c r="V1117" s="16" t="s">
        <v>916</v>
      </c>
      <c r="W1117" s="16" t="s">
        <v>1956</v>
      </c>
      <c r="X1117" s="16" t="s">
        <v>934</v>
      </c>
      <c r="Y1117" s="16" t="s">
        <v>934</v>
      </c>
      <c r="Z1117" s="16" t="s">
        <v>935</v>
      </c>
      <c r="DA1117" s="405" t="s">
        <v>5</v>
      </c>
      <c r="DB1117" s="405" t="s">
        <v>363</v>
      </c>
      <c r="DC1117" s="406" t="s">
        <v>85</v>
      </c>
      <c r="DD1117" s="405" t="s">
        <v>917</v>
      </c>
      <c r="DE1117" s="405" t="s">
        <v>5</v>
      </c>
      <c r="DF1117" s="406" t="s">
        <v>85</v>
      </c>
      <c r="DG1117" s="407">
        <v>45862</v>
      </c>
      <c r="DH1117" s="405" t="s">
        <v>3059</v>
      </c>
      <c r="DI1117" s="406">
        <v>465455</v>
      </c>
      <c r="DJ1117" s="408">
        <v>5</v>
      </c>
      <c r="DK1117" s="405">
        <v>1</v>
      </c>
      <c r="DL1117" s="82">
        <v>311.2</v>
      </c>
      <c r="DM1117" s="409">
        <v>1.556</v>
      </c>
      <c r="DN1117" s="82" t="s">
        <v>85</v>
      </c>
      <c r="DO1117" s="82" t="s">
        <v>85</v>
      </c>
      <c r="DP1117" s="410" t="s">
        <v>85</v>
      </c>
    </row>
    <row r="1118" spans="1:120" x14ac:dyDescent="0.25">
      <c r="A1118" s="16" t="s">
        <v>3063</v>
      </c>
      <c r="B1118" s="16" t="s">
        <v>3064</v>
      </c>
      <c r="C1118" s="16" t="s">
        <v>3065</v>
      </c>
      <c r="D1118" s="16" t="s">
        <v>2933</v>
      </c>
      <c r="E1118" s="16" t="s">
        <v>3066</v>
      </c>
      <c r="F1118" s="16" t="s">
        <v>3067</v>
      </c>
      <c r="G1118" s="16" t="s">
        <v>3068</v>
      </c>
      <c r="H1118" s="16" t="s">
        <v>3067</v>
      </c>
      <c r="I1118" s="16" t="s">
        <v>1937</v>
      </c>
      <c r="J1118" s="16" t="s">
        <v>1036</v>
      </c>
      <c r="K1118" s="16" t="s">
        <v>1938</v>
      </c>
      <c r="L1118" s="16" t="s">
        <v>85</v>
      </c>
      <c r="M1118" s="16" t="s">
        <v>1216</v>
      </c>
      <c r="N1118" s="16" t="s">
        <v>914</v>
      </c>
      <c r="O1118" s="16" t="s">
        <v>946</v>
      </c>
      <c r="P1118" s="16" t="s">
        <v>914</v>
      </c>
      <c r="Q1118" s="16" t="s">
        <v>946</v>
      </c>
      <c r="R1118" s="16" t="s">
        <v>915</v>
      </c>
      <c r="S1118" s="16" t="s">
        <v>915</v>
      </c>
      <c r="T1118" s="16" t="s">
        <v>1216</v>
      </c>
      <c r="U1118" s="16" t="s">
        <v>1217</v>
      </c>
      <c r="V1118" s="16" t="s">
        <v>916</v>
      </c>
      <c r="W1118" s="16" t="s">
        <v>1217</v>
      </c>
      <c r="X1118" s="16" t="s">
        <v>934</v>
      </c>
      <c r="Y1118" s="16" t="s">
        <v>934</v>
      </c>
      <c r="Z1118" s="16" t="s">
        <v>935</v>
      </c>
      <c r="DA1118" s="405" t="s">
        <v>5</v>
      </c>
      <c r="DB1118" s="405" t="s">
        <v>363</v>
      </c>
      <c r="DC1118" s="406" t="s">
        <v>85</v>
      </c>
      <c r="DD1118" s="405" t="s">
        <v>917</v>
      </c>
      <c r="DE1118" s="405" t="s">
        <v>5</v>
      </c>
      <c r="DF1118" s="406" t="s">
        <v>85</v>
      </c>
      <c r="DG1118" s="407">
        <v>45862</v>
      </c>
      <c r="DH1118" s="405" t="s">
        <v>3066</v>
      </c>
      <c r="DI1118" s="406">
        <v>465455</v>
      </c>
      <c r="DJ1118" s="408">
        <v>5</v>
      </c>
      <c r="DK1118" s="405">
        <v>1</v>
      </c>
      <c r="DL1118" s="82">
        <v>319.22000000000003</v>
      </c>
      <c r="DM1118" s="409">
        <v>1.5961000000000001</v>
      </c>
      <c r="DN1118" s="82" t="s">
        <v>85</v>
      </c>
      <c r="DO1118" s="82" t="s">
        <v>85</v>
      </c>
      <c r="DP1118" s="410" t="s">
        <v>85</v>
      </c>
    </row>
    <row r="1119" spans="1:120" x14ac:dyDescent="0.25">
      <c r="A1119" s="16" t="s">
        <v>3069</v>
      </c>
      <c r="B1119" s="16" t="s">
        <v>3070</v>
      </c>
      <c r="C1119" s="16" t="s">
        <v>3071</v>
      </c>
      <c r="D1119" s="16" t="s">
        <v>2933</v>
      </c>
      <c r="E1119" s="16" t="s">
        <v>3072</v>
      </c>
      <c r="F1119" s="16" t="s">
        <v>3073</v>
      </c>
      <c r="G1119" s="16" t="s">
        <v>3074</v>
      </c>
      <c r="H1119" s="16" t="s">
        <v>3073</v>
      </c>
      <c r="I1119" s="16" t="s">
        <v>2091</v>
      </c>
      <c r="J1119" s="16" t="s">
        <v>928</v>
      </c>
      <c r="K1119" s="16" t="s">
        <v>2092</v>
      </c>
      <c r="L1119" s="16" t="s">
        <v>85</v>
      </c>
      <c r="M1119" s="16" t="s">
        <v>1322</v>
      </c>
      <c r="N1119" s="16" t="s">
        <v>914</v>
      </c>
      <c r="O1119" s="16" t="s">
        <v>1323</v>
      </c>
      <c r="P1119" s="16" t="s">
        <v>914</v>
      </c>
      <c r="Q1119" s="16" t="s">
        <v>1323</v>
      </c>
      <c r="R1119" s="16" t="s">
        <v>915</v>
      </c>
      <c r="S1119" s="16" t="s">
        <v>915</v>
      </c>
      <c r="T1119" s="16" t="s">
        <v>1322</v>
      </c>
      <c r="U1119" s="16" t="s">
        <v>1324</v>
      </c>
      <c r="V1119" s="16" t="s">
        <v>916</v>
      </c>
      <c r="W1119" s="16" t="s">
        <v>1324</v>
      </c>
      <c r="X1119" s="16" t="s">
        <v>934</v>
      </c>
      <c r="Y1119" s="16" t="s">
        <v>934</v>
      </c>
      <c r="Z1119" s="16" t="s">
        <v>935</v>
      </c>
      <c r="DA1119" s="405" t="s">
        <v>5</v>
      </c>
      <c r="DB1119" s="405" t="s">
        <v>363</v>
      </c>
      <c r="DC1119" s="406" t="s">
        <v>85</v>
      </c>
      <c r="DD1119" s="405" t="s">
        <v>917</v>
      </c>
      <c r="DE1119" s="405" t="s">
        <v>5</v>
      </c>
      <c r="DF1119" s="406" t="s">
        <v>85</v>
      </c>
      <c r="DG1119" s="407">
        <v>45862</v>
      </c>
      <c r="DH1119" s="405" t="s">
        <v>3072</v>
      </c>
      <c r="DI1119" s="406">
        <v>465455</v>
      </c>
      <c r="DJ1119" s="408">
        <v>5</v>
      </c>
      <c r="DK1119" s="405">
        <v>1</v>
      </c>
      <c r="DL1119" s="82">
        <v>332.47</v>
      </c>
      <c r="DM1119" s="409">
        <v>1.6623500000000002</v>
      </c>
      <c r="DN1119" s="82" t="s">
        <v>85</v>
      </c>
      <c r="DO1119" s="82" t="s">
        <v>85</v>
      </c>
      <c r="DP1119" s="410" t="s">
        <v>85</v>
      </c>
    </row>
    <row r="1120" spans="1:120" x14ac:dyDescent="0.25">
      <c r="A1120" s="16" t="s">
        <v>3075</v>
      </c>
      <c r="B1120" s="16" t="s">
        <v>3076</v>
      </c>
      <c r="C1120" s="16" t="s">
        <v>3077</v>
      </c>
      <c r="D1120" s="16" t="s">
        <v>2933</v>
      </c>
      <c r="E1120" s="16" t="s">
        <v>3078</v>
      </c>
      <c r="F1120" s="16" t="s">
        <v>3079</v>
      </c>
      <c r="G1120" s="16" t="s">
        <v>3080</v>
      </c>
      <c r="H1120" s="16" t="s">
        <v>3079</v>
      </c>
      <c r="I1120" s="16" t="s">
        <v>3041</v>
      </c>
      <c r="J1120" s="16" t="s">
        <v>928</v>
      </c>
      <c r="K1120" s="16" t="s">
        <v>3042</v>
      </c>
      <c r="L1120" s="16" t="s">
        <v>85</v>
      </c>
      <c r="M1120" s="16" t="s">
        <v>1322</v>
      </c>
      <c r="N1120" s="16" t="s">
        <v>914</v>
      </c>
      <c r="O1120" s="16" t="s">
        <v>1323</v>
      </c>
      <c r="P1120" s="16" t="s">
        <v>914</v>
      </c>
      <c r="Q1120" s="16" t="s">
        <v>1323</v>
      </c>
      <c r="R1120" s="16" t="s">
        <v>915</v>
      </c>
      <c r="S1120" s="16" t="s">
        <v>915</v>
      </c>
      <c r="T1120" s="16" t="s">
        <v>1322</v>
      </c>
      <c r="U1120" s="16" t="s">
        <v>1324</v>
      </c>
      <c r="V1120" s="16" t="s">
        <v>916</v>
      </c>
      <c r="W1120" s="16" t="s">
        <v>1324</v>
      </c>
      <c r="X1120" s="16" t="s">
        <v>934</v>
      </c>
      <c r="Y1120" s="16" t="s">
        <v>934</v>
      </c>
      <c r="Z1120" s="16" t="s">
        <v>935</v>
      </c>
      <c r="DA1120" s="405" t="s">
        <v>5</v>
      </c>
      <c r="DB1120" s="405" t="s">
        <v>363</v>
      </c>
      <c r="DC1120" s="406" t="s">
        <v>85</v>
      </c>
      <c r="DD1120" s="405" t="s">
        <v>917</v>
      </c>
      <c r="DE1120" s="405" t="s">
        <v>5</v>
      </c>
      <c r="DF1120" s="406" t="s">
        <v>85</v>
      </c>
      <c r="DG1120" s="407">
        <v>45862</v>
      </c>
      <c r="DH1120" s="405" t="s">
        <v>3078</v>
      </c>
      <c r="DI1120" s="406">
        <v>465455</v>
      </c>
      <c r="DJ1120" s="408">
        <v>5</v>
      </c>
      <c r="DK1120" s="405">
        <v>1</v>
      </c>
      <c r="DL1120" s="82">
        <v>332.47</v>
      </c>
      <c r="DM1120" s="409">
        <v>1.6623500000000002</v>
      </c>
      <c r="DN1120" s="82" t="s">
        <v>85</v>
      </c>
      <c r="DO1120" s="82" t="s">
        <v>85</v>
      </c>
      <c r="DP1120" s="410" t="s">
        <v>85</v>
      </c>
    </row>
    <row r="1121" spans="1:120" x14ac:dyDescent="0.25">
      <c r="A1121" s="16" t="s">
        <v>3081</v>
      </c>
      <c r="B1121" s="16" t="s">
        <v>3082</v>
      </c>
      <c r="C1121" s="16" t="s">
        <v>3083</v>
      </c>
      <c r="D1121" s="16" t="s">
        <v>2933</v>
      </c>
      <c r="E1121" s="16" t="s">
        <v>3084</v>
      </c>
      <c r="F1121" s="16" t="s">
        <v>3085</v>
      </c>
      <c r="G1121" s="16" t="s">
        <v>3086</v>
      </c>
      <c r="H1121" s="16" t="s">
        <v>3085</v>
      </c>
      <c r="I1121" s="16" t="s">
        <v>2091</v>
      </c>
      <c r="J1121" s="16" t="s">
        <v>928</v>
      </c>
      <c r="K1121" s="16" t="s">
        <v>2092</v>
      </c>
      <c r="L1121" s="16" t="s">
        <v>85</v>
      </c>
      <c r="M1121" s="16" t="s">
        <v>1322</v>
      </c>
      <c r="N1121" s="16" t="s">
        <v>914</v>
      </c>
      <c r="O1121" s="16" t="s">
        <v>1323</v>
      </c>
      <c r="P1121" s="16" t="s">
        <v>914</v>
      </c>
      <c r="Q1121" s="16" t="s">
        <v>1323</v>
      </c>
      <c r="R1121" s="16" t="s">
        <v>915</v>
      </c>
      <c r="S1121" s="16" t="s">
        <v>915</v>
      </c>
      <c r="T1121" s="16" t="s">
        <v>1322</v>
      </c>
      <c r="U1121" s="16" t="s">
        <v>1324</v>
      </c>
      <c r="V1121" s="16" t="s">
        <v>916</v>
      </c>
      <c r="W1121" s="16" t="s">
        <v>1324</v>
      </c>
      <c r="X1121" s="16" t="s">
        <v>934</v>
      </c>
      <c r="Y1121" s="16" t="s">
        <v>934</v>
      </c>
      <c r="Z1121" s="16" t="s">
        <v>935</v>
      </c>
      <c r="DA1121" s="405" t="s">
        <v>5</v>
      </c>
      <c r="DB1121" s="405" t="s">
        <v>363</v>
      </c>
      <c r="DC1121" s="406" t="s">
        <v>85</v>
      </c>
      <c r="DD1121" s="405" t="s">
        <v>917</v>
      </c>
      <c r="DE1121" s="405" t="s">
        <v>5</v>
      </c>
      <c r="DF1121" s="406" t="s">
        <v>85</v>
      </c>
      <c r="DG1121" s="407">
        <v>45862</v>
      </c>
      <c r="DH1121" s="405" t="s">
        <v>3084</v>
      </c>
      <c r="DI1121" s="406">
        <v>465455</v>
      </c>
      <c r="DJ1121" s="408">
        <v>5</v>
      </c>
      <c r="DK1121" s="405">
        <v>1</v>
      </c>
      <c r="DL1121" s="82">
        <v>332.47</v>
      </c>
      <c r="DM1121" s="409">
        <v>1.6623500000000002</v>
      </c>
      <c r="DN1121" s="82" t="s">
        <v>85</v>
      </c>
      <c r="DO1121" s="82" t="s">
        <v>85</v>
      </c>
      <c r="DP1121" s="410" t="s">
        <v>85</v>
      </c>
    </row>
    <row r="1122" spans="1:120" x14ac:dyDescent="0.25">
      <c r="A1122" s="16" t="s">
        <v>3087</v>
      </c>
      <c r="B1122" s="16" t="s">
        <v>3088</v>
      </c>
      <c r="C1122" s="16" t="s">
        <v>3089</v>
      </c>
      <c r="D1122" s="16" t="s">
        <v>2933</v>
      </c>
      <c r="E1122" s="16" t="s">
        <v>3090</v>
      </c>
      <c r="F1122" s="16" t="s">
        <v>3091</v>
      </c>
      <c r="G1122" s="16" t="s">
        <v>3092</v>
      </c>
      <c r="H1122" s="16" t="s">
        <v>3093</v>
      </c>
      <c r="I1122" s="16" t="s">
        <v>2997</v>
      </c>
      <c r="J1122" s="16" t="s">
        <v>943</v>
      </c>
      <c r="K1122" s="16" t="s">
        <v>2998</v>
      </c>
      <c r="L1122" s="16" t="s">
        <v>85</v>
      </c>
      <c r="M1122" s="16" t="s">
        <v>984</v>
      </c>
      <c r="N1122" s="16" t="s">
        <v>914</v>
      </c>
      <c r="O1122" s="16" t="s">
        <v>985</v>
      </c>
      <c r="P1122" s="16" t="s">
        <v>914</v>
      </c>
      <c r="Q1122" s="16" t="s">
        <v>985</v>
      </c>
      <c r="R1122" s="16" t="s">
        <v>915</v>
      </c>
      <c r="S1122" s="16" t="s">
        <v>915</v>
      </c>
      <c r="T1122" s="16" t="s">
        <v>986</v>
      </c>
      <c r="U1122" s="16" t="s">
        <v>987</v>
      </c>
      <c r="V1122" s="16" t="s">
        <v>916</v>
      </c>
      <c r="W1122" s="16" t="s">
        <v>987</v>
      </c>
      <c r="X1122" s="16" t="s">
        <v>934</v>
      </c>
      <c r="Y1122" s="16" t="s">
        <v>934</v>
      </c>
      <c r="Z1122" s="16" t="s">
        <v>935</v>
      </c>
      <c r="DA1122" s="405" t="s">
        <v>5</v>
      </c>
      <c r="DB1122" s="405" t="s">
        <v>363</v>
      </c>
      <c r="DC1122" s="406" t="s">
        <v>85</v>
      </c>
      <c r="DD1122" s="405" t="s">
        <v>917</v>
      </c>
      <c r="DE1122" s="405" t="s">
        <v>5</v>
      </c>
      <c r="DF1122" s="406" t="s">
        <v>85</v>
      </c>
      <c r="DG1122" s="407">
        <v>45862</v>
      </c>
      <c r="DH1122" s="405" t="s">
        <v>3090</v>
      </c>
      <c r="DI1122" s="406">
        <v>465455</v>
      </c>
      <c r="DJ1122" s="408">
        <v>5</v>
      </c>
      <c r="DK1122" s="405">
        <v>1</v>
      </c>
      <c r="DL1122" s="82">
        <v>340.55</v>
      </c>
      <c r="DM1122" s="409">
        <v>1.70275</v>
      </c>
      <c r="DN1122" s="82" t="s">
        <v>85</v>
      </c>
      <c r="DO1122" s="82" t="s">
        <v>85</v>
      </c>
      <c r="DP1122" s="410" t="s">
        <v>85</v>
      </c>
    </row>
    <row r="1123" spans="1:120" x14ac:dyDescent="0.25">
      <c r="A1123" s="16" t="s">
        <v>3094</v>
      </c>
      <c r="B1123" s="16" t="s">
        <v>3095</v>
      </c>
      <c r="C1123" s="16" t="s">
        <v>3096</v>
      </c>
      <c r="D1123" s="16" t="s">
        <v>2933</v>
      </c>
      <c r="E1123" s="16" t="s">
        <v>3097</v>
      </c>
      <c r="F1123" s="16" t="s">
        <v>3098</v>
      </c>
      <c r="G1123" s="16" t="s">
        <v>3099</v>
      </c>
      <c r="H1123" s="16" t="s">
        <v>3100</v>
      </c>
      <c r="I1123" s="16" t="s">
        <v>1163</v>
      </c>
      <c r="J1123" s="16" t="s">
        <v>995</v>
      </c>
      <c r="K1123" s="16" t="s">
        <v>1164</v>
      </c>
      <c r="L1123" s="16" t="s">
        <v>85</v>
      </c>
      <c r="M1123" s="16" t="s">
        <v>1165</v>
      </c>
      <c r="N1123" s="16" t="s">
        <v>914</v>
      </c>
      <c r="O1123" s="16" t="s">
        <v>1166</v>
      </c>
      <c r="P1123" s="16" t="s">
        <v>914</v>
      </c>
      <c r="Q1123" s="16" t="s">
        <v>1166</v>
      </c>
      <c r="R1123" s="16" t="s">
        <v>915</v>
      </c>
      <c r="S1123" s="16" t="s">
        <v>915</v>
      </c>
      <c r="T1123" s="16" t="s">
        <v>1167</v>
      </c>
      <c r="U1123" s="16" t="s">
        <v>1168</v>
      </c>
      <c r="V1123" s="16" t="s">
        <v>916</v>
      </c>
      <c r="W1123" s="16" t="s">
        <v>1168</v>
      </c>
      <c r="X1123" s="16" t="s">
        <v>934</v>
      </c>
      <c r="Y1123" s="16" t="s">
        <v>934</v>
      </c>
      <c r="Z1123" s="16" t="s">
        <v>935</v>
      </c>
      <c r="DA1123" s="405" t="s">
        <v>5</v>
      </c>
      <c r="DB1123" s="405" t="s">
        <v>363</v>
      </c>
      <c r="DC1123" s="406" t="s">
        <v>85</v>
      </c>
      <c r="DD1123" s="405" t="s">
        <v>917</v>
      </c>
      <c r="DE1123" s="405" t="s">
        <v>5</v>
      </c>
      <c r="DF1123" s="406" t="s">
        <v>85</v>
      </c>
      <c r="DG1123" s="407">
        <v>45862</v>
      </c>
      <c r="DH1123" s="405" t="s">
        <v>3097</v>
      </c>
      <c r="DI1123" s="406">
        <v>465455</v>
      </c>
      <c r="DJ1123" s="408">
        <v>5</v>
      </c>
      <c r="DK1123" s="405">
        <v>1</v>
      </c>
      <c r="DL1123" s="82">
        <v>468.28</v>
      </c>
      <c r="DM1123" s="409">
        <v>2.3413999999999997</v>
      </c>
      <c r="DN1123" s="82" t="s">
        <v>85</v>
      </c>
      <c r="DO1123" s="82" t="s">
        <v>85</v>
      </c>
      <c r="DP1123" s="410" t="s">
        <v>85</v>
      </c>
    </row>
    <row r="1124" spans="1:120" x14ac:dyDescent="0.25">
      <c r="A1124" s="16" t="s">
        <v>3101</v>
      </c>
      <c r="B1124" s="16" t="s">
        <v>3102</v>
      </c>
      <c r="C1124" s="16" t="s">
        <v>3103</v>
      </c>
      <c r="D1124" s="16" t="s">
        <v>2933</v>
      </c>
      <c r="E1124" s="16" t="s">
        <v>3104</v>
      </c>
      <c r="F1124" s="16" t="s">
        <v>3105</v>
      </c>
      <c r="G1124" s="16" t="s">
        <v>3106</v>
      </c>
      <c r="H1124" s="16" t="s">
        <v>3105</v>
      </c>
      <c r="I1124" s="16" t="s">
        <v>1979</v>
      </c>
      <c r="J1124" s="16" t="s">
        <v>1123</v>
      </c>
      <c r="K1124" s="16" t="s">
        <v>1980</v>
      </c>
      <c r="L1124" s="16" t="s">
        <v>85</v>
      </c>
      <c r="M1124" s="16" t="s">
        <v>1238</v>
      </c>
      <c r="N1124" s="16" t="s">
        <v>914</v>
      </c>
      <c r="O1124" s="16" t="s">
        <v>1239</v>
      </c>
      <c r="P1124" s="16" t="s">
        <v>914</v>
      </c>
      <c r="Q1124" s="16" t="s">
        <v>1239</v>
      </c>
      <c r="R1124" s="16" t="s">
        <v>915</v>
      </c>
      <c r="S1124" s="16" t="s">
        <v>915</v>
      </c>
      <c r="T1124" s="16" t="s">
        <v>1238</v>
      </c>
      <c r="U1124" s="16" t="s">
        <v>1240</v>
      </c>
      <c r="V1124" s="16" t="s">
        <v>916</v>
      </c>
      <c r="W1124" s="16" t="s">
        <v>1240</v>
      </c>
      <c r="X1124" s="16" t="s">
        <v>934</v>
      </c>
      <c r="Y1124" s="16" t="s">
        <v>934</v>
      </c>
      <c r="Z1124" s="16" t="s">
        <v>935</v>
      </c>
      <c r="DA1124" s="405" t="s">
        <v>5</v>
      </c>
      <c r="DB1124" s="405" t="s">
        <v>363</v>
      </c>
      <c r="DC1124" s="406" t="s">
        <v>85</v>
      </c>
      <c r="DD1124" s="405" t="s">
        <v>917</v>
      </c>
      <c r="DE1124" s="405" t="s">
        <v>5</v>
      </c>
      <c r="DF1124" s="406" t="s">
        <v>85</v>
      </c>
      <c r="DG1124" s="407">
        <v>45862</v>
      </c>
      <c r="DH1124" s="405" t="s">
        <v>3104</v>
      </c>
      <c r="DI1124" s="406">
        <v>465455</v>
      </c>
      <c r="DJ1124" s="408">
        <v>5</v>
      </c>
      <c r="DK1124" s="405">
        <v>1</v>
      </c>
      <c r="DL1124" s="82">
        <v>383.16</v>
      </c>
      <c r="DM1124" s="409">
        <v>1.9158000000000002</v>
      </c>
      <c r="DN1124" s="82" t="s">
        <v>85</v>
      </c>
      <c r="DO1124" s="82" t="s">
        <v>85</v>
      </c>
      <c r="DP1124" s="410" t="s">
        <v>85</v>
      </c>
    </row>
    <row r="1125" spans="1:120" x14ac:dyDescent="0.25">
      <c r="A1125" s="16" t="s">
        <v>3107</v>
      </c>
      <c r="B1125" s="16" t="s">
        <v>3108</v>
      </c>
      <c r="C1125" s="16" t="s">
        <v>3109</v>
      </c>
      <c r="D1125" s="16" t="s">
        <v>2933</v>
      </c>
      <c r="E1125" s="16" t="s">
        <v>3110</v>
      </c>
      <c r="F1125" s="16" t="s">
        <v>3111</v>
      </c>
      <c r="G1125" s="16" t="s">
        <v>3112</v>
      </c>
      <c r="H1125" s="16" t="s">
        <v>3111</v>
      </c>
      <c r="I1125" s="16" t="s">
        <v>1620</v>
      </c>
      <c r="J1125" s="16" t="s">
        <v>943</v>
      </c>
      <c r="K1125" s="16" t="s">
        <v>1621</v>
      </c>
      <c r="L1125" s="16" t="s">
        <v>85</v>
      </c>
      <c r="M1125" s="16" t="s">
        <v>984</v>
      </c>
      <c r="N1125" s="16" t="s">
        <v>914</v>
      </c>
      <c r="O1125" s="16" t="s">
        <v>985</v>
      </c>
      <c r="P1125" s="16" t="s">
        <v>914</v>
      </c>
      <c r="Q1125" s="16" t="s">
        <v>985</v>
      </c>
      <c r="R1125" s="16" t="s">
        <v>915</v>
      </c>
      <c r="S1125" s="16" t="s">
        <v>915</v>
      </c>
      <c r="T1125" s="16" t="s">
        <v>986</v>
      </c>
      <c r="U1125" s="16" t="s">
        <v>987</v>
      </c>
      <c r="V1125" s="16" t="s">
        <v>916</v>
      </c>
      <c r="W1125" s="16" t="s">
        <v>987</v>
      </c>
      <c r="X1125" s="16" t="s">
        <v>934</v>
      </c>
      <c r="Y1125" s="16" t="s">
        <v>934</v>
      </c>
      <c r="Z1125" s="16" t="s">
        <v>935</v>
      </c>
      <c r="DA1125" s="405" t="s">
        <v>5</v>
      </c>
      <c r="DB1125" s="405" t="s">
        <v>363</v>
      </c>
      <c r="DC1125" s="406" t="s">
        <v>85</v>
      </c>
      <c r="DD1125" s="405" t="s">
        <v>917</v>
      </c>
      <c r="DE1125" s="405" t="s">
        <v>5</v>
      </c>
      <c r="DF1125" s="406" t="s">
        <v>85</v>
      </c>
      <c r="DG1125" s="407">
        <v>45862</v>
      </c>
      <c r="DH1125" s="405" t="s">
        <v>3110</v>
      </c>
      <c r="DI1125" s="406">
        <v>465455</v>
      </c>
      <c r="DJ1125" s="408">
        <v>5</v>
      </c>
      <c r="DK1125" s="405">
        <v>1</v>
      </c>
      <c r="DL1125" s="82">
        <v>340.55</v>
      </c>
      <c r="DM1125" s="409">
        <v>1.70275</v>
      </c>
      <c r="DN1125" s="82" t="s">
        <v>85</v>
      </c>
      <c r="DO1125" s="82" t="s">
        <v>85</v>
      </c>
      <c r="DP1125" s="410" t="s">
        <v>85</v>
      </c>
    </row>
    <row r="1126" spans="1:120" x14ac:dyDescent="0.25">
      <c r="A1126" s="16" t="s">
        <v>3113</v>
      </c>
      <c r="B1126" s="16" t="s">
        <v>3114</v>
      </c>
      <c r="C1126" s="16" t="s">
        <v>3115</v>
      </c>
      <c r="D1126" s="16" t="s">
        <v>2933</v>
      </c>
      <c r="E1126" s="16" t="s">
        <v>3116</v>
      </c>
      <c r="F1126" s="16" t="s">
        <v>3117</v>
      </c>
      <c r="G1126" s="16" t="s">
        <v>3118</v>
      </c>
      <c r="H1126" s="16" t="s">
        <v>3119</v>
      </c>
      <c r="I1126" s="16" t="s">
        <v>1929</v>
      </c>
      <c r="J1126" s="16" t="s">
        <v>995</v>
      </c>
      <c r="K1126" s="16" t="s">
        <v>1930</v>
      </c>
      <c r="L1126" s="16" t="s">
        <v>85</v>
      </c>
      <c r="M1126" s="16" t="s">
        <v>1165</v>
      </c>
      <c r="N1126" s="16" t="s">
        <v>914</v>
      </c>
      <c r="O1126" s="16" t="s">
        <v>1166</v>
      </c>
      <c r="P1126" s="16" t="s">
        <v>914</v>
      </c>
      <c r="Q1126" s="16" t="s">
        <v>1166</v>
      </c>
      <c r="R1126" s="16" t="s">
        <v>915</v>
      </c>
      <c r="S1126" s="16" t="s">
        <v>915</v>
      </c>
      <c r="T1126" s="16" t="s">
        <v>1167</v>
      </c>
      <c r="U1126" s="16" t="s">
        <v>1168</v>
      </c>
      <c r="V1126" s="16" t="s">
        <v>916</v>
      </c>
      <c r="W1126" s="16" t="s">
        <v>1168</v>
      </c>
      <c r="X1126" s="16" t="s">
        <v>934</v>
      </c>
      <c r="Y1126" s="16" t="s">
        <v>934</v>
      </c>
      <c r="Z1126" s="16" t="s">
        <v>935</v>
      </c>
      <c r="DA1126" s="405" t="s">
        <v>5</v>
      </c>
      <c r="DB1126" s="405" t="s">
        <v>363</v>
      </c>
      <c r="DC1126" s="406" t="s">
        <v>85</v>
      </c>
      <c r="DD1126" s="405" t="s">
        <v>917</v>
      </c>
      <c r="DE1126" s="405" t="s">
        <v>5</v>
      </c>
      <c r="DF1126" s="406" t="s">
        <v>85</v>
      </c>
      <c r="DG1126" s="407">
        <v>45862</v>
      </c>
      <c r="DH1126" s="405" t="s">
        <v>3116</v>
      </c>
      <c r="DI1126" s="406">
        <v>465455</v>
      </c>
      <c r="DJ1126" s="408">
        <v>5</v>
      </c>
      <c r="DK1126" s="405">
        <v>1</v>
      </c>
      <c r="DL1126" s="82">
        <v>468.28</v>
      </c>
      <c r="DM1126" s="409">
        <v>2.3413999999999997</v>
      </c>
      <c r="DN1126" s="82" t="s">
        <v>85</v>
      </c>
      <c r="DO1126" s="82" t="s">
        <v>85</v>
      </c>
      <c r="DP1126" s="410" t="s">
        <v>85</v>
      </c>
    </row>
    <row r="1127" spans="1:120" x14ac:dyDescent="0.25">
      <c r="A1127" s="16" t="s">
        <v>3120</v>
      </c>
      <c r="B1127" s="16" t="s">
        <v>3121</v>
      </c>
      <c r="C1127" s="16" t="s">
        <v>3122</v>
      </c>
      <c r="D1127" s="16" t="s">
        <v>2933</v>
      </c>
      <c r="E1127" s="16" t="s">
        <v>3123</v>
      </c>
      <c r="F1127" s="16" t="s">
        <v>3124</v>
      </c>
      <c r="G1127" s="16" t="s">
        <v>3125</v>
      </c>
      <c r="H1127" s="16" t="s">
        <v>3126</v>
      </c>
      <c r="I1127" s="16" t="s">
        <v>1377</v>
      </c>
      <c r="J1127" s="16" t="s">
        <v>943</v>
      </c>
      <c r="K1127" s="16" t="s">
        <v>1378</v>
      </c>
      <c r="L1127" s="16" t="s">
        <v>85</v>
      </c>
      <c r="M1127" s="16" t="s">
        <v>984</v>
      </c>
      <c r="N1127" s="16" t="s">
        <v>914</v>
      </c>
      <c r="O1127" s="16" t="s">
        <v>985</v>
      </c>
      <c r="P1127" s="16" t="s">
        <v>914</v>
      </c>
      <c r="Q1127" s="16" t="s">
        <v>985</v>
      </c>
      <c r="R1127" s="16" t="s">
        <v>915</v>
      </c>
      <c r="S1127" s="16" t="s">
        <v>915</v>
      </c>
      <c r="T1127" s="16" t="s">
        <v>986</v>
      </c>
      <c r="U1127" s="16" t="s">
        <v>987</v>
      </c>
      <c r="V1127" s="16" t="s">
        <v>916</v>
      </c>
      <c r="W1127" s="16" t="s">
        <v>987</v>
      </c>
      <c r="X1127" s="16" t="s">
        <v>934</v>
      </c>
      <c r="Y1127" s="16" t="s">
        <v>934</v>
      </c>
      <c r="Z1127" s="16" t="s">
        <v>935</v>
      </c>
      <c r="DA1127" s="405" t="s">
        <v>5</v>
      </c>
      <c r="DB1127" s="405" t="s">
        <v>363</v>
      </c>
      <c r="DC1127" s="406" t="s">
        <v>85</v>
      </c>
      <c r="DD1127" s="405" t="s">
        <v>917</v>
      </c>
      <c r="DE1127" s="405" t="s">
        <v>5</v>
      </c>
      <c r="DF1127" s="406" t="s">
        <v>85</v>
      </c>
      <c r="DG1127" s="407">
        <v>45862</v>
      </c>
      <c r="DH1127" s="405" t="s">
        <v>3123</v>
      </c>
      <c r="DI1127" s="406">
        <v>465455</v>
      </c>
      <c r="DJ1127" s="408">
        <v>5</v>
      </c>
      <c r="DK1127" s="405">
        <v>1</v>
      </c>
      <c r="DL1127" s="82">
        <v>340.55</v>
      </c>
      <c r="DM1127" s="409">
        <v>1.70275</v>
      </c>
      <c r="DN1127" s="82" t="s">
        <v>85</v>
      </c>
      <c r="DO1127" s="82" t="s">
        <v>85</v>
      </c>
      <c r="DP1127" s="410" t="s">
        <v>85</v>
      </c>
    </row>
    <row r="1128" spans="1:120" x14ac:dyDescent="0.25">
      <c r="A1128" s="16" t="s">
        <v>3127</v>
      </c>
      <c r="B1128" s="16" t="s">
        <v>3128</v>
      </c>
      <c r="C1128" s="16" t="s">
        <v>3129</v>
      </c>
      <c r="D1128" s="16" t="s">
        <v>2933</v>
      </c>
      <c r="E1128" s="16" t="s">
        <v>3130</v>
      </c>
      <c r="F1128" s="16" t="s">
        <v>3131</v>
      </c>
      <c r="G1128" s="16" t="s">
        <v>3132</v>
      </c>
      <c r="H1128" s="16" t="s">
        <v>3133</v>
      </c>
      <c r="I1128" s="16" t="s">
        <v>3134</v>
      </c>
      <c r="J1128" s="16" t="s">
        <v>3135</v>
      </c>
      <c r="K1128" s="16" t="s">
        <v>3136</v>
      </c>
      <c r="L1128" s="16" t="s">
        <v>85</v>
      </c>
      <c r="M1128" s="16" t="s">
        <v>945</v>
      </c>
      <c r="N1128" s="16" t="s">
        <v>914</v>
      </c>
      <c r="O1128" s="16" t="s">
        <v>946</v>
      </c>
      <c r="P1128" s="16" t="s">
        <v>914</v>
      </c>
      <c r="Q1128" s="16" t="s">
        <v>946</v>
      </c>
      <c r="R1128" s="16" t="s">
        <v>915</v>
      </c>
      <c r="S1128" s="16" t="s">
        <v>915</v>
      </c>
      <c r="T1128" s="16" t="s">
        <v>945</v>
      </c>
      <c r="U1128" s="16" t="s">
        <v>947</v>
      </c>
      <c r="V1128" s="16" t="s">
        <v>916</v>
      </c>
      <c r="W1128" s="16" t="s">
        <v>947</v>
      </c>
      <c r="X1128" s="16" t="s">
        <v>934</v>
      </c>
      <c r="Y1128" s="16" t="s">
        <v>934</v>
      </c>
      <c r="Z1128" s="16" t="s">
        <v>935</v>
      </c>
      <c r="DA1128" s="405" t="s">
        <v>5</v>
      </c>
      <c r="DB1128" s="405" t="s">
        <v>363</v>
      </c>
      <c r="DC1128" s="406" t="s">
        <v>85</v>
      </c>
      <c r="DD1128" s="405" t="s">
        <v>917</v>
      </c>
      <c r="DE1128" s="405" t="s">
        <v>5</v>
      </c>
      <c r="DF1128" s="406" t="s">
        <v>85</v>
      </c>
      <c r="DG1128" s="407">
        <v>45862</v>
      </c>
      <c r="DH1128" s="405" t="s">
        <v>3130</v>
      </c>
      <c r="DI1128" s="406">
        <v>465455</v>
      </c>
      <c r="DJ1128" s="408">
        <v>5</v>
      </c>
      <c r="DK1128" s="405">
        <v>1</v>
      </c>
      <c r="DL1128" s="82">
        <v>319.27</v>
      </c>
      <c r="DM1128" s="409">
        <v>1.5963499999999999</v>
      </c>
      <c r="DN1128" s="82" t="s">
        <v>85</v>
      </c>
      <c r="DO1128" s="82" t="s">
        <v>85</v>
      </c>
      <c r="DP1128" s="410" t="s">
        <v>85</v>
      </c>
    </row>
    <row r="1129" spans="1:120" x14ac:dyDescent="0.25">
      <c r="A1129" s="16" t="s">
        <v>3137</v>
      </c>
      <c r="B1129" s="16" t="s">
        <v>3138</v>
      </c>
      <c r="C1129" s="16" t="s">
        <v>3139</v>
      </c>
      <c r="D1129" s="16" t="s">
        <v>2933</v>
      </c>
      <c r="E1129" s="16" t="s">
        <v>3140</v>
      </c>
      <c r="F1129" s="16" t="s">
        <v>3141</v>
      </c>
      <c r="G1129" s="16" t="s">
        <v>3142</v>
      </c>
      <c r="H1129" s="16" t="s">
        <v>3143</v>
      </c>
      <c r="I1129" s="16" t="s">
        <v>1236</v>
      </c>
      <c r="J1129" s="16" t="s">
        <v>1123</v>
      </c>
      <c r="K1129" s="16" t="s">
        <v>1237</v>
      </c>
      <c r="L1129" s="16" t="s">
        <v>85</v>
      </c>
      <c r="M1129" s="16" t="s">
        <v>1238</v>
      </c>
      <c r="N1129" s="16" t="s">
        <v>914</v>
      </c>
      <c r="O1129" s="16" t="s">
        <v>1239</v>
      </c>
      <c r="P1129" s="16" t="s">
        <v>914</v>
      </c>
      <c r="Q1129" s="16" t="s">
        <v>1239</v>
      </c>
      <c r="R1129" s="16" t="s">
        <v>915</v>
      </c>
      <c r="S1129" s="16" t="s">
        <v>915</v>
      </c>
      <c r="T1129" s="16" t="s">
        <v>1238</v>
      </c>
      <c r="U1129" s="16" t="s">
        <v>1240</v>
      </c>
      <c r="V1129" s="16" t="s">
        <v>916</v>
      </c>
      <c r="W1129" s="16" t="s">
        <v>1240</v>
      </c>
      <c r="X1129" s="16" t="s">
        <v>934</v>
      </c>
      <c r="Y1129" s="16" t="s">
        <v>934</v>
      </c>
      <c r="Z1129" s="16" t="s">
        <v>935</v>
      </c>
      <c r="DA1129" s="405" t="s">
        <v>5</v>
      </c>
      <c r="DB1129" s="405" t="s">
        <v>363</v>
      </c>
      <c r="DC1129" s="406" t="s">
        <v>85</v>
      </c>
      <c r="DD1129" s="405" t="s">
        <v>917</v>
      </c>
      <c r="DE1129" s="405" t="s">
        <v>5</v>
      </c>
      <c r="DF1129" s="406" t="s">
        <v>85</v>
      </c>
      <c r="DG1129" s="407">
        <v>45862</v>
      </c>
      <c r="DH1129" s="405" t="s">
        <v>3140</v>
      </c>
      <c r="DI1129" s="406">
        <v>465455</v>
      </c>
      <c r="DJ1129" s="408">
        <v>5</v>
      </c>
      <c r="DK1129" s="405">
        <v>1</v>
      </c>
      <c r="DL1129" s="82">
        <v>383.16</v>
      </c>
      <c r="DM1129" s="409">
        <v>1.9158000000000002</v>
      </c>
      <c r="DN1129" s="82" t="s">
        <v>85</v>
      </c>
      <c r="DO1129" s="82" t="s">
        <v>85</v>
      </c>
      <c r="DP1129" s="410" t="s">
        <v>85</v>
      </c>
    </row>
    <row r="1130" spans="1:120" x14ac:dyDescent="0.25">
      <c r="A1130" s="16" t="s">
        <v>3144</v>
      </c>
      <c r="B1130" s="16" t="s">
        <v>3145</v>
      </c>
      <c r="C1130" s="16" t="s">
        <v>3146</v>
      </c>
      <c r="D1130" s="16" t="s">
        <v>2933</v>
      </c>
      <c r="E1130" s="16" t="s">
        <v>3147</v>
      </c>
      <c r="F1130" s="16" t="s">
        <v>3148</v>
      </c>
      <c r="G1130" s="16" t="s">
        <v>3149</v>
      </c>
      <c r="H1130" s="16" t="s">
        <v>3150</v>
      </c>
      <c r="I1130" s="16" t="s">
        <v>1638</v>
      </c>
      <c r="J1130" s="16" t="s">
        <v>943</v>
      </c>
      <c r="K1130" s="16" t="s">
        <v>1639</v>
      </c>
      <c r="L1130" s="16" t="s">
        <v>85</v>
      </c>
      <c r="M1130" s="16" t="s">
        <v>984</v>
      </c>
      <c r="N1130" s="16" t="s">
        <v>914</v>
      </c>
      <c r="O1130" s="16" t="s">
        <v>985</v>
      </c>
      <c r="P1130" s="16" t="s">
        <v>914</v>
      </c>
      <c r="Q1130" s="16" t="s">
        <v>985</v>
      </c>
      <c r="R1130" s="16" t="s">
        <v>915</v>
      </c>
      <c r="S1130" s="16" t="s">
        <v>915</v>
      </c>
      <c r="T1130" s="16" t="s">
        <v>986</v>
      </c>
      <c r="U1130" s="16" t="s">
        <v>987</v>
      </c>
      <c r="V1130" s="16" t="s">
        <v>916</v>
      </c>
      <c r="W1130" s="16" t="s">
        <v>987</v>
      </c>
      <c r="X1130" s="16" t="s">
        <v>934</v>
      </c>
      <c r="Y1130" s="16" t="s">
        <v>934</v>
      </c>
      <c r="Z1130" s="16" t="s">
        <v>935</v>
      </c>
      <c r="DA1130" s="405" t="s">
        <v>5</v>
      </c>
      <c r="DB1130" s="405" t="s">
        <v>363</v>
      </c>
      <c r="DC1130" s="406" t="s">
        <v>85</v>
      </c>
      <c r="DD1130" s="405" t="s">
        <v>917</v>
      </c>
      <c r="DE1130" s="405" t="s">
        <v>5</v>
      </c>
      <c r="DF1130" s="406" t="s">
        <v>85</v>
      </c>
      <c r="DG1130" s="407">
        <v>45862</v>
      </c>
      <c r="DH1130" s="405" t="s">
        <v>3147</v>
      </c>
      <c r="DI1130" s="406">
        <v>465455</v>
      </c>
      <c r="DJ1130" s="408">
        <v>5</v>
      </c>
      <c r="DK1130" s="405">
        <v>1</v>
      </c>
      <c r="DL1130" s="82">
        <v>340.55</v>
      </c>
      <c r="DM1130" s="409">
        <v>1.70275</v>
      </c>
      <c r="DN1130" s="82" t="s">
        <v>85</v>
      </c>
      <c r="DO1130" s="82" t="s">
        <v>85</v>
      </c>
      <c r="DP1130" s="410" t="s">
        <v>85</v>
      </c>
    </row>
    <row r="1131" spans="1:120" x14ac:dyDescent="0.25">
      <c r="A1131" s="16" t="s">
        <v>3151</v>
      </c>
      <c r="B1131" s="16" t="s">
        <v>3152</v>
      </c>
      <c r="C1131" s="16" t="s">
        <v>3153</v>
      </c>
      <c r="D1131" s="16" t="s">
        <v>2933</v>
      </c>
      <c r="E1131" s="16" t="s">
        <v>3154</v>
      </c>
      <c r="F1131" s="16" t="s">
        <v>3155</v>
      </c>
      <c r="G1131" s="16" t="s">
        <v>3156</v>
      </c>
      <c r="H1131" s="16" t="s">
        <v>3155</v>
      </c>
      <c r="I1131" s="16" t="s">
        <v>2012</v>
      </c>
      <c r="J1131" s="16" t="s">
        <v>1036</v>
      </c>
      <c r="K1131" s="16" t="s">
        <v>2013</v>
      </c>
      <c r="L1131" s="16" t="s">
        <v>85</v>
      </c>
      <c r="M1131" s="16" t="s">
        <v>1216</v>
      </c>
      <c r="N1131" s="16" t="s">
        <v>914</v>
      </c>
      <c r="O1131" s="16" t="s">
        <v>946</v>
      </c>
      <c r="P1131" s="16" t="s">
        <v>914</v>
      </c>
      <c r="Q1131" s="16" t="s">
        <v>946</v>
      </c>
      <c r="R1131" s="16" t="s">
        <v>915</v>
      </c>
      <c r="S1131" s="16" t="s">
        <v>915</v>
      </c>
      <c r="T1131" s="16" t="s">
        <v>1216</v>
      </c>
      <c r="U1131" s="16" t="s">
        <v>1217</v>
      </c>
      <c r="V1131" s="16" t="s">
        <v>916</v>
      </c>
      <c r="W1131" s="16" t="s">
        <v>1217</v>
      </c>
      <c r="X1131" s="16" t="s">
        <v>934</v>
      </c>
      <c r="Y1131" s="16" t="s">
        <v>934</v>
      </c>
      <c r="Z1131" s="16" t="s">
        <v>935</v>
      </c>
      <c r="DA1131" s="405" t="s">
        <v>5</v>
      </c>
      <c r="DB1131" s="405" t="s">
        <v>363</v>
      </c>
      <c r="DC1131" s="406" t="s">
        <v>85</v>
      </c>
      <c r="DD1131" s="405" t="s">
        <v>917</v>
      </c>
      <c r="DE1131" s="405" t="s">
        <v>5</v>
      </c>
      <c r="DF1131" s="406" t="s">
        <v>85</v>
      </c>
      <c r="DG1131" s="407">
        <v>45862</v>
      </c>
      <c r="DH1131" s="405" t="s">
        <v>3154</v>
      </c>
      <c r="DI1131" s="406">
        <v>465455</v>
      </c>
      <c r="DJ1131" s="408">
        <v>5</v>
      </c>
      <c r="DK1131" s="405">
        <v>1</v>
      </c>
      <c r="DL1131" s="82">
        <v>319.22000000000003</v>
      </c>
      <c r="DM1131" s="409">
        <v>1.5961000000000001</v>
      </c>
      <c r="DN1131" s="82" t="s">
        <v>85</v>
      </c>
      <c r="DO1131" s="82" t="s">
        <v>85</v>
      </c>
      <c r="DP1131" s="410" t="s">
        <v>85</v>
      </c>
    </row>
    <row r="1132" spans="1:120" x14ac:dyDescent="0.25">
      <c r="A1132" s="16" t="s">
        <v>3151</v>
      </c>
      <c r="B1132" s="16" t="s">
        <v>3152</v>
      </c>
      <c r="C1132" s="16" t="s">
        <v>3153</v>
      </c>
      <c r="D1132" s="16" t="s">
        <v>2933</v>
      </c>
      <c r="E1132" s="16" t="s">
        <v>3154</v>
      </c>
      <c r="F1132" s="16" t="s">
        <v>3155</v>
      </c>
      <c r="G1132" s="16" t="s">
        <v>3156</v>
      </c>
      <c r="H1132" s="16" t="s">
        <v>3155</v>
      </c>
      <c r="I1132" s="16" t="s">
        <v>1218</v>
      </c>
      <c r="J1132" s="16" t="s">
        <v>1036</v>
      </c>
      <c r="K1132" s="16" t="s">
        <v>1219</v>
      </c>
      <c r="L1132" s="16" t="s">
        <v>85</v>
      </c>
      <c r="M1132" s="16" t="s">
        <v>1216</v>
      </c>
      <c r="N1132" s="16" t="s">
        <v>914</v>
      </c>
      <c r="O1132" s="16" t="s">
        <v>946</v>
      </c>
      <c r="P1132" s="16" t="s">
        <v>914</v>
      </c>
      <c r="Q1132" s="16" t="s">
        <v>946</v>
      </c>
      <c r="R1132" s="16" t="s">
        <v>915</v>
      </c>
      <c r="S1132" s="16" t="s">
        <v>915</v>
      </c>
      <c r="T1132" s="16" t="s">
        <v>1216</v>
      </c>
      <c r="U1132" s="16" t="s">
        <v>1217</v>
      </c>
      <c r="V1132" s="16" t="s">
        <v>916</v>
      </c>
      <c r="W1132" s="16" t="s">
        <v>1217</v>
      </c>
      <c r="X1132" s="16" t="s">
        <v>934</v>
      </c>
      <c r="Y1132" s="16" t="s">
        <v>934</v>
      </c>
      <c r="Z1132" s="16" t="s">
        <v>935</v>
      </c>
      <c r="DA1132" s="405" t="s">
        <v>5</v>
      </c>
      <c r="DB1132" s="405" t="s">
        <v>363</v>
      </c>
      <c r="DC1132" s="406" t="s">
        <v>85</v>
      </c>
      <c r="DD1132" s="405" t="s">
        <v>917</v>
      </c>
      <c r="DE1132" s="405" t="s">
        <v>5</v>
      </c>
      <c r="DF1132" s="406" t="s">
        <v>85</v>
      </c>
      <c r="DG1132" s="407">
        <v>45862</v>
      </c>
      <c r="DH1132" s="405" t="s">
        <v>3154</v>
      </c>
      <c r="DI1132" s="406">
        <v>465455</v>
      </c>
      <c r="DJ1132" s="408">
        <v>5</v>
      </c>
      <c r="DK1132" s="405">
        <v>1</v>
      </c>
      <c r="DL1132" s="82">
        <v>319.22000000000003</v>
      </c>
      <c r="DM1132" s="409">
        <v>1.5961000000000001</v>
      </c>
      <c r="DN1132" s="82" t="s">
        <v>85</v>
      </c>
      <c r="DO1132" s="82" t="s">
        <v>85</v>
      </c>
      <c r="DP1132" s="410" t="s">
        <v>85</v>
      </c>
    </row>
    <row r="1133" spans="1:120" x14ac:dyDescent="0.25">
      <c r="A1133" s="16" t="s">
        <v>3157</v>
      </c>
      <c r="B1133" s="16" t="s">
        <v>3158</v>
      </c>
      <c r="C1133" s="16" t="s">
        <v>3159</v>
      </c>
      <c r="D1133" s="16" t="s">
        <v>2933</v>
      </c>
      <c r="E1133" s="16" t="s">
        <v>3160</v>
      </c>
      <c r="F1133" s="16" t="s">
        <v>3161</v>
      </c>
      <c r="G1133" s="16" t="s">
        <v>3162</v>
      </c>
      <c r="H1133" s="16" t="s">
        <v>3163</v>
      </c>
      <c r="I1133" s="16" t="s">
        <v>3164</v>
      </c>
      <c r="J1133" s="16" t="s">
        <v>995</v>
      </c>
      <c r="K1133" s="16" t="s">
        <v>3165</v>
      </c>
      <c r="L1133" s="16" t="s">
        <v>85</v>
      </c>
      <c r="M1133" s="16" t="s">
        <v>1165</v>
      </c>
      <c r="N1133" s="16" t="s">
        <v>914</v>
      </c>
      <c r="O1133" s="16" t="s">
        <v>1166</v>
      </c>
      <c r="P1133" s="16" t="s">
        <v>914</v>
      </c>
      <c r="Q1133" s="16" t="s">
        <v>1166</v>
      </c>
      <c r="R1133" s="16" t="s">
        <v>915</v>
      </c>
      <c r="S1133" s="16" t="s">
        <v>915</v>
      </c>
      <c r="T1133" s="16" t="s">
        <v>1167</v>
      </c>
      <c r="U1133" s="16" t="s">
        <v>1168</v>
      </c>
      <c r="V1133" s="16" t="s">
        <v>916</v>
      </c>
      <c r="W1133" s="16" t="s">
        <v>1168</v>
      </c>
      <c r="X1133" s="16" t="s">
        <v>934</v>
      </c>
      <c r="Y1133" s="16" t="s">
        <v>934</v>
      </c>
      <c r="Z1133" s="16" t="s">
        <v>935</v>
      </c>
      <c r="DA1133" s="405" t="s">
        <v>5</v>
      </c>
      <c r="DB1133" s="405" t="s">
        <v>363</v>
      </c>
      <c r="DC1133" s="406" t="s">
        <v>85</v>
      </c>
      <c r="DD1133" s="405" t="s">
        <v>917</v>
      </c>
      <c r="DE1133" s="405" t="s">
        <v>5</v>
      </c>
      <c r="DF1133" s="406" t="s">
        <v>85</v>
      </c>
      <c r="DG1133" s="407">
        <v>45862</v>
      </c>
      <c r="DH1133" s="405" t="s">
        <v>3160</v>
      </c>
      <c r="DI1133" s="406">
        <v>465455</v>
      </c>
      <c r="DJ1133" s="408">
        <v>5</v>
      </c>
      <c r="DK1133" s="405">
        <v>1</v>
      </c>
      <c r="DL1133" s="82">
        <v>468.28</v>
      </c>
      <c r="DM1133" s="409">
        <v>2.3413999999999997</v>
      </c>
      <c r="DN1133" s="82" t="s">
        <v>85</v>
      </c>
      <c r="DO1133" s="82" t="s">
        <v>85</v>
      </c>
      <c r="DP1133" s="410" t="s">
        <v>85</v>
      </c>
    </row>
    <row r="1134" spans="1:120" x14ac:dyDescent="0.25">
      <c r="A1134" s="16" t="s">
        <v>3166</v>
      </c>
      <c r="B1134" s="16" t="s">
        <v>3167</v>
      </c>
      <c r="C1134" s="16" t="s">
        <v>3168</v>
      </c>
      <c r="D1134" s="16" t="s">
        <v>2933</v>
      </c>
      <c r="E1134" s="16" t="s">
        <v>3169</v>
      </c>
      <c r="F1134" s="16" t="s">
        <v>3170</v>
      </c>
      <c r="G1134" s="16" t="s">
        <v>3171</v>
      </c>
      <c r="H1134" s="16" t="s">
        <v>3170</v>
      </c>
      <c r="I1134" s="16" t="s">
        <v>2232</v>
      </c>
      <c r="J1134" s="16" t="s">
        <v>1123</v>
      </c>
      <c r="K1134" s="16" t="s">
        <v>2233</v>
      </c>
      <c r="L1134" s="16" t="s">
        <v>85</v>
      </c>
      <c r="M1134" s="16" t="s">
        <v>1238</v>
      </c>
      <c r="N1134" s="16" t="s">
        <v>914</v>
      </c>
      <c r="O1134" s="16" t="s">
        <v>1239</v>
      </c>
      <c r="P1134" s="16" t="s">
        <v>914</v>
      </c>
      <c r="Q1134" s="16" t="s">
        <v>1239</v>
      </c>
      <c r="R1134" s="16" t="s">
        <v>915</v>
      </c>
      <c r="S1134" s="16" t="s">
        <v>915</v>
      </c>
      <c r="T1134" s="16" t="s">
        <v>1238</v>
      </c>
      <c r="U1134" s="16" t="s">
        <v>1240</v>
      </c>
      <c r="V1134" s="16" t="s">
        <v>916</v>
      </c>
      <c r="W1134" s="16" t="s">
        <v>1240</v>
      </c>
      <c r="X1134" s="16" t="s">
        <v>934</v>
      </c>
      <c r="Y1134" s="16" t="s">
        <v>934</v>
      </c>
      <c r="Z1134" s="16" t="s">
        <v>935</v>
      </c>
      <c r="DA1134" s="405" t="s">
        <v>5</v>
      </c>
      <c r="DB1134" s="405" t="s">
        <v>363</v>
      </c>
      <c r="DC1134" s="406" t="s">
        <v>85</v>
      </c>
      <c r="DD1134" s="405" t="s">
        <v>917</v>
      </c>
      <c r="DE1134" s="405" t="s">
        <v>5</v>
      </c>
      <c r="DF1134" s="406" t="s">
        <v>85</v>
      </c>
      <c r="DG1134" s="407">
        <v>45862</v>
      </c>
      <c r="DH1134" s="405" t="s">
        <v>3169</v>
      </c>
      <c r="DI1134" s="406">
        <v>465455</v>
      </c>
      <c r="DJ1134" s="408">
        <v>5</v>
      </c>
      <c r="DK1134" s="405">
        <v>1</v>
      </c>
      <c r="DL1134" s="82">
        <v>383.16</v>
      </c>
      <c r="DM1134" s="409">
        <v>1.9158000000000002</v>
      </c>
      <c r="DN1134" s="82" t="s">
        <v>85</v>
      </c>
      <c r="DO1134" s="82" t="s">
        <v>85</v>
      </c>
      <c r="DP1134" s="410" t="s">
        <v>85</v>
      </c>
    </row>
    <row r="1135" spans="1:120" x14ac:dyDescent="0.25">
      <c r="A1135" s="16" t="s">
        <v>3172</v>
      </c>
      <c r="B1135" s="16" t="s">
        <v>3173</v>
      </c>
      <c r="C1135" s="16" t="s">
        <v>3174</v>
      </c>
      <c r="D1135" s="16" t="s">
        <v>2933</v>
      </c>
      <c r="E1135" s="16" t="s">
        <v>3175</v>
      </c>
      <c r="F1135" s="16" t="s">
        <v>3176</v>
      </c>
      <c r="G1135" s="16" t="s">
        <v>3177</v>
      </c>
      <c r="H1135" s="16" t="s">
        <v>3178</v>
      </c>
      <c r="I1135" s="16" t="s">
        <v>3179</v>
      </c>
      <c r="J1135" s="16" t="s">
        <v>1123</v>
      </c>
      <c r="K1135" s="16" t="s">
        <v>3180</v>
      </c>
      <c r="L1135" s="16" t="s">
        <v>85</v>
      </c>
      <c r="M1135" s="16" t="s">
        <v>1238</v>
      </c>
      <c r="N1135" s="16" t="s">
        <v>914</v>
      </c>
      <c r="O1135" s="16" t="s">
        <v>1239</v>
      </c>
      <c r="P1135" s="16" t="s">
        <v>914</v>
      </c>
      <c r="Q1135" s="16" t="s">
        <v>1239</v>
      </c>
      <c r="R1135" s="16" t="s">
        <v>915</v>
      </c>
      <c r="S1135" s="16" t="s">
        <v>915</v>
      </c>
      <c r="T1135" s="16" t="s">
        <v>1238</v>
      </c>
      <c r="U1135" s="16" t="s">
        <v>1240</v>
      </c>
      <c r="V1135" s="16" t="s">
        <v>916</v>
      </c>
      <c r="W1135" s="16" t="s">
        <v>1240</v>
      </c>
      <c r="X1135" s="16" t="s">
        <v>934</v>
      </c>
      <c r="Y1135" s="16" t="s">
        <v>934</v>
      </c>
      <c r="Z1135" s="16" t="s">
        <v>935</v>
      </c>
      <c r="DA1135" s="405" t="s">
        <v>5</v>
      </c>
      <c r="DB1135" s="405" t="s">
        <v>363</v>
      </c>
      <c r="DC1135" s="406" t="s">
        <v>85</v>
      </c>
      <c r="DD1135" s="405" t="s">
        <v>917</v>
      </c>
      <c r="DE1135" s="405" t="s">
        <v>5</v>
      </c>
      <c r="DF1135" s="406" t="s">
        <v>85</v>
      </c>
      <c r="DG1135" s="407">
        <v>45862</v>
      </c>
      <c r="DH1135" s="405" t="s">
        <v>3175</v>
      </c>
      <c r="DI1135" s="406">
        <v>465455</v>
      </c>
      <c r="DJ1135" s="408">
        <v>5</v>
      </c>
      <c r="DK1135" s="405">
        <v>1</v>
      </c>
      <c r="DL1135" s="82">
        <v>383.16</v>
      </c>
      <c r="DM1135" s="409">
        <v>1.9158000000000002</v>
      </c>
      <c r="DN1135" s="82" t="s">
        <v>85</v>
      </c>
      <c r="DO1135" s="82" t="s">
        <v>85</v>
      </c>
      <c r="DP1135" s="410" t="s">
        <v>85</v>
      </c>
    </row>
    <row r="1136" spans="1:120" x14ac:dyDescent="0.25">
      <c r="A1136" s="16" t="s">
        <v>3181</v>
      </c>
      <c r="B1136" s="16" t="s">
        <v>3182</v>
      </c>
      <c r="C1136" s="16" t="s">
        <v>3183</v>
      </c>
      <c r="D1136" s="16" t="s">
        <v>2933</v>
      </c>
      <c r="E1136" s="16" t="s">
        <v>3184</v>
      </c>
      <c r="F1136" s="16" t="s">
        <v>3185</v>
      </c>
      <c r="G1136" s="16" t="s">
        <v>3186</v>
      </c>
      <c r="H1136" s="16" t="s">
        <v>3187</v>
      </c>
      <c r="I1136" s="16" t="s">
        <v>2750</v>
      </c>
      <c r="J1136" s="16" t="s">
        <v>995</v>
      </c>
      <c r="K1136" s="16" t="s">
        <v>2751</v>
      </c>
      <c r="L1136" s="16" t="s">
        <v>85</v>
      </c>
      <c r="M1136" s="16" t="s">
        <v>1165</v>
      </c>
      <c r="N1136" s="16" t="s">
        <v>914</v>
      </c>
      <c r="O1136" s="16" t="s">
        <v>1166</v>
      </c>
      <c r="P1136" s="16" t="s">
        <v>914</v>
      </c>
      <c r="Q1136" s="16" t="s">
        <v>1166</v>
      </c>
      <c r="R1136" s="16" t="s">
        <v>915</v>
      </c>
      <c r="S1136" s="16" t="s">
        <v>915</v>
      </c>
      <c r="T1136" s="16" t="s">
        <v>1167</v>
      </c>
      <c r="U1136" s="16" t="s">
        <v>1168</v>
      </c>
      <c r="V1136" s="16" t="s">
        <v>916</v>
      </c>
      <c r="W1136" s="16" t="s">
        <v>1168</v>
      </c>
      <c r="X1136" s="16" t="s">
        <v>934</v>
      </c>
      <c r="Y1136" s="16" t="s">
        <v>934</v>
      </c>
      <c r="Z1136" s="16" t="s">
        <v>935</v>
      </c>
      <c r="DA1136" s="405" t="s">
        <v>5</v>
      </c>
      <c r="DB1136" s="405" t="s">
        <v>363</v>
      </c>
      <c r="DC1136" s="406" t="s">
        <v>85</v>
      </c>
      <c r="DD1136" s="405" t="s">
        <v>917</v>
      </c>
      <c r="DE1136" s="405" t="s">
        <v>5</v>
      </c>
      <c r="DF1136" s="406" t="s">
        <v>85</v>
      </c>
      <c r="DG1136" s="407">
        <v>45862</v>
      </c>
      <c r="DH1136" s="405" t="s">
        <v>3184</v>
      </c>
      <c r="DI1136" s="406">
        <v>465455</v>
      </c>
      <c r="DJ1136" s="408">
        <v>5</v>
      </c>
      <c r="DK1136" s="405">
        <v>1</v>
      </c>
      <c r="DL1136" s="82">
        <v>468.28</v>
      </c>
      <c r="DM1136" s="409">
        <v>2.3413999999999997</v>
      </c>
      <c r="DN1136" s="82" t="s">
        <v>85</v>
      </c>
      <c r="DO1136" s="82" t="s">
        <v>85</v>
      </c>
      <c r="DP1136" s="410" t="s">
        <v>85</v>
      </c>
    </row>
    <row r="1137" spans="1:120" x14ac:dyDescent="0.25">
      <c r="A1137" s="16" t="s">
        <v>3188</v>
      </c>
      <c r="B1137" s="16" t="s">
        <v>3189</v>
      </c>
      <c r="C1137" s="16" t="s">
        <v>3190</v>
      </c>
      <c r="D1137" s="16" t="s">
        <v>2933</v>
      </c>
      <c r="E1137" s="16" t="s">
        <v>3191</v>
      </c>
      <c r="F1137" s="16" t="s">
        <v>3192</v>
      </c>
      <c r="G1137" s="16" t="s">
        <v>3193</v>
      </c>
      <c r="H1137" s="16" t="s">
        <v>3194</v>
      </c>
      <c r="I1137" s="16" t="s">
        <v>2271</v>
      </c>
      <c r="J1137" s="16" t="s">
        <v>995</v>
      </c>
      <c r="K1137" s="16" t="s">
        <v>2272</v>
      </c>
      <c r="L1137" s="16" t="s">
        <v>85</v>
      </c>
      <c r="M1137" s="16" t="s">
        <v>1165</v>
      </c>
      <c r="N1137" s="16" t="s">
        <v>914</v>
      </c>
      <c r="O1137" s="16" t="s">
        <v>1166</v>
      </c>
      <c r="P1137" s="16" t="s">
        <v>914</v>
      </c>
      <c r="Q1137" s="16" t="s">
        <v>1166</v>
      </c>
      <c r="R1137" s="16" t="s">
        <v>915</v>
      </c>
      <c r="S1137" s="16" t="s">
        <v>915</v>
      </c>
      <c r="T1137" s="16" t="s">
        <v>1167</v>
      </c>
      <c r="U1137" s="16" t="s">
        <v>1168</v>
      </c>
      <c r="V1137" s="16" t="s">
        <v>916</v>
      </c>
      <c r="W1137" s="16" t="s">
        <v>1168</v>
      </c>
      <c r="X1137" s="16" t="s">
        <v>934</v>
      </c>
      <c r="Y1137" s="16" t="s">
        <v>934</v>
      </c>
      <c r="Z1137" s="16" t="s">
        <v>935</v>
      </c>
      <c r="DA1137" s="405" t="s">
        <v>5</v>
      </c>
      <c r="DB1137" s="405" t="s">
        <v>363</v>
      </c>
      <c r="DC1137" s="406" t="s">
        <v>85</v>
      </c>
      <c r="DD1137" s="405" t="s">
        <v>917</v>
      </c>
      <c r="DE1137" s="405" t="s">
        <v>5</v>
      </c>
      <c r="DF1137" s="406" t="s">
        <v>85</v>
      </c>
      <c r="DG1137" s="407">
        <v>45862</v>
      </c>
      <c r="DH1137" s="405" t="s">
        <v>3191</v>
      </c>
      <c r="DI1137" s="406">
        <v>465455</v>
      </c>
      <c r="DJ1137" s="408">
        <v>5</v>
      </c>
      <c r="DK1137" s="405">
        <v>1</v>
      </c>
      <c r="DL1137" s="82">
        <v>468.28</v>
      </c>
      <c r="DM1137" s="409">
        <v>2.3413999999999997</v>
      </c>
      <c r="DN1137" s="82" t="s">
        <v>85</v>
      </c>
      <c r="DO1137" s="82" t="s">
        <v>85</v>
      </c>
      <c r="DP1137" s="410" t="s">
        <v>85</v>
      </c>
    </row>
    <row r="1138" spans="1:120" x14ac:dyDescent="0.25">
      <c r="A1138" s="16" t="s">
        <v>3195</v>
      </c>
      <c r="B1138" s="16" t="s">
        <v>3196</v>
      </c>
      <c r="C1138" s="16" t="s">
        <v>3197</v>
      </c>
      <c r="D1138" s="16" t="s">
        <v>2933</v>
      </c>
      <c r="E1138" s="16" t="s">
        <v>3198</v>
      </c>
      <c r="F1138" s="16" t="s">
        <v>3199</v>
      </c>
      <c r="G1138" s="16" t="s">
        <v>3200</v>
      </c>
      <c r="H1138" s="16" t="s">
        <v>3201</v>
      </c>
      <c r="I1138" s="16" t="s">
        <v>3202</v>
      </c>
      <c r="J1138" s="16" t="s">
        <v>1847</v>
      </c>
      <c r="K1138" s="16" t="s">
        <v>3203</v>
      </c>
      <c r="L1138" s="16" t="s">
        <v>85</v>
      </c>
      <c r="M1138" s="16" t="s">
        <v>1849</v>
      </c>
      <c r="N1138" s="16" t="s">
        <v>914</v>
      </c>
      <c r="O1138" s="16" t="s">
        <v>1850</v>
      </c>
      <c r="P1138" s="16" t="s">
        <v>914</v>
      </c>
      <c r="Q1138" s="16" t="s">
        <v>1850</v>
      </c>
      <c r="R1138" s="16" t="s">
        <v>915</v>
      </c>
      <c r="S1138" s="16" t="s">
        <v>915</v>
      </c>
      <c r="T1138" s="16" t="s">
        <v>1851</v>
      </c>
      <c r="U1138" s="16" t="s">
        <v>1852</v>
      </c>
      <c r="V1138" s="16" t="s">
        <v>916</v>
      </c>
      <c r="W1138" s="16" t="s">
        <v>1852</v>
      </c>
      <c r="X1138" s="16" t="s">
        <v>934</v>
      </c>
      <c r="Y1138" s="16" t="s">
        <v>934</v>
      </c>
      <c r="Z1138" s="16" t="s">
        <v>935</v>
      </c>
      <c r="DA1138" s="405" t="s">
        <v>5</v>
      </c>
      <c r="DB1138" s="405" t="s">
        <v>363</v>
      </c>
      <c r="DC1138" s="406" t="s">
        <v>85</v>
      </c>
      <c r="DD1138" s="405" t="s">
        <v>917</v>
      </c>
      <c r="DE1138" s="405" t="s">
        <v>5</v>
      </c>
      <c r="DF1138" s="406" t="s">
        <v>85</v>
      </c>
      <c r="DG1138" s="407">
        <v>45862</v>
      </c>
      <c r="DH1138" s="405" t="s">
        <v>3198</v>
      </c>
      <c r="DI1138" s="406">
        <v>465455</v>
      </c>
      <c r="DJ1138" s="408">
        <v>5</v>
      </c>
      <c r="DK1138" s="405">
        <v>1</v>
      </c>
      <c r="DL1138" s="82">
        <v>447.02</v>
      </c>
      <c r="DM1138" s="409">
        <v>2.2351000000000001</v>
      </c>
      <c r="DN1138" s="82" t="s">
        <v>85</v>
      </c>
      <c r="DO1138" s="82" t="s">
        <v>85</v>
      </c>
      <c r="DP1138" s="410" t="s">
        <v>85</v>
      </c>
    </row>
    <row r="1139" spans="1:120" x14ac:dyDescent="0.25">
      <c r="A1139" s="16" t="s">
        <v>2592</v>
      </c>
      <c r="B1139" s="16" t="s">
        <v>2593</v>
      </c>
      <c r="C1139" s="16" t="s">
        <v>2594</v>
      </c>
      <c r="D1139" s="16" t="s">
        <v>2595</v>
      </c>
      <c r="E1139" s="16" t="s">
        <v>2596</v>
      </c>
      <c r="F1139" s="16" t="s">
        <v>2597</v>
      </c>
      <c r="G1139" s="16" t="s">
        <v>2598</v>
      </c>
      <c r="H1139" s="16" t="s">
        <v>2597</v>
      </c>
      <c r="I1139" s="16" t="s">
        <v>2599</v>
      </c>
      <c r="J1139" s="16" t="s">
        <v>2600</v>
      </c>
      <c r="K1139" s="16" t="s">
        <v>2601</v>
      </c>
      <c r="L1139" s="16" t="s">
        <v>85</v>
      </c>
      <c r="M1139" s="16" t="s">
        <v>1955</v>
      </c>
      <c r="N1139" s="16" t="s">
        <v>914</v>
      </c>
      <c r="O1139" s="16" t="s">
        <v>1039</v>
      </c>
      <c r="P1139" s="16" t="s">
        <v>914</v>
      </c>
      <c r="Q1139" s="16" t="s">
        <v>1039</v>
      </c>
      <c r="R1139" s="16" t="s">
        <v>915</v>
      </c>
      <c r="S1139" s="16" t="s">
        <v>915</v>
      </c>
      <c r="T1139" s="16" t="s">
        <v>1955</v>
      </c>
      <c r="U1139" s="16" t="s">
        <v>1956</v>
      </c>
      <c r="V1139" s="16" t="s">
        <v>916</v>
      </c>
      <c r="W1139" s="16" t="s">
        <v>1956</v>
      </c>
      <c r="X1139" s="16" t="s">
        <v>934</v>
      </c>
      <c r="Y1139" s="16" t="s">
        <v>934</v>
      </c>
      <c r="Z1139" s="16" t="s">
        <v>935</v>
      </c>
      <c r="DA1139" s="405" t="s">
        <v>5</v>
      </c>
      <c r="DB1139" s="405" t="s">
        <v>363</v>
      </c>
      <c r="DC1139" s="406" t="s">
        <v>85</v>
      </c>
      <c r="DD1139" s="405" t="s">
        <v>917</v>
      </c>
      <c r="DE1139" s="405" t="s">
        <v>5</v>
      </c>
      <c r="DF1139" s="406" t="s">
        <v>85</v>
      </c>
      <c r="DG1139" s="407">
        <v>45863</v>
      </c>
      <c r="DH1139" s="405" t="s">
        <v>2596</v>
      </c>
      <c r="DI1139" s="406">
        <v>465455</v>
      </c>
      <c r="DJ1139" s="408">
        <v>5</v>
      </c>
      <c r="DK1139" s="405">
        <v>1</v>
      </c>
      <c r="DL1139" s="82">
        <v>311.2</v>
      </c>
      <c r="DM1139" s="409">
        <v>1.556</v>
      </c>
      <c r="DN1139" s="82" t="s">
        <v>85</v>
      </c>
      <c r="DO1139" s="82" t="s">
        <v>85</v>
      </c>
      <c r="DP1139" s="410" t="s">
        <v>85</v>
      </c>
    </row>
    <row r="1140" spans="1:120" x14ac:dyDescent="0.25">
      <c r="A1140" s="16" t="s">
        <v>2602</v>
      </c>
      <c r="B1140" s="16" t="s">
        <v>2603</v>
      </c>
      <c r="C1140" s="16" t="s">
        <v>2604</v>
      </c>
      <c r="D1140" s="16" t="s">
        <v>2595</v>
      </c>
      <c r="E1140" s="16" t="s">
        <v>2605</v>
      </c>
      <c r="F1140" s="16" t="s">
        <v>2606</v>
      </c>
      <c r="G1140" s="16" t="s">
        <v>2607</v>
      </c>
      <c r="H1140" s="16" t="s">
        <v>2608</v>
      </c>
      <c r="I1140" s="16" t="s">
        <v>1163</v>
      </c>
      <c r="J1140" s="16" t="s">
        <v>995</v>
      </c>
      <c r="K1140" s="16" t="s">
        <v>1164</v>
      </c>
      <c r="L1140" s="16" t="s">
        <v>85</v>
      </c>
      <c r="M1140" s="16" t="s">
        <v>1165</v>
      </c>
      <c r="N1140" s="16" t="s">
        <v>914</v>
      </c>
      <c r="O1140" s="16" t="s">
        <v>1166</v>
      </c>
      <c r="P1140" s="16" t="s">
        <v>914</v>
      </c>
      <c r="Q1140" s="16" t="s">
        <v>1166</v>
      </c>
      <c r="R1140" s="16" t="s">
        <v>915</v>
      </c>
      <c r="S1140" s="16" t="s">
        <v>915</v>
      </c>
      <c r="T1140" s="16" t="s">
        <v>1167</v>
      </c>
      <c r="U1140" s="16" t="s">
        <v>1168</v>
      </c>
      <c r="V1140" s="16" t="s">
        <v>916</v>
      </c>
      <c r="W1140" s="16" t="s">
        <v>1168</v>
      </c>
      <c r="X1140" s="16" t="s">
        <v>934</v>
      </c>
      <c r="Y1140" s="16" t="s">
        <v>934</v>
      </c>
      <c r="Z1140" s="16" t="s">
        <v>935</v>
      </c>
      <c r="DA1140" s="405" t="s">
        <v>5</v>
      </c>
      <c r="DB1140" s="405" t="s">
        <v>363</v>
      </c>
      <c r="DC1140" s="406" t="s">
        <v>85</v>
      </c>
      <c r="DD1140" s="405" t="s">
        <v>917</v>
      </c>
      <c r="DE1140" s="405" t="s">
        <v>5</v>
      </c>
      <c r="DF1140" s="406" t="s">
        <v>85</v>
      </c>
      <c r="DG1140" s="407">
        <v>45863</v>
      </c>
      <c r="DH1140" s="405" t="s">
        <v>2605</v>
      </c>
      <c r="DI1140" s="406">
        <v>465455</v>
      </c>
      <c r="DJ1140" s="408">
        <v>5</v>
      </c>
      <c r="DK1140" s="405">
        <v>1</v>
      </c>
      <c r="DL1140" s="82">
        <v>468.28</v>
      </c>
      <c r="DM1140" s="409">
        <v>2.3413999999999997</v>
      </c>
      <c r="DN1140" s="82" t="s">
        <v>85</v>
      </c>
      <c r="DO1140" s="82" t="s">
        <v>85</v>
      </c>
      <c r="DP1140" s="410" t="s">
        <v>85</v>
      </c>
    </row>
    <row r="1141" spans="1:120" x14ac:dyDescent="0.25">
      <c r="A1141" s="16" t="s">
        <v>2609</v>
      </c>
      <c r="B1141" s="16" t="s">
        <v>2610</v>
      </c>
      <c r="C1141" s="16" t="s">
        <v>2611</v>
      </c>
      <c r="D1141" s="16" t="s">
        <v>2595</v>
      </c>
      <c r="E1141" s="16" t="s">
        <v>2612</v>
      </c>
      <c r="F1141" s="16" t="s">
        <v>2613</v>
      </c>
      <c r="G1141" s="16" t="s">
        <v>2614</v>
      </c>
      <c r="H1141" s="16" t="s">
        <v>2615</v>
      </c>
      <c r="I1141" s="16" t="s">
        <v>2616</v>
      </c>
      <c r="J1141" s="16" t="s">
        <v>928</v>
      </c>
      <c r="K1141" s="16" t="s">
        <v>2617</v>
      </c>
      <c r="L1141" s="16" t="s">
        <v>85</v>
      </c>
      <c r="M1141" s="16" t="s">
        <v>1322</v>
      </c>
      <c r="N1141" s="16" t="s">
        <v>914</v>
      </c>
      <c r="O1141" s="16" t="s">
        <v>1323</v>
      </c>
      <c r="P1141" s="16" t="s">
        <v>914</v>
      </c>
      <c r="Q1141" s="16" t="s">
        <v>1323</v>
      </c>
      <c r="R1141" s="16" t="s">
        <v>915</v>
      </c>
      <c r="S1141" s="16" t="s">
        <v>915</v>
      </c>
      <c r="T1141" s="16" t="s">
        <v>1322</v>
      </c>
      <c r="U1141" s="16" t="s">
        <v>1324</v>
      </c>
      <c r="V1141" s="16" t="s">
        <v>916</v>
      </c>
      <c r="W1141" s="16" t="s">
        <v>1324</v>
      </c>
      <c r="X1141" s="16" t="s">
        <v>934</v>
      </c>
      <c r="Y1141" s="16" t="s">
        <v>934</v>
      </c>
      <c r="Z1141" s="16" t="s">
        <v>935</v>
      </c>
      <c r="DA1141" s="405" t="s">
        <v>5</v>
      </c>
      <c r="DB1141" s="405" t="s">
        <v>363</v>
      </c>
      <c r="DC1141" s="406" t="s">
        <v>85</v>
      </c>
      <c r="DD1141" s="405" t="s">
        <v>917</v>
      </c>
      <c r="DE1141" s="405" t="s">
        <v>5</v>
      </c>
      <c r="DF1141" s="406" t="s">
        <v>85</v>
      </c>
      <c r="DG1141" s="407">
        <v>45863</v>
      </c>
      <c r="DH1141" s="405" t="s">
        <v>2612</v>
      </c>
      <c r="DI1141" s="406">
        <v>465455</v>
      </c>
      <c r="DJ1141" s="408">
        <v>5</v>
      </c>
      <c r="DK1141" s="405">
        <v>1</v>
      </c>
      <c r="DL1141" s="82">
        <v>332.47</v>
      </c>
      <c r="DM1141" s="409">
        <v>1.6623500000000002</v>
      </c>
      <c r="DN1141" s="82" t="s">
        <v>85</v>
      </c>
      <c r="DO1141" s="82" t="s">
        <v>85</v>
      </c>
      <c r="DP1141" s="410" t="s">
        <v>85</v>
      </c>
    </row>
    <row r="1142" spans="1:120" x14ac:dyDescent="0.25">
      <c r="A1142" s="16" t="s">
        <v>2609</v>
      </c>
      <c r="B1142" s="16" t="s">
        <v>2610</v>
      </c>
      <c r="C1142" s="16" t="s">
        <v>2611</v>
      </c>
      <c r="D1142" s="16" t="s">
        <v>2595</v>
      </c>
      <c r="E1142" s="16" t="s">
        <v>2612</v>
      </c>
      <c r="F1142" s="16" t="s">
        <v>2613</v>
      </c>
      <c r="G1142" s="16" t="s">
        <v>2614</v>
      </c>
      <c r="H1142" s="16" t="s">
        <v>2615</v>
      </c>
      <c r="I1142" s="16" t="s">
        <v>1880</v>
      </c>
      <c r="J1142" s="16" t="s">
        <v>928</v>
      </c>
      <c r="K1142" s="16" t="s">
        <v>1881</v>
      </c>
      <c r="L1142" s="16" t="s">
        <v>85</v>
      </c>
      <c r="M1142" s="16" t="s">
        <v>1322</v>
      </c>
      <c r="N1142" s="16" t="s">
        <v>914</v>
      </c>
      <c r="O1142" s="16" t="s">
        <v>1323</v>
      </c>
      <c r="P1142" s="16" t="s">
        <v>914</v>
      </c>
      <c r="Q1142" s="16" t="s">
        <v>1323</v>
      </c>
      <c r="R1142" s="16" t="s">
        <v>915</v>
      </c>
      <c r="S1142" s="16" t="s">
        <v>915</v>
      </c>
      <c r="T1142" s="16" t="s">
        <v>1322</v>
      </c>
      <c r="U1142" s="16" t="s">
        <v>1324</v>
      </c>
      <c r="V1142" s="16" t="s">
        <v>916</v>
      </c>
      <c r="W1142" s="16" t="s">
        <v>1324</v>
      </c>
      <c r="X1142" s="16" t="s">
        <v>934</v>
      </c>
      <c r="Y1142" s="16" t="s">
        <v>934</v>
      </c>
      <c r="Z1142" s="16" t="s">
        <v>935</v>
      </c>
      <c r="DA1142" s="405" t="s">
        <v>5</v>
      </c>
      <c r="DB1142" s="405" t="s">
        <v>363</v>
      </c>
      <c r="DC1142" s="406" t="s">
        <v>85</v>
      </c>
      <c r="DD1142" s="405" t="s">
        <v>917</v>
      </c>
      <c r="DE1142" s="405" t="s">
        <v>5</v>
      </c>
      <c r="DF1142" s="406" t="s">
        <v>85</v>
      </c>
      <c r="DG1142" s="407">
        <v>45863</v>
      </c>
      <c r="DH1142" s="405" t="s">
        <v>2612</v>
      </c>
      <c r="DI1142" s="406">
        <v>465455</v>
      </c>
      <c r="DJ1142" s="408">
        <v>5</v>
      </c>
      <c r="DK1142" s="405">
        <v>1</v>
      </c>
      <c r="DL1142" s="82">
        <v>332.47</v>
      </c>
      <c r="DM1142" s="409">
        <v>1.6623500000000002</v>
      </c>
      <c r="DN1142" s="82" t="s">
        <v>85</v>
      </c>
      <c r="DO1142" s="82" t="s">
        <v>85</v>
      </c>
      <c r="DP1142" s="410" t="s">
        <v>85</v>
      </c>
    </row>
    <row r="1143" spans="1:120" x14ac:dyDescent="0.25">
      <c r="A1143" s="16" t="s">
        <v>2618</v>
      </c>
      <c r="B1143" s="16" t="s">
        <v>2619</v>
      </c>
      <c r="C1143" s="16" t="s">
        <v>2620</v>
      </c>
      <c r="D1143" s="16" t="s">
        <v>2595</v>
      </c>
      <c r="E1143" s="16" t="s">
        <v>2621</v>
      </c>
      <c r="F1143" s="16" t="s">
        <v>2622</v>
      </c>
      <c r="G1143" s="16" t="s">
        <v>2623</v>
      </c>
      <c r="H1143" s="16" t="s">
        <v>2624</v>
      </c>
      <c r="I1143" s="16" t="s">
        <v>2625</v>
      </c>
      <c r="J1143" s="16" t="s">
        <v>1953</v>
      </c>
      <c r="K1143" s="16" t="s">
        <v>2626</v>
      </c>
      <c r="L1143" s="16" t="s">
        <v>85</v>
      </c>
      <c r="M1143" s="16" t="s">
        <v>1955</v>
      </c>
      <c r="N1143" s="16" t="s">
        <v>914</v>
      </c>
      <c r="O1143" s="16" t="s">
        <v>1039</v>
      </c>
      <c r="P1143" s="16" t="s">
        <v>914</v>
      </c>
      <c r="Q1143" s="16" t="s">
        <v>1039</v>
      </c>
      <c r="R1143" s="16" t="s">
        <v>915</v>
      </c>
      <c r="S1143" s="16" t="s">
        <v>915</v>
      </c>
      <c r="T1143" s="16" t="s">
        <v>1955</v>
      </c>
      <c r="U1143" s="16" t="s">
        <v>1956</v>
      </c>
      <c r="V1143" s="16" t="s">
        <v>916</v>
      </c>
      <c r="W1143" s="16" t="s">
        <v>1956</v>
      </c>
      <c r="X1143" s="16" t="s">
        <v>934</v>
      </c>
      <c r="Y1143" s="16" t="s">
        <v>934</v>
      </c>
      <c r="Z1143" s="16" t="s">
        <v>935</v>
      </c>
      <c r="DA1143" s="405" t="s">
        <v>5</v>
      </c>
      <c r="DB1143" s="405" t="s">
        <v>363</v>
      </c>
      <c r="DC1143" s="406" t="s">
        <v>85</v>
      </c>
      <c r="DD1143" s="405" t="s">
        <v>917</v>
      </c>
      <c r="DE1143" s="405" t="s">
        <v>5</v>
      </c>
      <c r="DF1143" s="406" t="s">
        <v>85</v>
      </c>
      <c r="DG1143" s="407">
        <v>45863</v>
      </c>
      <c r="DH1143" s="405" t="s">
        <v>2621</v>
      </c>
      <c r="DI1143" s="406">
        <v>465455</v>
      </c>
      <c r="DJ1143" s="408">
        <v>5</v>
      </c>
      <c r="DK1143" s="405">
        <v>1</v>
      </c>
      <c r="DL1143" s="82">
        <v>311.2</v>
      </c>
      <c r="DM1143" s="409">
        <v>1.556</v>
      </c>
      <c r="DN1143" s="82" t="s">
        <v>85</v>
      </c>
      <c r="DO1143" s="82" t="s">
        <v>85</v>
      </c>
      <c r="DP1143" s="410" t="s">
        <v>85</v>
      </c>
    </row>
    <row r="1144" spans="1:120" x14ac:dyDescent="0.25">
      <c r="A1144" s="16" t="s">
        <v>2627</v>
      </c>
      <c r="B1144" s="16" t="s">
        <v>2628</v>
      </c>
      <c r="C1144" s="16" t="s">
        <v>2629</v>
      </c>
      <c r="D1144" s="16" t="s">
        <v>2595</v>
      </c>
      <c r="E1144" s="16" t="s">
        <v>2630</v>
      </c>
      <c r="F1144" s="16" t="s">
        <v>2631</v>
      </c>
      <c r="G1144" s="16" t="s">
        <v>2632</v>
      </c>
      <c r="H1144" s="16" t="s">
        <v>2633</v>
      </c>
      <c r="I1144" s="16" t="s">
        <v>994</v>
      </c>
      <c r="J1144" s="16" t="s">
        <v>995</v>
      </c>
      <c r="K1144" s="16" t="s">
        <v>996</v>
      </c>
      <c r="L1144" s="16" t="s">
        <v>85</v>
      </c>
      <c r="M1144" s="16" t="s">
        <v>1165</v>
      </c>
      <c r="N1144" s="16" t="s">
        <v>914</v>
      </c>
      <c r="O1144" s="16" t="s">
        <v>1166</v>
      </c>
      <c r="P1144" s="16" t="s">
        <v>914</v>
      </c>
      <c r="Q1144" s="16" t="s">
        <v>1166</v>
      </c>
      <c r="R1144" s="16" t="s">
        <v>915</v>
      </c>
      <c r="S1144" s="16" t="s">
        <v>915</v>
      </c>
      <c r="T1144" s="16" t="s">
        <v>1167</v>
      </c>
      <c r="U1144" s="16" t="s">
        <v>1168</v>
      </c>
      <c r="V1144" s="16" t="s">
        <v>916</v>
      </c>
      <c r="W1144" s="16" t="s">
        <v>1168</v>
      </c>
      <c r="X1144" s="16" t="s">
        <v>934</v>
      </c>
      <c r="Y1144" s="16" t="s">
        <v>934</v>
      </c>
      <c r="Z1144" s="16" t="s">
        <v>935</v>
      </c>
      <c r="DA1144" s="405" t="s">
        <v>5</v>
      </c>
      <c r="DB1144" s="405" t="s">
        <v>363</v>
      </c>
      <c r="DC1144" s="406" t="s">
        <v>85</v>
      </c>
      <c r="DD1144" s="405" t="s">
        <v>917</v>
      </c>
      <c r="DE1144" s="405" t="s">
        <v>5</v>
      </c>
      <c r="DF1144" s="406" t="s">
        <v>85</v>
      </c>
      <c r="DG1144" s="407">
        <v>45863</v>
      </c>
      <c r="DH1144" s="405" t="s">
        <v>2630</v>
      </c>
      <c r="DI1144" s="406">
        <v>465455</v>
      </c>
      <c r="DJ1144" s="408">
        <v>5</v>
      </c>
      <c r="DK1144" s="405">
        <v>1</v>
      </c>
      <c r="DL1144" s="82">
        <v>468.28</v>
      </c>
      <c r="DM1144" s="409">
        <v>2.3413999999999997</v>
      </c>
      <c r="DN1144" s="82" t="s">
        <v>85</v>
      </c>
      <c r="DO1144" s="82" t="s">
        <v>85</v>
      </c>
      <c r="DP1144" s="410" t="s">
        <v>85</v>
      </c>
    </row>
    <row r="1145" spans="1:120" x14ac:dyDescent="0.25">
      <c r="A1145" s="16" t="s">
        <v>2634</v>
      </c>
      <c r="B1145" s="16" t="s">
        <v>2635</v>
      </c>
      <c r="C1145" s="16" t="s">
        <v>2636</v>
      </c>
      <c r="D1145" s="16" t="s">
        <v>2595</v>
      </c>
      <c r="E1145" s="16" t="s">
        <v>2637</v>
      </c>
      <c r="F1145" s="16" t="s">
        <v>2638</v>
      </c>
      <c r="G1145" s="16" t="s">
        <v>2639</v>
      </c>
      <c r="H1145" s="16" t="s">
        <v>2638</v>
      </c>
      <c r="I1145" s="16" t="s">
        <v>1818</v>
      </c>
      <c r="J1145" s="16" t="s">
        <v>928</v>
      </c>
      <c r="K1145" s="16" t="s">
        <v>1819</v>
      </c>
      <c r="L1145" s="16" t="s">
        <v>85</v>
      </c>
      <c r="M1145" s="16" t="s">
        <v>1322</v>
      </c>
      <c r="N1145" s="16" t="s">
        <v>914</v>
      </c>
      <c r="O1145" s="16" t="s">
        <v>1323</v>
      </c>
      <c r="P1145" s="16" t="s">
        <v>914</v>
      </c>
      <c r="Q1145" s="16" t="s">
        <v>1323</v>
      </c>
      <c r="R1145" s="16" t="s">
        <v>915</v>
      </c>
      <c r="S1145" s="16" t="s">
        <v>915</v>
      </c>
      <c r="T1145" s="16" t="s">
        <v>1322</v>
      </c>
      <c r="U1145" s="16" t="s">
        <v>1324</v>
      </c>
      <c r="V1145" s="16" t="s">
        <v>916</v>
      </c>
      <c r="W1145" s="16" t="s">
        <v>1324</v>
      </c>
      <c r="X1145" s="16" t="s">
        <v>934</v>
      </c>
      <c r="Y1145" s="16" t="s">
        <v>934</v>
      </c>
      <c r="Z1145" s="16" t="s">
        <v>935</v>
      </c>
      <c r="DA1145" s="405" t="s">
        <v>5</v>
      </c>
      <c r="DB1145" s="405" t="s">
        <v>363</v>
      </c>
      <c r="DC1145" s="406" t="s">
        <v>85</v>
      </c>
      <c r="DD1145" s="405" t="s">
        <v>917</v>
      </c>
      <c r="DE1145" s="405" t="s">
        <v>5</v>
      </c>
      <c r="DF1145" s="406" t="s">
        <v>85</v>
      </c>
      <c r="DG1145" s="407">
        <v>45863</v>
      </c>
      <c r="DH1145" s="405" t="s">
        <v>2637</v>
      </c>
      <c r="DI1145" s="406">
        <v>465455</v>
      </c>
      <c r="DJ1145" s="408">
        <v>5</v>
      </c>
      <c r="DK1145" s="405">
        <v>1</v>
      </c>
      <c r="DL1145" s="82">
        <v>332.47</v>
      </c>
      <c r="DM1145" s="409">
        <v>1.6623500000000002</v>
      </c>
      <c r="DN1145" s="82" t="s">
        <v>85</v>
      </c>
      <c r="DO1145" s="82" t="s">
        <v>85</v>
      </c>
      <c r="DP1145" s="410" t="s">
        <v>85</v>
      </c>
    </row>
    <row r="1146" spans="1:120" x14ac:dyDescent="0.25">
      <c r="A1146" s="16" t="s">
        <v>2640</v>
      </c>
      <c r="B1146" s="16" t="s">
        <v>2641</v>
      </c>
      <c r="C1146" s="16" t="s">
        <v>2642</v>
      </c>
      <c r="D1146" s="16" t="s">
        <v>2595</v>
      </c>
      <c r="E1146" s="16" t="s">
        <v>2643</v>
      </c>
      <c r="F1146" s="16" t="s">
        <v>2644</v>
      </c>
      <c r="G1146" s="16" t="s">
        <v>2645</v>
      </c>
      <c r="H1146" s="16" t="s">
        <v>2644</v>
      </c>
      <c r="I1146" s="16" t="s">
        <v>2230</v>
      </c>
      <c r="J1146" s="16" t="s">
        <v>1123</v>
      </c>
      <c r="K1146" s="16" t="s">
        <v>2231</v>
      </c>
      <c r="L1146" s="16" t="s">
        <v>85</v>
      </c>
      <c r="M1146" s="16" t="s">
        <v>1238</v>
      </c>
      <c r="N1146" s="16" t="s">
        <v>914</v>
      </c>
      <c r="O1146" s="16" t="s">
        <v>1239</v>
      </c>
      <c r="P1146" s="16" t="s">
        <v>914</v>
      </c>
      <c r="Q1146" s="16" t="s">
        <v>1239</v>
      </c>
      <c r="R1146" s="16" t="s">
        <v>915</v>
      </c>
      <c r="S1146" s="16" t="s">
        <v>915</v>
      </c>
      <c r="T1146" s="16" t="s">
        <v>1238</v>
      </c>
      <c r="U1146" s="16" t="s">
        <v>1240</v>
      </c>
      <c r="V1146" s="16" t="s">
        <v>916</v>
      </c>
      <c r="W1146" s="16" t="s">
        <v>1240</v>
      </c>
      <c r="X1146" s="16" t="s">
        <v>934</v>
      </c>
      <c r="Y1146" s="16" t="s">
        <v>934</v>
      </c>
      <c r="Z1146" s="16" t="s">
        <v>935</v>
      </c>
      <c r="DA1146" s="405" t="s">
        <v>5</v>
      </c>
      <c r="DB1146" s="405" t="s">
        <v>363</v>
      </c>
      <c r="DC1146" s="406" t="s">
        <v>85</v>
      </c>
      <c r="DD1146" s="405" t="s">
        <v>917</v>
      </c>
      <c r="DE1146" s="405" t="s">
        <v>5</v>
      </c>
      <c r="DF1146" s="406" t="s">
        <v>85</v>
      </c>
      <c r="DG1146" s="407">
        <v>45863</v>
      </c>
      <c r="DH1146" s="405" t="s">
        <v>2643</v>
      </c>
      <c r="DI1146" s="406">
        <v>465455</v>
      </c>
      <c r="DJ1146" s="408">
        <v>5</v>
      </c>
      <c r="DK1146" s="405">
        <v>1</v>
      </c>
      <c r="DL1146" s="82">
        <v>383.16</v>
      </c>
      <c r="DM1146" s="409">
        <v>1.9158000000000002</v>
      </c>
      <c r="DN1146" s="82" t="s">
        <v>85</v>
      </c>
      <c r="DO1146" s="82" t="s">
        <v>85</v>
      </c>
      <c r="DP1146" s="410" t="s">
        <v>85</v>
      </c>
    </row>
    <row r="1147" spans="1:120" x14ac:dyDescent="0.25">
      <c r="A1147" s="16" t="s">
        <v>2646</v>
      </c>
      <c r="B1147" s="16" t="s">
        <v>2647</v>
      </c>
      <c r="C1147" s="16" t="s">
        <v>2648</v>
      </c>
      <c r="D1147" s="16" t="s">
        <v>2595</v>
      </c>
      <c r="E1147" s="16" t="s">
        <v>2649</v>
      </c>
      <c r="F1147" s="16" t="s">
        <v>2650</v>
      </c>
      <c r="G1147" s="16" t="s">
        <v>2651</v>
      </c>
      <c r="H1147" s="16" t="s">
        <v>2652</v>
      </c>
      <c r="I1147" s="16" t="s">
        <v>2653</v>
      </c>
      <c r="J1147" s="16" t="s">
        <v>1123</v>
      </c>
      <c r="K1147" s="16" t="s">
        <v>2654</v>
      </c>
      <c r="L1147" s="16" t="s">
        <v>85</v>
      </c>
      <c r="M1147" s="16" t="s">
        <v>1238</v>
      </c>
      <c r="N1147" s="16" t="s">
        <v>914</v>
      </c>
      <c r="O1147" s="16" t="s">
        <v>1239</v>
      </c>
      <c r="P1147" s="16" t="s">
        <v>914</v>
      </c>
      <c r="Q1147" s="16" t="s">
        <v>1239</v>
      </c>
      <c r="R1147" s="16" t="s">
        <v>915</v>
      </c>
      <c r="S1147" s="16" t="s">
        <v>915</v>
      </c>
      <c r="T1147" s="16" t="s">
        <v>1238</v>
      </c>
      <c r="U1147" s="16" t="s">
        <v>1240</v>
      </c>
      <c r="V1147" s="16" t="s">
        <v>916</v>
      </c>
      <c r="W1147" s="16" t="s">
        <v>1240</v>
      </c>
      <c r="X1147" s="16" t="s">
        <v>934</v>
      </c>
      <c r="Y1147" s="16" t="s">
        <v>934</v>
      </c>
      <c r="Z1147" s="16" t="s">
        <v>935</v>
      </c>
      <c r="DA1147" s="405" t="s">
        <v>5</v>
      </c>
      <c r="DB1147" s="405" t="s">
        <v>363</v>
      </c>
      <c r="DC1147" s="406" t="s">
        <v>85</v>
      </c>
      <c r="DD1147" s="405" t="s">
        <v>917</v>
      </c>
      <c r="DE1147" s="405" t="s">
        <v>5</v>
      </c>
      <c r="DF1147" s="406" t="s">
        <v>85</v>
      </c>
      <c r="DG1147" s="407">
        <v>45863</v>
      </c>
      <c r="DH1147" s="405" t="s">
        <v>2649</v>
      </c>
      <c r="DI1147" s="406">
        <v>465455</v>
      </c>
      <c r="DJ1147" s="408">
        <v>5</v>
      </c>
      <c r="DK1147" s="405">
        <v>1</v>
      </c>
      <c r="DL1147" s="82">
        <v>383.16</v>
      </c>
      <c r="DM1147" s="409">
        <v>1.9158000000000002</v>
      </c>
      <c r="DN1147" s="82" t="s">
        <v>85</v>
      </c>
      <c r="DO1147" s="82" t="s">
        <v>85</v>
      </c>
      <c r="DP1147" s="410" t="s">
        <v>85</v>
      </c>
    </row>
    <row r="1148" spans="1:120" x14ac:dyDescent="0.25">
      <c r="A1148" s="16" t="s">
        <v>2655</v>
      </c>
      <c r="B1148" s="16" t="s">
        <v>2656</v>
      </c>
      <c r="C1148" s="16" t="s">
        <v>2657</v>
      </c>
      <c r="D1148" s="16" t="s">
        <v>2595</v>
      </c>
      <c r="E1148" s="16" t="s">
        <v>2658</v>
      </c>
      <c r="F1148" s="16" t="s">
        <v>2659</v>
      </c>
      <c r="G1148" s="16" t="s">
        <v>2660</v>
      </c>
      <c r="H1148" s="16" t="s">
        <v>2659</v>
      </c>
      <c r="I1148" s="16" t="s">
        <v>2661</v>
      </c>
      <c r="J1148" s="16" t="s">
        <v>943</v>
      </c>
      <c r="K1148" s="16" t="s">
        <v>2662</v>
      </c>
      <c r="L1148" s="16" t="s">
        <v>85</v>
      </c>
      <c r="M1148" s="16" t="s">
        <v>984</v>
      </c>
      <c r="N1148" s="16" t="s">
        <v>914</v>
      </c>
      <c r="O1148" s="16" t="s">
        <v>985</v>
      </c>
      <c r="P1148" s="16" t="s">
        <v>914</v>
      </c>
      <c r="Q1148" s="16" t="s">
        <v>985</v>
      </c>
      <c r="R1148" s="16" t="s">
        <v>915</v>
      </c>
      <c r="S1148" s="16" t="s">
        <v>915</v>
      </c>
      <c r="T1148" s="16" t="s">
        <v>986</v>
      </c>
      <c r="U1148" s="16" t="s">
        <v>987</v>
      </c>
      <c r="V1148" s="16" t="s">
        <v>916</v>
      </c>
      <c r="W1148" s="16" t="s">
        <v>987</v>
      </c>
      <c r="X1148" s="16" t="s">
        <v>934</v>
      </c>
      <c r="Y1148" s="16" t="s">
        <v>934</v>
      </c>
      <c r="Z1148" s="16" t="s">
        <v>935</v>
      </c>
      <c r="DA1148" s="405" t="s">
        <v>5</v>
      </c>
      <c r="DB1148" s="405" t="s">
        <v>363</v>
      </c>
      <c r="DC1148" s="406" t="s">
        <v>85</v>
      </c>
      <c r="DD1148" s="405" t="s">
        <v>917</v>
      </c>
      <c r="DE1148" s="405" t="s">
        <v>5</v>
      </c>
      <c r="DF1148" s="406" t="s">
        <v>85</v>
      </c>
      <c r="DG1148" s="407">
        <v>45863</v>
      </c>
      <c r="DH1148" s="405" t="s">
        <v>2658</v>
      </c>
      <c r="DI1148" s="406">
        <v>465455</v>
      </c>
      <c r="DJ1148" s="408">
        <v>5</v>
      </c>
      <c r="DK1148" s="405">
        <v>1</v>
      </c>
      <c r="DL1148" s="82">
        <v>340.55</v>
      </c>
      <c r="DM1148" s="409">
        <v>1.70275</v>
      </c>
      <c r="DN1148" s="82" t="s">
        <v>85</v>
      </c>
      <c r="DO1148" s="82" t="s">
        <v>85</v>
      </c>
      <c r="DP1148" s="410" t="s">
        <v>85</v>
      </c>
    </row>
    <row r="1149" spans="1:120" x14ac:dyDescent="0.25">
      <c r="A1149" s="16" t="s">
        <v>2663</v>
      </c>
      <c r="B1149" s="16" t="s">
        <v>2664</v>
      </c>
      <c r="C1149" s="16" t="s">
        <v>2665</v>
      </c>
      <c r="D1149" s="16" t="s">
        <v>2595</v>
      </c>
      <c r="E1149" s="16" t="s">
        <v>2666</v>
      </c>
      <c r="F1149" s="16" t="s">
        <v>2667</v>
      </c>
      <c r="G1149" s="16" t="s">
        <v>2668</v>
      </c>
      <c r="H1149" s="16" t="s">
        <v>2669</v>
      </c>
      <c r="I1149" s="16" t="s">
        <v>1198</v>
      </c>
      <c r="J1149" s="16" t="s">
        <v>956</v>
      </c>
      <c r="K1149" s="16" t="s">
        <v>1199</v>
      </c>
      <c r="L1149" s="16" t="s">
        <v>85</v>
      </c>
      <c r="M1149" s="16" t="s">
        <v>1396</v>
      </c>
      <c r="N1149" s="16" t="s">
        <v>914</v>
      </c>
      <c r="O1149" s="16" t="s">
        <v>1397</v>
      </c>
      <c r="P1149" s="16" t="s">
        <v>914</v>
      </c>
      <c r="Q1149" s="16" t="s">
        <v>1397</v>
      </c>
      <c r="R1149" s="16" t="s">
        <v>915</v>
      </c>
      <c r="S1149" s="16" t="s">
        <v>915</v>
      </c>
      <c r="T1149" s="16" t="s">
        <v>1396</v>
      </c>
      <c r="U1149" s="16" t="s">
        <v>1398</v>
      </c>
      <c r="V1149" s="16" t="s">
        <v>916</v>
      </c>
      <c r="W1149" s="16" t="s">
        <v>1398</v>
      </c>
      <c r="X1149" s="16" t="s">
        <v>934</v>
      </c>
      <c r="Y1149" s="16" t="s">
        <v>934</v>
      </c>
      <c r="Z1149" s="16" t="s">
        <v>935</v>
      </c>
      <c r="DA1149" s="405" t="s">
        <v>5</v>
      </c>
      <c r="DB1149" s="405" t="s">
        <v>363</v>
      </c>
      <c r="DC1149" s="406" t="s">
        <v>85</v>
      </c>
      <c r="DD1149" s="405" t="s">
        <v>917</v>
      </c>
      <c r="DE1149" s="405" t="s">
        <v>5</v>
      </c>
      <c r="DF1149" s="406" t="s">
        <v>85</v>
      </c>
      <c r="DG1149" s="407">
        <v>45863</v>
      </c>
      <c r="DH1149" s="405" t="s">
        <v>2666</v>
      </c>
      <c r="DI1149" s="406">
        <v>465455</v>
      </c>
      <c r="DJ1149" s="408">
        <v>5</v>
      </c>
      <c r="DK1149" s="405">
        <v>1</v>
      </c>
      <c r="DL1149" s="82">
        <v>265.92</v>
      </c>
      <c r="DM1149" s="409">
        <v>1.3296000000000001</v>
      </c>
      <c r="DN1149" s="82" t="s">
        <v>85</v>
      </c>
      <c r="DO1149" s="82" t="s">
        <v>85</v>
      </c>
      <c r="DP1149" s="410" t="s">
        <v>85</v>
      </c>
    </row>
    <row r="1150" spans="1:120" x14ac:dyDescent="0.25">
      <c r="A1150" s="16" t="s">
        <v>2670</v>
      </c>
      <c r="B1150" s="16" t="s">
        <v>2671</v>
      </c>
      <c r="C1150" s="16" t="s">
        <v>2672</v>
      </c>
      <c r="D1150" s="16" t="s">
        <v>2595</v>
      </c>
      <c r="E1150" s="16" t="s">
        <v>2673</v>
      </c>
      <c r="F1150" s="16" t="s">
        <v>2674</v>
      </c>
      <c r="G1150" s="16" t="s">
        <v>2675</v>
      </c>
      <c r="H1150" s="16" t="s">
        <v>2674</v>
      </c>
      <c r="I1150" s="16" t="s">
        <v>2676</v>
      </c>
      <c r="J1150" s="16" t="s">
        <v>943</v>
      </c>
      <c r="K1150" s="16" t="s">
        <v>2677</v>
      </c>
      <c r="L1150" s="16" t="s">
        <v>85</v>
      </c>
      <c r="M1150" s="16" t="s">
        <v>984</v>
      </c>
      <c r="N1150" s="16" t="s">
        <v>914</v>
      </c>
      <c r="O1150" s="16" t="s">
        <v>985</v>
      </c>
      <c r="P1150" s="16" t="s">
        <v>914</v>
      </c>
      <c r="Q1150" s="16" t="s">
        <v>985</v>
      </c>
      <c r="R1150" s="16" t="s">
        <v>915</v>
      </c>
      <c r="S1150" s="16" t="s">
        <v>915</v>
      </c>
      <c r="T1150" s="16" t="s">
        <v>986</v>
      </c>
      <c r="U1150" s="16" t="s">
        <v>987</v>
      </c>
      <c r="V1150" s="16" t="s">
        <v>916</v>
      </c>
      <c r="W1150" s="16" t="s">
        <v>987</v>
      </c>
      <c r="X1150" s="16" t="s">
        <v>934</v>
      </c>
      <c r="Y1150" s="16" t="s">
        <v>934</v>
      </c>
      <c r="Z1150" s="16" t="s">
        <v>935</v>
      </c>
      <c r="DA1150" s="405" t="s">
        <v>5</v>
      </c>
      <c r="DB1150" s="405" t="s">
        <v>363</v>
      </c>
      <c r="DC1150" s="406" t="s">
        <v>85</v>
      </c>
      <c r="DD1150" s="405" t="s">
        <v>917</v>
      </c>
      <c r="DE1150" s="405" t="s">
        <v>5</v>
      </c>
      <c r="DF1150" s="406" t="s">
        <v>85</v>
      </c>
      <c r="DG1150" s="407">
        <v>45863</v>
      </c>
      <c r="DH1150" s="405" t="s">
        <v>2673</v>
      </c>
      <c r="DI1150" s="406">
        <v>465455</v>
      </c>
      <c r="DJ1150" s="408">
        <v>5</v>
      </c>
      <c r="DK1150" s="405">
        <v>1</v>
      </c>
      <c r="DL1150" s="82">
        <v>340.55</v>
      </c>
      <c r="DM1150" s="409">
        <v>1.70275</v>
      </c>
      <c r="DN1150" s="82" t="s">
        <v>85</v>
      </c>
      <c r="DO1150" s="82" t="s">
        <v>85</v>
      </c>
      <c r="DP1150" s="410" t="s">
        <v>85</v>
      </c>
    </row>
    <row r="1151" spans="1:120" x14ac:dyDescent="0.25">
      <c r="A1151" s="16" t="s">
        <v>2678</v>
      </c>
      <c r="B1151" s="16" t="s">
        <v>2679</v>
      </c>
      <c r="C1151" s="16" t="s">
        <v>2680</v>
      </c>
      <c r="D1151" s="16" t="s">
        <v>2595</v>
      </c>
      <c r="E1151" s="16" t="s">
        <v>2681</v>
      </c>
      <c r="F1151" s="16" t="s">
        <v>2682</v>
      </c>
      <c r="G1151" s="16" t="s">
        <v>2683</v>
      </c>
      <c r="H1151" s="16" t="s">
        <v>2682</v>
      </c>
      <c r="I1151" s="16" t="s">
        <v>1937</v>
      </c>
      <c r="J1151" s="16" t="s">
        <v>1036</v>
      </c>
      <c r="K1151" s="16" t="s">
        <v>1938</v>
      </c>
      <c r="L1151" s="16" t="s">
        <v>85</v>
      </c>
      <c r="M1151" s="16" t="s">
        <v>1216</v>
      </c>
      <c r="N1151" s="16" t="s">
        <v>914</v>
      </c>
      <c r="O1151" s="16" t="s">
        <v>946</v>
      </c>
      <c r="P1151" s="16" t="s">
        <v>914</v>
      </c>
      <c r="Q1151" s="16" t="s">
        <v>946</v>
      </c>
      <c r="R1151" s="16" t="s">
        <v>915</v>
      </c>
      <c r="S1151" s="16" t="s">
        <v>915</v>
      </c>
      <c r="T1151" s="16" t="s">
        <v>1216</v>
      </c>
      <c r="U1151" s="16" t="s">
        <v>1217</v>
      </c>
      <c r="V1151" s="16" t="s">
        <v>916</v>
      </c>
      <c r="W1151" s="16" t="s">
        <v>1217</v>
      </c>
      <c r="X1151" s="16" t="s">
        <v>934</v>
      </c>
      <c r="Y1151" s="16" t="s">
        <v>934</v>
      </c>
      <c r="Z1151" s="16" t="s">
        <v>935</v>
      </c>
      <c r="DA1151" s="405" t="s">
        <v>5</v>
      </c>
      <c r="DB1151" s="405" t="s">
        <v>363</v>
      </c>
      <c r="DC1151" s="406" t="s">
        <v>85</v>
      </c>
      <c r="DD1151" s="405" t="s">
        <v>917</v>
      </c>
      <c r="DE1151" s="405" t="s">
        <v>5</v>
      </c>
      <c r="DF1151" s="406" t="s">
        <v>85</v>
      </c>
      <c r="DG1151" s="407">
        <v>45863</v>
      </c>
      <c r="DH1151" s="405" t="s">
        <v>2681</v>
      </c>
      <c r="DI1151" s="406">
        <v>465455</v>
      </c>
      <c r="DJ1151" s="408">
        <v>5</v>
      </c>
      <c r="DK1151" s="405">
        <v>1</v>
      </c>
      <c r="DL1151" s="82">
        <v>319.22000000000003</v>
      </c>
      <c r="DM1151" s="409">
        <v>1.5961000000000001</v>
      </c>
      <c r="DN1151" s="82" t="s">
        <v>85</v>
      </c>
      <c r="DO1151" s="82" t="s">
        <v>85</v>
      </c>
      <c r="DP1151" s="410" t="s">
        <v>85</v>
      </c>
    </row>
    <row r="1152" spans="1:120" x14ac:dyDescent="0.25">
      <c r="A1152" s="16" t="s">
        <v>2684</v>
      </c>
      <c r="B1152" s="16" t="s">
        <v>2685</v>
      </c>
      <c r="C1152" s="16" t="s">
        <v>2686</v>
      </c>
      <c r="D1152" s="16" t="s">
        <v>2595</v>
      </c>
      <c r="E1152" s="16" t="s">
        <v>2687</v>
      </c>
      <c r="F1152" s="16" t="s">
        <v>2688</v>
      </c>
      <c r="G1152" s="16" t="s">
        <v>2689</v>
      </c>
      <c r="H1152" s="16" t="s">
        <v>2688</v>
      </c>
      <c r="I1152" s="16" t="s">
        <v>2690</v>
      </c>
      <c r="J1152" s="16" t="s">
        <v>1123</v>
      </c>
      <c r="K1152" s="16" t="s">
        <v>2691</v>
      </c>
      <c r="L1152" s="16" t="s">
        <v>85</v>
      </c>
      <c r="M1152" s="16" t="s">
        <v>1238</v>
      </c>
      <c r="N1152" s="16" t="s">
        <v>914</v>
      </c>
      <c r="O1152" s="16" t="s">
        <v>1239</v>
      </c>
      <c r="P1152" s="16" t="s">
        <v>914</v>
      </c>
      <c r="Q1152" s="16" t="s">
        <v>1239</v>
      </c>
      <c r="R1152" s="16" t="s">
        <v>915</v>
      </c>
      <c r="S1152" s="16" t="s">
        <v>915</v>
      </c>
      <c r="T1152" s="16" t="s">
        <v>1238</v>
      </c>
      <c r="U1152" s="16" t="s">
        <v>1240</v>
      </c>
      <c r="V1152" s="16" t="s">
        <v>916</v>
      </c>
      <c r="W1152" s="16" t="s">
        <v>1240</v>
      </c>
      <c r="X1152" s="16" t="s">
        <v>934</v>
      </c>
      <c r="Y1152" s="16" t="s">
        <v>934</v>
      </c>
      <c r="Z1152" s="16" t="s">
        <v>935</v>
      </c>
      <c r="DA1152" s="405" t="s">
        <v>5</v>
      </c>
      <c r="DB1152" s="405" t="s">
        <v>363</v>
      </c>
      <c r="DC1152" s="406" t="s">
        <v>85</v>
      </c>
      <c r="DD1152" s="405" t="s">
        <v>917</v>
      </c>
      <c r="DE1152" s="405" t="s">
        <v>5</v>
      </c>
      <c r="DF1152" s="406" t="s">
        <v>85</v>
      </c>
      <c r="DG1152" s="407">
        <v>45863</v>
      </c>
      <c r="DH1152" s="405" t="s">
        <v>2687</v>
      </c>
      <c r="DI1152" s="406">
        <v>465455</v>
      </c>
      <c r="DJ1152" s="408">
        <v>5</v>
      </c>
      <c r="DK1152" s="405">
        <v>1</v>
      </c>
      <c r="DL1152" s="82">
        <v>383.16</v>
      </c>
      <c r="DM1152" s="409">
        <v>1.9158000000000002</v>
      </c>
      <c r="DN1152" s="82" t="s">
        <v>85</v>
      </c>
      <c r="DO1152" s="82" t="s">
        <v>85</v>
      </c>
      <c r="DP1152" s="410" t="s">
        <v>85</v>
      </c>
    </row>
    <row r="1153" spans="1:120" x14ac:dyDescent="0.25">
      <c r="A1153" s="16" t="s">
        <v>2692</v>
      </c>
      <c r="B1153" s="16" t="s">
        <v>2693</v>
      </c>
      <c r="C1153" s="16" t="s">
        <v>2694</v>
      </c>
      <c r="D1153" s="16" t="s">
        <v>2595</v>
      </c>
      <c r="E1153" s="16" t="s">
        <v>2695</v>
      </c>
      <c r="F1153" s="16" t="s">
        <v>2696</v>
      </c>
      <c r="G1153" s="16" t="s">
        <v>2697</v>
      </c>
      <c r="H1153" s="16" t="s">
        <v>2696</v>
      </c>
      <c r="I1153" s="16" t="s">
        <v>2698</v>
      </c>
      <c r="J1153" s="16" t="s">
        <v>2699</v>
      </c>
      <c r="K1153" s="16" t="s">
        <v>2700</v>
      </c>
      <c r="L1153" s="16" t="s">
        <v>85</v>
      </c>
      <c r="M1153" s="16" t="s">
        <v>2701</v>
      </c>
      <c r="N1153" s="16" t="s">
        <v>914</v>
      </c>
      <c r="O1153" s="16" t="s">
        <v>2702</v>
      </c>
      <c r="P1153" s="16" t="s">
        <v>914</v>
      </c>
      <c r="Q1153" s="16" t="s">
        <v>2702</v>
      </c>
      <c r="R1153" s="16" t="s">
        <v>915</v>
      </c>
      <c r="S1153" s="16" t="s">
        <v>915</v>
      </c>
      <c r="T1153" s="16" t="s">
        <v>2703</v>
      </c>
      <c r="U1153" s="16" t="s">
        <v>2704</v>
      </c>
      <c r="V1153" s="16" t="s">
        <v>916</v>
      </c>
      <c r="W1153" s="16" t="s">
        <v>2704</v>
      </c>
      <c r="X1153" s="16" t="s">
        <v>934</v>
      </c>
      <c r="Y1153" s="16" t="s">
        <v>934</v>
      </c>
      <c r="Z1153" s="16" t="s">
        <v>935</v>
      </c>
      <c r="DA1153" s="405" t="s">
        <v>5</v>
      </c>
      <c r="DB1153" s="405" t="s">
        <v>363</v>
      </c>
      <c r="DC1153" s="406" t="s">
        <v>85</v>
      </c>
      <c r="DD1153" s="405" t="s">
        <v>917</v>
      </c>
      <c r="DE1153" s="405" t="s">
        <v>5</v>
      </c>
      <c r="DF1153" s="406" t="s">
        <v>85</v>
      </c>
      <c r="DG1153" s="407">
        <v>45863</v>
      </c>
      <c r="DH1153" s="405" t="s">
        <v>2695</v>
      </c>
      <c r="DI1153" s="406">
        <v>465455</v>
      </c>
      <c r="DJ1153" s="408">
        <v>5</v>
      </c>
      <c r="DK1153" s="405">
        <v>1</v>
      </c>
      <c r="DL1153" s="82">
        <v>478.9</v>
      </c>
      <c r="DM1153" s="409">
        <v>2.3944999999999999</v>
      </c>
      <c r="DN1153" s="82" t="s">
        <v>85</v>
      </c>
      <c r="DO1153" s="82" t="s">
        <v>85</v>
      </c>
      <c r="DP1153" s="410" t="s">
        <v>85</v>
      </c>
    </row>
    <row r="1154" spans="1:120" x14ac:dyDescent="0.25">
      <c r="A1154" s="16" t="s">
        <v>2705</v>
      </c>
      <c r="B1154" s="16" t="s">
        <v>2706</v>
      </c>
      <c r="C1154" s="16" t="s">
        <v>2707</v>
      </c>
      <c r="D1154" s="16" t="s">
        <v>2595</v>
      </c>
      <c r="E1154" s="16" t="s">
        <v>2708</v>
      </c>
      <c r="F1154" s="16" t="s">
        <v>2709</v>
      </c>
      <c r="G1154" s="16" t="s">
        <v>2710</v>
      </c>
      <c r="H1154" s="16" t="s">
        <v>2711</v>
      </c>
      <c r="I1154" s="16" t="s">
        <v>1598</v>
      </c>
      <c r="J1154" s="16" t="s">
        <v>995</v>
      </c>
      <c r="K1154" s="16" t="s">
        <v>1599</v>
      </c>
      <c r="L1154" s="16" t="s">
        <v>85</v>
      </c>
      <c r="M1154" s="16" t="s">
        <v>1165</v>
      </c>
      <c r="N1154" s="16" t="s">
        <v>914</v>
      </c>
      <c r="O1154" s="16" t="s">
        <v>1166</v>
      </c>
      <c r="P1154" s="16" t="s">
        <v>914</v>
      </c>
      <c r="Q1154" s="16" t="s">
        <v>1166</v>
      </c>
      <c r="R1154" s="16" t="s">
        <v>915</v>
      </c>
      <c r="S1154" s="16" t="s">
        <v>915</v>
      </c>
      <c r="T1154" s="16" t="s">
        <v>1167</v>
      </c>
      <c r="U1154" s="16" t="s">
        <v>1168</v>
      </c>
      <c r="V1154" s="16" t="s">
        <v>916</v>
      </c>
      <c r="W1154" s="16" t="s">
        <v>1168</v>
      </c>
      <c r="X1154" s="16" t="s">
        <v>934</v>
      </c>
      <c r="Y1154" s="16" t="s">
        <v>934</v>
      </c>
      <c r="Z1154" s="16" t="s">
        <v>935</v>
      </c>
      <c r="DA1154" s="405" t="s">
        <v>5</v>
      </c>
      <c r="DB1154" s="405" t="s">
        <v>363</v>
      </c>
      <c r="DC1154" s="406" t="s">
        <v>85</v>
      </c>
      <c r="DD1154" s="405" t="s">
        <v>917</v>
      </c>
      <c r="DE1154" s="405" t="s">
        <v>5</v>
      </c>
      <c r="DF1154" s="406" t="s">
        <v>85</v>
      </c>
      <c r="DG1154" s="407">
        <v>45863</v>
      </c>
      <c r="DH1154" s="405" t="s">
        <v>2708</v>
      </c>
      <c r="DI1154" s="406">
        <v>465455</v>
      </c>
      <c r="DJ1154" s="408">
        <v>5</v>
      </c>
      <c r="DK1154" s="405">
        <v>1</v>
      </c>
      <c r="DL1154" s="82">
        <v>468.28</v>
      </c>
      <c r="DM1154" s="409">
        <v>2.3413999999999997</v>
      </c>
      <c r="DN1154" s="82" t="s">
        <v>85</v>
      </c>
      <c r="DO1154" s="82" t="s">
        <v>85</v>
      </c>
      <c r="DP1154" s="410" t="s">
        <v>85</v>
      </c>
    </row>
    <row r="1155" spans="1:120" x14ac:dyDescent="0.25">
      <c r="A1155" s="16" t="s">
        <v>2712</v>
      </c>
      <c r="B1155" s="16" t="s">
        <v>2713</v>
      </c>
      <c r="C1155" s="16" t="s">
        <v>2714</v>
      </c>
      <c r="D1155" s="16" t="s">
        <v>2595</v>
      </c>
      <c r="E1155" s="16" t="s">
        <v>2715</v>
      </c>
      <c r="F1155" s="16" t="s">
        <v>2716</v>
      </c>
      <c r="G1155" s="16" t="s">
        <v>2717</v>
      </c>
      <c r="H1155" s="16" t="s">
        <v>2718</v>
      </c>
      <c r="I1155" s="16" t="s">
        <v>2719</v>
      </c>
      <c r="J1155" s="16" t="s">
        <v>928</v>
      </c>
      <c r="K1155" s="16" t="s">
        <v>2720</v>
      </c>
      <c r="L1155" s="16" t="s">
        <v>85</v>
      </c>
      <c r="M1155" s="16" t="s">
        <v>1322</v>
      </c>
      <c r="N1155" s="16" t="s">
        <v>914</v>
      </c>
      <c r="O1155" s="16" t="s">
        <v>1323</v>
      </c>
      <c r="P1155" s="16" t="s">
        <v>914</v>
      </c>
      <c r="Q1155" s="16" t="s">
        <v>1323</v>
      </c>
      <c r="R1155" s="16" t="s">
        <v>915</v>
      </c>
      <c r="S1155" s="16" t="s">
        <v>915</v>
      </c>
      <c r="T1155" s="16" t="s">
        <v>1322</v>
      </c>
      <c r="U1155" s="16" t="s">
        <v>1324</v>
      </c>
      <c r="V1155" s="16" t="s">
        <v>916</v>
      </c>
      <c r="W1155" s="16" t="s">
        <v>1324</v>
      </c>
      <c r="X1155" s="16" t="s">
        <v>934</v>
      </c>
      <c r="Y1155" s="16" t="s">
        <v>934</v>
      </c>
      <c r="Z1155" s="16" t="s">
        <v>935</v>
      </c>
      <c r="DA1155" s="405" t="s">
        <v>5</v>
      </c>
      <c r="DB1155" s="405" t="s">
        <v>363</v>
      </c>
      <c r="DC1155" s="406" t="s">
        <v>85</v>
      </c>
      <c r="DD1155" s="405" t="s">
        <v>917</v>
      </c>
      <c r="DE1155" s="405" t="s">
        <v>5</v>
      </c>
      <c r="DF1155" s="406" t="s">
        <v>85</v>
      </c>
      <c r="DG1155" s="407">
        <v>45863</v>
      </c>
      <c r="DH1155" s="405" t="s">
        <v>2715</v>
      </c>
      <c r="DI1155" s="406">
        <v>465455</v>
      </c>
      <c r="DJ1155" s="408">
        <v>5</v>
      </c>
      <c r="DK1155" s="405">
        <v>1</v>
      </c>
      <c r="DL1155" s="82">
        <v>332.47</v>
      </c>
      <c r="DM1155" s="409">
        <v>1.6623500000000002</v>
      </c>
      <c r="DN1155" s="82" t="s">
        <v>85</v>
      </c>
      <c r="DO1155" s="82" t="s">
        <v>85</v>
      </c>
      <c r="DP1155" s="410" t="s">
        <v>85</v>
      </c>
    </row>
    <row r="1156" spans="1:120" x14ac:dyDescent="0.25">
      <c r="A1156" s="16" t="s">
        <v>2712</v>
      </c>
      <c r="B1156" s="16" t="s">
        <v>2713</v>
      </c>
      <c r="C1156" s="16" t="s">
        <v>2714</v>
      </c>
      <c r="D1156" s="16" t="s">
        <v>2595</v>
      </c>
      <c r="E1156" s="16" t="s">
        <v>2715</v>
      </c>
      <c r="F1156" s="16" t="s">
        <v>2716</v>
      </c>
      <c r="G1156" s="16" t="s">
        <v>2717</v>
      </c>
      <c r="H1156" s="16" t="s">
        <v>2718</v>
      </c>
      <c r="I1156" s="16" t="s">
        <v>1007</v>
      </c>
      <c r="J1156" s="16" t="s">
        <v>928</v>
      </c>
      <c r="K1156" s="16" t="s">
        <v>1008</v>
      </c>
      <c r="L1156" s="16" t="s">
        <v>85</v>
      </c>
      <c r="M1156" s="16" t="s">
        <v>1322</v>
      </c>
      <c r="N1156" s="16" t="s">
        <v>914</v>
      </c>
      <c r="O1156" s="16" t="s">
        <v>1323</v>
      </c>
      <c r="P1156" s="16" t="s">
        <v>914</v>
      </c>
      <c r="Q1156" s="16" t="s">
        <v>1323</v>
      </c>
      <c r="R1156" s="16" t="s">
        <v>915</v>
      </c>
      <c r="S1156" s="16" t="s">
        <v>915</v>
      </c>
      <c r="T1156" s="16" t="s">
        <v>1322</v>
      </c>
      <c r="U1156" s="16" t="s">
        <v>1324</v>
      </c>
      <c r="V1156" s="16" t="s">
        <v>916</v>
      </c>
      <c r="W1156" s="16" t="s">
        <v>1324</v>
      </c>
      <c r="X1156" s="16" t="s">
        <v>934</v>
      </c>
      <c r="Y1156" s="16" t="s">
        <v>934</v>
      </c>
      <c r="Z1156" s="16" t="s">
        <v>935</v>
      </c>
      <c r="DA1156" s="405" t="s">
        <v>5</v>
      </c>
      <c r="DB1156" s="405" t="s">
        <v>363</v>
      </c>
      <c r="DC1156" s="406" t="s">
        <v>85</v>
      </c>
      <c r="DD1156" s="405" t="s">
        <v>917</v>
      </c>
      <c r="DE1156" s="405" t="s">
        <v>5</v>
      </c>
      <c r="DF1156" s="406" t="s">
        <v>85</v>
      </c>
      <c r="DG1156" s="407">
        <v>45863</v>
      </c>
      <c r="DH1156" s="405" t="s">
        <v>2715</v>
      </c>
      <c r="DI1156" s="406">
        <v>465455</v>
      </c>
      <c r="DJ1156" s="408">
        <v>5</v>
      </c>
      <c r="DK1156" s="405">
        <v>1</v>
      </c>
      <c r="DL1156" s="82">
        <v>332.47</v>
      </c>
      <c r="DM1156" s="409">
        <v>1.6623500000000002</v>
      </c>
      <c r="DN1156" s="82" t="s">
        <v>85</v>
      </c>
      <c r="DO1156" s="82" t="s">
        <v>85</v>
      </c>
      <c r="DP1156" s="410" t="s">
        <v>85</v>
      </c>
    </row>
    <row r="1157" spans="1:120" x14ac:dyDescent="0.25">
      <c r="A1157" s="16" t="s">
        <v>2712</v>
      </c>
      <c r="B1157" s="16" t="s">
        <v>2713</v>
      </c>
      <c r="C1157" s="16" t="s">
        <v>2714</v>
      </c>
      <c r="D1157" s="16" t="s">
        <v>2595</v>
      </c>
      <c r="E1157" s="16" t="s">
        <v>2715</v>
      </c>
      <c r="F1157" s="16" t="s">
        <v>2716</v>
      </c>
      <c r="G1157" s="16" t="s">
        <v>2717</v>
      </c>
      <c r="H1157" s="16" t="s">
        <v>2718</v>
      </c>
      <c r="I1157" s="16" t="s">
        <v>2721</v>
      </c>
      <c r="J1157" s="16" t="s">
        <v>928</v>
      </c>
      <c r="K1157" s="16" t="s">
        <v>2722</v>
      </c>
      <c r="L1157" s="16" t="s">
        <v>85</v>
      </c>
      <c r="M1157" s="16" t="s">
        <v>1322</v>
      </c>
      <c r="N1157" s="16" t="s">
        <v>914</v>
      </c>
      <c r="O1157" s="16" t="s">
        <v>1323</v>
      </c>
      <c r="P1157" s="16" t="s">
        <v>914</v>
      </c>
      <c r="Q1157" s="16" t="s">
        <v>1323</v>
      </c>
      <c r="R1157" s="16" t="s">
        <v>915</v>
      </c>
      <c r="S1157" s="16" t="s">
        <v>915</v>
      </c>
      <c r="T1157" s="16" t="s">
        <v>1322</v>
      </c>
      <c r="U1157" s="16" t="s">
        <v>1324</v>
      </c>
      <c r="V1157" s="16" t="s">
        <v>916</v>
      </c>
      <c r="W1157" s="16" t="s">
        <v>1324</v>
      </c>
      <c r="X1157" s="16" t="s">
        <v>934</v>
      </c>
      <c r="Y1157" s="16" t="s">
        <v>934</v>
      </c>
      <c r="Z1157" s="16" t="s">
        <v>935</v>
      </c>
      <c r="DA1157" s="405" t="s">
        <v>5</v>
      </c>
      <c r="DB1157" s="405" t="s">
        <v>363</v>
      </c>
      <c r="DC1157" s="406" t="s">
        <v>85</v>
      </c>
      <c r="DD1157" s="405" t="s">
        <v>917</v>
      </c>
      <c r="DE1157" s="405" t="s">
        <v>5</v>
      </c>
      <c r="DF1157" s="406" t="s">
        <v>85</v>
      </c>
      <c r="DG1157" s="407">
        <v>45863</v>
      </c>
      <c r="DH1157" s="405" t="s">
        <v>2715</v>
      </c>
      <c r="DI1157" s="406">
        <v>465455</v>
      </c>
      <c r="DJ1157" s="408">
        <v>5</v>
      </c>
      <c r="DK1157" s="405">
        <v>1</v>
      </c>
      <c r="DL1157" s="82">
        <v>332.47</v>
      </c>
      <c r="DM1157" s="409">
        <v>1.6623500000000002</v>
      </c>
      <c r="DN1157" s="82" t="s">
        <v>85</v>
      </c>
      <c r="DO1157" s="82" t="s">
        <v>85</v>
      </c>
      <c r="DP1157" s="410" t="s">
        <v>85</v>
      </c>
    </row>
    <row r="1158" spans="1:120" x14ac:dyDescent="0.25">
      <c r="A1158" s="16" t="s">
        <v>2723</v>
      </c>
      <c r="B1158" s="16" t="s">
        <v>2724</v>
      </c>
      <c r="C1158" s="16" t="s">
        <v>2725</v>
      </c>
      <c r="D1158" s="16" t="s">
        <v>2595</v>
      </c>
      <c r="E1158" s="16" t="s">
        <v>2726</v>
      </c>
      <c r="F1158" s="16" t="s">
        <v>2727</v>
      </c>
      <c r="G1158" s="16" t="s">
        <v>2728</v>
      </c>
      <c r="H1158" s="16" t="s">
        <v>2727</v>
      </c>
      <c r="I1158" s="16" t="s">
        <v>1368</v>
      </c>
      <c r="J1158" s="16" t="s">
        <v>1123</v>
      </c>
      <c r="K1158" s="16" t="s">
        <v>1369</v>
      </c>
      <c r="L1158" s="16" t="s">
        <v>85</v>
      </c>
      <c r="M1158" s="16" t="s">
        <v>1238</v>
      </c>
      <c r="N1158" s="16" t="s">
        <v>914</v>
      </c>
      <c r="O1158" s="16" t="s">
        <v>1239</v>
      </c>
      <c r="P1158" s="16" t="s">
        <v>914</v>
      </c>
      <c r="Q1158" s="16" t="s">
        <v>1239</v>
      </c>
      <c r="R1158" s="16" t="s">
        <v>915</v>
      </c>
      <c r="S1158" s="16" t="s">
        <v>915</v>
      </c>
      <c r="T1158" s="16" t="s">
        <v>1238</v>
      </c>
      <c r="U1158" s="16" t="s">
        <v>1240</v>
      </c>
      <c r="V1158" s="16" t="s">
        <v>916</v>
      </c>
      <c r="W1158" s="16" t="s">
        <v>1240</v>
      </c>
      <c r="X1158" s="16" t="s">
        <v>934</v>
      </c>
      <c r="Y1158" s="16" t="s">
        <v>934</v>
      </c>
      <c r="Z1158" s="16" t="s">
        <v>935</v>
      </c>
      <c r="DA1158" s="405" t="s">
        <v>5</v>
      </c>
      <c r="DB1158" s="405" t="s">
        <v>363</v>
      </c>
      <c r="DC1158" s="406" t="s">
        <v>85</v>
      </c>
      <c r="DD1158" s="405" t="s">
        <v>917</v>
      </c>
      <c r="DE1158" s="405" t="s">
        <v>5</v>
      </c>
      <c r="DF1158" s="406" t="s">
        <v>85</v>
      </c>
      <c r="DG1158" s="407">
        <v>45863</v>
      </c>
      <c r="DH1158" s="405" t="s">
        <v>2726</v>
      </c>
      <c r="DI1158" s="406">
        <v>465455</v>
      </c>
      <c r="DJ1158" s="408">
        <v>5</v>
      </c>
      <c r="DK1158" s="405">
        <v>1</v>
      </c>
      <c r="DL1158" s="82">
        <v>383.16</v>
      </c>
      <c r="DM1158" s="409">
        <v>1.9158000000000002</v>
      </c>
      <c r="DN1158" s="82" t="s">
        <v>85</v>
      </c>
      <c r="DO1158" s="82" t="s">
        <v>85</v>
      </c>
      <c r="DP1158" s="410" t="s">
        <v>85</v>
      </c>
    </row>
    <row r="1159" spans="1:120" x14ac:dyDescent="0.25">
      <c r="A1159" s="16" t="s">
        <v>2729</v>
      </c>
      <c r="B1159" s="16" t="s">
        <v>2730</v>
      </c>
      <c r="C1159" s="16" t="s">
        <v>2731</v>
      </c>
      <c r="D1159" s="16" t="s">
        <v>2595</v>
      </c>
      <c r="E1159" s="16" t="s">
        <v>2732</v>
      </c>
      <c r="F1159" s="16" t="s">
        <v>2733</v>
      </c>
      <c r="G1159" s="16" t="s">
        <v>2734</v>
      </c>
      <c r="H1159" s="16" t="s">
        <v>2735</v>
      </c>
      <c r="I1159" s="16" t="s">
        <v>1386</v>
      </c>
      <c r="J1159" s="16" t="s">
        <v>1109</v>
      </c>
      <c r="K1159" s="16" t="s">
        <v>1387</v>
      </c>
      <c r="L1159" s="16" t="s">
        <v>85</v>
      </c>
      <c r="M1159" s="16" t="s">
        <v>1311</v>
      </c>
      <c r="N1159" s="16" t="s">
        <v>914</v>
      </c>
      <c r="O1159" s="16" t="s">
        <v>1312</v>
      </c>
      <c r="P1159" s="16" t="s">
        <v>914</v>
      </c>
      <c r="Q1159" s="16" t="s">
        <v>1312</v>
      </c>
      <c r="R1159" s="16" t="s">
        <v>915</v>
      </c>
      <c r="S1159" s="16" t="s">
        <v>915</v>
      </c>
      <c r="T1159" s="16" t="s">
        <v>1311</v>
      </c>
      <c r="U1159" s="16" t="s">
        <v>1313</v>
      </c>
      <c r="V1159" s="16" t="s">
        <v>916</v>
      </c>
      <c r="W1159" s="16" t="s">
        <v>1313</v>
      </c>
      <c r="X1159" s="16" t="s">
        <v>934</v>
      </c>
      <c r="Y1159" s="16" t="s">
        <v>934</v>
      </c>
      <c r="Z1159" s="16" t="s">
        <v>935</v>
      </c>
      <c r="DA1159" s="405" t="s">
        <v>5</v>
      </c>
      <c r="DB1159" s="405" t="s">
        <v>363</v>
      </c>
      <c r="DC1159" s="406" t="s">
        <v>85</v>
      </c>
      <c r="DD1159" s="405" t="s">
        <v>917</v>
      </c>
      <c r="DE1159" s="405" t="s">
        <v>5</v>
      </c>
      <c r="DF1159" s="406" t="s">
        <v>85</v>
      </c>
      <c r="DG1159" s="407">
        <v>45863</v>
      </c>
      <c r="DH1159" s="405" t="s">
        <v>2732</v>
      </c>
      <c r="DI1159" s="406">
        <v>465455</v>
      </c>
      <c r="DJ1159" s="408">
        <v>5</v>
      </c>
      <c r="DK1159" s="405">
        <v>1</v>
      </c>
      <c r="DL1159" s="82">
        <v>531.54</v>
      </c>
      <c r="DM1159" s="409">
        <v>2.6576999999999997</v>
      </c>
      <c r="DN1159" s="82" t="s">
        <v>85</v>
      </c>
      <c r="DO1159" s="82" t="s">
        <v>85</v>
      </c>
      <c r="DP1159" s="410" t="s">
        <v>85</v>
      </c>
    </row>
    <row r="1160" spans="1:120" x14ac:dyDescent="0.25">
      <c r="A1160" s="16" t="s">
        <v>2736</v>
      </c>
      <c r="B1160" s="16" t="s">
        <v>2737</v>
      </c>
      <c r="C1160" s="16" t="s">
        <v>2738</v>
      </c>
      <c r="D1160" s="16" t="s">
        <v>2595</v>
      </c>
      <c r="E1160" s="16" t="s">
        <v>2739</v>
      </c>
      <c r="F1160" s="16" t="s">
        <v>2740</v>
      </c>
      <c r="G1160" s="16" t="s">
        <v>2741</v>
      </c>
      <c r="H1160" s="16" t="s">
        <v>2742</v>
      </c>
      <c r="I1160" s="16" t="s">
        <v>1598</v>
      </c>
      <c r="J1160" s="16" t="s">
        <v>995</v>
      </c>
      <c r="K1160" s="16" t="s">
        <v>1599</v>
      </c>
      <c r="L1160" s="16" t="s">
        <v>85</v>
      </c>
      <c r="M1160" s="16" t="s">
        <v>1165</v>
      </c>
      <c r="N1160" s="16" t="s">
        <v>914</v>
      </c>
      <c r="O1160" s="16" t="s">
        <v>1166</v>
      </c>
      <c r="P1160" s="16" t="s">
        <v>914</v>
      </c>
      <c r="Q1160" s="16" t="s">
        <v>1166</v>
      </c>
      <c r="R1160" s="16" t="s">
        <v>915</v>
      </c>
      <c r="S1160" s="16" t="s">
        <v>915</v>
      </c>
      <c r="T1160" s="16" t="s">
        <v>1167</v>
      </c>
      <c r="U1160" s="16" t="s">
        <v>1168</v>
      </c>
      <c r="V1160" s="16" t="s">
        <v>916</v>
      </c>
      <c r="W1160" s="16" t="s">
        <v>1168</v>
      </c>
      <c r="X1160" s="16" t="s">
        <v>934</v>
      </c>
      <c r="Y1160" s="16" t="s">
        <v>934</v>
      </c>
      <c r="Z1160" s="16" t="s">
        <v>935</v>
      </c>
      <c r="DA1160" s="405" t="s">
        <v>5</v>
      </c>
      <c r="DB1160" s="405" t="s">
        <v>363</v>
      </c>
      <c r="DC1160" s="406" t="s">
        <v>85</v>
      </c>
      <c r="DD1160" s="405" t="s">
        <v>917</v>
      </c>
      <c r="DE1160" s="405" t="s">
        <v>5</v>
      </c>
      <c r="DF1160" s="406" t="s">
        <v>85</v>
      </c>
      <c r="DG1160" s="407">
        <v>45863</v>
      </c>
      <c r="DH1160" s="405" t="s">
        <v>2739</v>
      </c>
      <c r="DI1160" s="406">
        <v>465455</v>
      </c>
      <c r="DJ1160" s="408">
        <v>5</v>
      </c>
      <c r="DK1160" s="405">
        <v>1</v>
      </c>
      <c r="DL1160" s="82">
        <v>468.28</v>
      </c>
      <c r="DM1160" s="409">
        <v>2.3413999999999997</v>
      </c>
      <c r="DN1160" s="82" t="s">
        <v>85</v>
      </c>
      <c r="DO1160" s="82" t="s">
        <v>85</v>
      </c>
      <c r="DP1160" s="410" t="s">
        <v>85</v>
      </c>
    </row>
    <row r="1161" spans="1:120" x14ac:dyDescent="0.25">
      <c r="A1161" s="16" t="s">
        <v>2743</v>
      </c>
      <c r="B1161" s="16" t="s">
        <v>2744</v>
      </c>
      <c r="C1161" s="16" t="s">
        <v>2745</v>
      </c>
      <c r="D1161" s="16" t="s">
        <v>2595</v>
      </c>
      <c r="E1161" s="16" t="s">
        <v>2746</v>
      </c>
      <c r="F1161" s="16" t="s">
        <v>2747</v>
      </c>
      <c r="G1161" s="16" t="s">
        <v>2748</v>
      </c>
      <c r="H1161" s="16" t="s">
        <v>2749</v>
      </c>
      <c r="I1161" s="16" t="s">
        <v>2750</v>
      </c>
      <c r="J1161" s="16" t="s">
        <v>995</v>
      </c>
      <c r="K1161" s="16" t="s">
        <v>2751</v>
      </c>
      <c r="L1161" s="16" t="s">
        <v>85</v>
      </c>
      <c r="M1161" s="16" t="s">
        <v>1165</v>
      </c>
      <c r="N1161" s="16" t="s">
        <v>914</v>
      </c>
      <c r="O1161" s="16" t="s">
        <v>1166</v>
      </c>
      <c r="P1161" s="16" t="s">
        <v>914</v>
      </c>
      <c r="Q1161" s="16" t="s">
        <v>1166</v>
      </c>
      <c r="R1161" s="16" t="s">
        <v>915</v>
      </c>
      <c r="S1161" s="16" t="s">
        <v>915</v>
      </c>
      <c r="T1161" s="16" t="s">
        <v>1167</v>
      </c>
      <c r="U1161" s="16" t="s">
        <v>1168</v>
      </c>
      <c r="V1161" s="16" t="s">
        <v>916</v>
      </c>
      <c r="W1161" s="16" t="s">
        <v>1168</v>
      </c>
      <c r="X1161" s="16" t="s">
        <v>934</v>
      </c>
      <c r="Y1161" s="16" t="s">
        <v>934</v>
      </c>
      <c r="Z1161" s="16" t="s">
        <v>935</v>
      </c>
      <c r="DA1161" s="405" t="s">
        <v>5</v>
      </c>
      <c r="DB1161" s="405" t="s">
        <v>363</v>
      </c>
      <c r="DC1161" s="406" t="s">
        <v>85</v>
      </c>
      <c r="DD1161" s="405" t="s">
        <v>917</v>
      </c>
      <c r="DE1161" s="405" t="s">
        <v>5</v>
      </c>
      <c r="DF1161" s="406" t="s">
        <v>85</v>
      </c>
      <c r="DG1161" s="407">
        <v>45863</v>
      </c>
      <c r="DH1161" s="405" t="s">
        <v>2746</v>
      </c>
      <c r="DI1161" s="406">
        <v>465455</v>
      </c>
      <c r="DJ1161" s="408">
        <v>5</v>
      </c>
      <c r="DK1161" s="405">
        <v>1</v>
      </c>
      <c r="DL1161" s="82">
        <v>468.28</v>
      </c>
      <c r="DM1161" s="409">
        <v>2.3413999999999997</v>
      </c>
      <c r="DN1161" s="82" t="s">
        <v>85</v>
      </c>
      <c r="DO1161" s="82" t="s">
        <v>85</v>
      </c>
      <c r="DP1161" s="410" t="s">
        <v>85</v>
      </c>
    </row>
    <row r="1162" spans="1:120" x14ac:dyDescent="0.25">
      <c r="A1162" s="16" t="s">
        <v>2752</v>
      </c>
      <c r="B1162" s="16" t="s">
        <v>2753</v>
      </c>
      <c r="C1162" s="16" t="s">
        <v>2754</v>
      </c>
      <c r="D1162" s="16" t="s">
        <v>2595</v>
      </c>
      <c r="E1162" s="16" t="s">
        <v>2755</v>
      </c>
      <c r="F1162" s="16" t="s">
        <v>2756</v>
      </c>
      <c r="G1162" s="16" t="s">
        <v>2757</v>
      </c>
      <c r="H1162" s="16" t="s">
        <v>2758</v>
      </c>
      <c r="I1162" s="16" t="s">
        <v>1150</v>
      </c>
      <c r="J1162" s="16" t="s">
        <v>943</v>
      </c>
      <c r="K1162" s="16" t="s">
        <v>1151</v>
      </c>
      <c r="L1162" s="16" t="s">
        <v>85</v>
      </c>
      <c r="M1162" s="16" t="s">
        <v>984</v>
      </c>
      <c r="N1162" s="16" t="s">
        <v>914</v>
      </c>
      <c r="O1162" s="16" t="s">
        <v>985</v>
      </c>
      <c r="P1162" s="16" t="s">
        <v>914</v>
      </c>
      <c r="Q1162" s="16" t="s">
        <v>985</v>
      </c>
      <c r="R1162" s="16" t="s">
        <v>915</v>
      </c>
      <c r="S1162" s="16" t="s">
        <v>915</v>
      </c>
      <c r="T1162" s="16" t="s">
        <v>986</v>
      </c>
      <c r="U1162" s="16" t="s">
        <v>987</v>
      </c>
      <c r="V1162" s="16" t="s">
        <v>916</v>
      </c>
      <c r="W1162" s="16" t="s">
        <v>987</v>
      </c>
      <c r="X1162" s="16" t="s">
        <v>934</v>
      </c>
      <c r="Y1162" s="16" t="s">
        <v>934</v>
      </c>
      <c r="Z1162" s="16" t="s">
        <v>935</v>
      </c>
      <c r="DA1162" s="405" t="s">
        <v>5</v>
      </c>
      <c r="DB1162" s="405" t="s">
        <v>363</v>
      </c>
      <c r="DC1162" s="406" t="s">
        <v>85</v>
      </c>
      <c r="DD1162" s="405" t="s">
        <v>917</v>
      </c>
      <c r="DE1162" s="405" t="s">
        <v>5</v>
      </c>
      <c r="DF1162" s="406" t="s">
        <v>85</v>
      </c>
      <c r="DG1162" s="407">
        <v>45863</v>
      </c>
      <c r="DH1162" s="405" t="s">
        <v>2755</v>
      </c>
      <c r="DI1162" s="406">
        <v>465455</v>
      </c>
      <c r="DJ1162" s="408">
        <v>5</v>
      </c>
      <c r="DK1162" s="405">
        <v>1</v>
      </c>
      <c r="DL1162" s="82">
        <v>340.55</v>
      </c>
      <c r="DM1162" s="409">
        <v>1.70275</v>
      </c>
      <c r="DN1162" s="82" t="s">
        <v>85</v>
      </c>
      <c r="DO1162" s="82" t="s">
        <v>85</v>
      </c>
      <c r="DP1162" s="410" t="s">
        <v>85</v>
      </c>
    </row>
    <row r="1163" spans="1:120" x14ac:dyDescent="0.25">
      <c r="A1163" s="16" t="s">
        <v>2759</v>
      </c>
      <c r="B1163" s="16" t="s">
        <v>2760</v>
      </c>
      <c r="C1163" s="16" t="s">
        <v>2761</v>
      </c>
      <c r="D1163" s="16" t="s">
        <v>2595</v>
      </c>
      <c r="E1163" s="16" t="s">
        <v>2762</v>
      </c>
      <c r="F1163" s="16" t="s">
        <v>2763</v>
      </c>
      <c r="G1163" s="16" t="s">
        <v>2764</v>
      </c>
      <c r="H1163" s="16" t="s">
        <v>2763</v>
      </c>
      <c r="I1163" s="16" t="s">
        <v>2033</v>
      </c>
      <c r="J1163" s="16" t="s">
        <v>928</v>
      </c>
      <c r="K1163" s="16" t="s">
        <v>2034</v>
      </c>
      <c r="L1163" s="16" t="s">
        <v>85</v>
      </c>
      <c r="M1163" s="16" t="s">
        <v>1322</v>
      </c>
      <c r="N1163" s="16" t="s">
        <v>914</v>
      </c>
      <c r="O1163" s="16" t="s">
        <v>1323</v>
      </c>
      <c r="P1163" s="16" t="s">
        <v>914</v>
      </c>
      <c r="Q1163" s="16" t="s">
        <v>1323</v>
      </c>
      <c r="R1163" s="16" t="s">
        <v>915</v>
      </c>
      <c r="S1163" s="16" t="s">
        <v>915</v>
      </c>
      <c r="T1163" s="16" t="s">
        <v>1322</v>
      </c>
      <c r="U1163" s="16" t="s">
        <v>1324</v>
      </c>
      <c r="V1163" s="16" t="s">
        <v>916</v>
      </c>
      <c r="W1163" s="16" t="s">
        <v>1324</v>
      </c>
      <c r="X1163" s="16" t="s">
        <v>934</v>
      </c>
      <c r="Y1163" s="16" t="s">
        <v>934</v>
      </c>
      <c r="Z1163" s="16" t="s">
        <v>935</v>
      </c>
      <c r="DA1163" s="405" t="s">
        <v>5</v>
      </c>
      <c r="DB1163" s="405" t="s">
        <v>363</v>
      </c>
      <c r="DC1163" s="406" t="s">
        <v>85</v>
      </c>
      <c r="DD1163" s="405" t="s">
        <v>917</v>
      </c>
      <c r="DE1163" s="405" t="s">
        <v>5</v>
      </c>
      <c r="DF1163" s="406" t="s">
        <v>85</v>
      </c>
      <c r="DG1163" s="407">
        <v>45863</v>
      </c>
      <c r="DH1163" s="405" t="s">
        <v>2762</v>
      </c>
      <c r="DI1163" s="406">
        <v>465455</v>
      </c>
      <c r="DJ1163" s="408">
        <v>5</v>
      </c>
      <c r="DK1163" s="405">
        <v>1</v>
      </c>
      <c r="DL1163" s="82">
        <v>332.47</v>
      </c>
      <c r="DM1163" s="409">
        <v>1.6623500000000002</v>
      </c>
      <c r="DN1163" s="82" t="s">
        <v>85</v>
      </c>
      <c r="DO1163" s="82" t="s">
        <v>85</v>
      </c>
      <c r="DP1163" s="410" t="s">
        <v>85</v>
      </c>
    </row>
    <row r="1164" spans="1:120" x14ac:dyDescent="0.25">
      <c r="A1164" s="16" t="s">
        <v>2765</v>
      </c>
      <c r="B1164" s="16" t="s">
        <v>2766</v>
      </c>
      <c r="C1164" s="16" t="s">
        <v>2767</v>
      </c>
      <c r="D1164" s="16" t="s">
        <v>2595</v>
      </c>
      <c r="E1164" s="16" t="s">
        <v>2768</v>
      </c>
      <c r="F1164" s="16" t="s">
        <v>2769</v>
      </c>
      <c r="G1164" s="16" t="s">
        <v>2770</v>
      </c>
      <c r="H1164" s="16" t="s">
        <v>2769</v>
      </c>
      <c r="I1164" s="16" t="s">
        <v>1772</v>
      </c>
      <c r="J1164" s="16" t="s">
        <v>1036</v>
      </c>
      <c r="K1164" s="16" t="s">
        <v>1773</v>
      </c>
      <c r="L1164" s="16" t="s">
        <v>85</v>
      </c>
      <c r="M1164" s="16" t="s">
        <v>1216</v>
      </c>
      <c r="N1164" s="16" t="s">
        <v>914</v>
      </c>
      <c r="O1164" s="16" t="s">
        <v>946</v>
      </c>
      <c r="P1164" s="16" t="s">
        <v>914</v>
      </c>
      <c r="Q1164" s="16" t="s">
        <v>946</v>
      </c>
      <c r="R1164" s="16" t="s">
        <v>915</v>
      </c>
      <c r="S1164" s="16" t="s">
        <v>915</v>
      </c>
      <c r="T1164" s="16" t="s">
        <v>1216</v>
      </c>
      <c r="U1164" s="16" t="s">
        <v>1217</v>
      </c>
      <c r="V1164" s="16" t="s">
        <v>916</v>
      </c>
      <c r="W1164" s="16" t="s">
        <v>1217</v>
      </c>
      <c r="X1164" s="16" t="s">
        <v>934</v>
      </c>
      <c r="Y1164" s="16" t="s">
        <v>934</v>
      </c>
      <c r="Z1164" s="16" t="s">
        <v>935</v>
      </c>
      <c r="DA1164" s="405" t="s">
        <v>5</v>
      </c>
      <c r="DB1164" s="405" t="s">
        <v>363</v>
      </c>
      <c r="DC1164" s="406" t="s">
        <v>85</v>
      </c>
      <c r="DD1164" s="405" t="s">
        <v>917</v>
      </c>
      <c r="DE1164" s="405" t="s">
        <v>5</v>
      </c>
      <c r="DF1164" s="406" t="s">
        <v>85</v>
      </c>
      <c r="DG1164" s="407">
        <v>45863</v>
      </c>
      <c r="DH1164" s="405" t="s">
        <v>2768</v>
      </c>
      <c r="DI1164" s="406">
        <v>465455</v>
      </c>
      <c r="DJ1164" s="408">
        <v>5</v>
      </c>
      <c r="DK1164" s="405">
        <v>1</v>
      </c>
      <c r="DL1164" s="82">
        <v>319.22000000000003</v>
      </c>
      <c r="DM1164" s="409">
        <v>1.5961000000000001</v>
      </c>
      <c r="DN1164" s="82" t="s">
        <v>85</v>
      </c>
      <c r="DO1164" s="82" t="s">
        <v>85</v>
      </c>
      <c r="DP1164" s="410" t="s">
        <v>85</v>
      </c>
    </row>
    <row r="1165" spans="1:120" x14ac:dyDescent="0.25">
      <c r="A1165" s="16" t="s">
        <v>2771</v>
      </c>
      <c r="B1165" s="16" t="s">
        <v>2772</v>
      </c>
      <c r="C1165" s="16" t="s">
        <v>2773</v>
      </c>
      <c r="D1165" s="16" t="s">
        <v>2595</v>
      </c>
      <c r="E1165" s="16" t="s">
        <v>2774</v>
      </c>
      <c r="F1165" s="16" t="s">
        <v>2775</v>
      </c>
      <c r="G1165" s="16" t="s">
        <v>2776</v>
      </c>
      <c r="H1165" s="16" t="s">
        <v>2775</v>
      </c>
      <c r="I1165" s="16" t="s">
        <v>2777</v>
      </c>
      <c r="J1165" s="16" t="s">
        <v>943</v>
      </c>
      <c r="K1165" s="16" t="s">
        <v>2778</v>
      </c>
      <c r="L1165" s="16" t="s">
        <v>85</v>
      </c>
      <c r="M1165" s="16" t="s">
        <v>984</v>
      </c>
      <c r="N1165" s="16" t="s">
        <v>914</v>
      </c>
      <c r="O1165" s="16" t="s">
        <v>985</v>
      </c>
      <c r="P1165" s="16" t="s">
        <v>914</v>
      </c>
      <c r="Q1165" s="16" t="s">
        <v>985</v>
      </c>
      <c r="R1165" s="16" t="s">
        <v>915</v>
      </c>
      <c r="S1165" s="16" t="s">
        <v>915</v>
      </c>
      <c r="T1165" s="16" t="s">
        <v>986</v>
      </c>
      <c r="U1165" s="16" t="s">
        <v>987</v>
      </c>
      <c r="V1165" s="16" t="s">
        <v>916</v>
      </c>
      <c r="W1165" s="16" t="s">
        <v>987</v>
      </c>
      <c r="X1165" s="16" t="s">
        <v>934</v>
      </c>
      <c r="Y1165" s="16" t="s">
        <v>934</v>
      </c>
      <c r="Z1165" s="16" t="s">
        <v>935</v>
      </c>
      <c r="DA1165" s="405" t="s">
        <v>5</v>
      </c>
      <c r="DB1165" s="405" t="s">
        <v>363</v>
      </c>
      <c r="DC1165" s="406" t="s">
        <v>85</v>
      </c>
      <c r="DD1165" s="405" t="s">
        <v>917</v>
      </c>
      <c r="DE1165" s="405" t="s">
        <v>5</v>
      </c>
      <c r="DF1165" s="406" t="s">
        <v>85</v>
      </c>
      <c r="DG1165" s="407">
        <v>45863</v>
      </c>
      <c r="DH1165" s="405" t="s">
        <v>2774</v>
      </c>
      <c r="DI1165" s="406">
        <v>465455</v>
      </c>
      <c r="DJ1165" s="408">
        <v>5</v>
      </c>
      <c r="DK1165" s="405">
        <v>1</v>
      </c>
      <c r="DL1165" s="82">
        <v>340.55</v>
      </c>
      <c r="DM1165" s="409">
        <v>1.70275</v>
      </c>
      <c r="DN1165" s="82" t="s">
        <v>85</v>
      </c>
      <c r="DO1165" s="82" t="s">
        <v>85</v>
      </c>
      <c r="DP1165" s="410" t="s">
        <v>85</v>
      </c>
    </row>
    <row r="1166" spans="1:120" x14ac:dyDescent="0.25">
      <c r="A1166" s="16" t="s">
        <v>2779</v>
      </c>
      <c r="B1166" s="16" t="s">
        <v>2780</v>
      </c>
      <c r="C1166" s="16" t="s">
        <v>2781</v>
      </c>
      <c r="D1166" s="16" t="s">
        <v>2595</v>
      </c>
      <c r="E1166" s="16" t="s">
        <v>2782</v>
      </c>
      <c r="F1166" s="16" t="s">
        <v>2783</v>
      </c>
      <c r="G1166" s="16" t="s">
        <v>2784</v>
      </c>
      <c r="H1166" s="16" t="s">
        <v>2785</v>
      </c>
      <c r="I1166" s="16" t="s">
        <v>2136</v>
      </c>
      <c r="J1166" s="16" t="s">
        <v>943</v>
      </c>
      <c r="K1166" s="16" t="s">
        <v>2137</v>
      </c>
      <c r="L1166" s="16" t="s">
        <v>85</v>
      </c>
      <c r="M1166" s="16" t="s">
        <v>984</v>
      </c>
      <c r="N1166" s="16" t="s">
        <v>914</v>
      </c>
      <c r="O1166" s="16" t="s">
        <v>985</v>
      </c>
      <c r="P1166" s="16" t="s">
        <v>914</v>
      </c>
      <c r="Q1166" s="16" t="s">
        <v>985</v>
      </c>
      <c r="R1166" s="16" t="s">
        <v>915</v>
      </c>
      <c r="S1166" s="16" t="s">
        <v>915</v>
      </c>
      <c r="T1166" s="16" t="s">
        <v>986</v>
      </c>
      <c r="U1166" s="16" t="s">
        <v>987</v>
      </c>
      <c r="V1166" s="16" t="s">
        <v>916</v>
      </c>
      <c r="W1166" s="16" t="s">
        <v>987</v>
      </c>
      <c r="X1166" s="16" t="s">
        <v>934</v>
      </c>
      <c r="Y1166" s="16" t="s">
        <v>934</v>
      </c>
      <c r="Z1166" s="16" t="s">
        <v>935</v>
      </c>
      <c r="DA1166" s="405" t="s">
        <v>5</v>
      </c>
      <c r="DB1166" s="405" t="s">
        <v>363</v>
      </c>
      <c r="DC1166" s="406" t="s">
        <v>85</v>
      </c>
      <c r="DD1166" s="405" t="s">
        <v>917</v>
      </c>
      <c r="DE1166" s="405" t="s">
        <v>5</v>
      </c>
      <c r="DF1166" s="406" t="s">
        <v>85</v>
      </c>
      <c r="DG1166" s="407">
        <v>45863</v>
      </c>
      <c r="DH1166" s="405" t="s">
        <v>2782</v>
      </c>
      <c r="DI1166" s="406">
        <v>465455</v>
      </c>
      <c r="DJ1166" s="408">
        <v>5</v>
      </c>
      <c r="DK1166" s="405">
        <v>1</v>
      </c>
      <c r="DL1166" s="82">
        <v>340.55</v>
      </c>
      <c r="DM1166" s="409">
        <v>1.70275</v>
      </c>
      <c r="DN1166" s="82" t="s">
        <v>85</v>
      </c>
      <c r="DO1166" s="82" t="s">
        <v>85</v>
      </c>
      <c r="DP1166" s="410" t="s">
        <v>85</v>
      </c>
    </row>
    <row r="1167" spans="1:120" x14ac:dyDescent="0.25">
      <c r="A1167" s="16" t="s">
        <v>2786</v>
      </c>
      <c r="B1167" s="16" t="s">
        <v>2787</v>
      </c>
      <c r="C1167" s="16" t="s">
        <v>2788</v>
      </c>
      <c r="D1167" s="16" t="s">
        <v>2595</v>
      </c>
      <c r="E1167" s="16" t="s">
        <v>2789</v>
      </c>
      <c r="F1167" s="16" t="s">
        <v>2790</v>
      </c>
      <c r="G1167" s="16" t="s">
        <v>2791</v>
      </c>
      <c r="H1167" s="16" t="s">
        <v>2792</v>
      </c>
      <c r="I1167" s="16" t="s">
        <v>2793</v>
      </c>
      <c r="J1167" s="16" t="s">
        <v>943</v>
      </c>
      <c r="K1167" s="16" t="s">
        <v>2794</v>
      </c>
      <c r="L1167" s="16" t="s">
        <v>85</v>
      </c>
      <c r="M1167" s="16" t="s">
        <v>984</v>
      </c>
      <c r="N1167" s="16" t="s">
        <v>914</v>
      </c>
      <c r="O1167" s="16" t="s">
        <v>985</v>
      </c>
      <c r="P1167" s="16" t="s">
        <v>914</v>
      </c>
      <c r="Q1167" s="16" t="s">
        <v>985</v>
      </c>
      <c r="R1167" s="16" t="s">
        <v>915</v>
      </c>
      <c r="S1167" s="16" t="s">
        <v>915</v>
      </c>
      <c r="T1167" s="16" t="s">
        <v>986</v>
      </c>
      <c r="U1167" s="16" t="s">
        <v>987</v>
      </c>
      <c r="V1167" s="16" t="s">
        <v>916</v>
      </c>
      <c r="W1167" s="16" t="s">
        <v>987</v>
      </c>
      <c r="X1167" s="16" t="s">
        <v>934</v>
      </c>
      <c r="Y1167" s="16" t="s">
        <v>934</v>
      </c>
      <c r="Z1167" s="16" t="s">
        <v>935</v>
      </c>
      <c r="DA1167" s="405" t="s">
        <v>5</v>
      </c>
      <c r="DB1167" s="405" t="s">
        <v>363</v>
      </c>
      <c r="DC1167" s="406" t="s">
        <v>85</v>
      </c>
      <c r="DD1167" s="405" t="s">
        <v>917</v>
      </c>
      <c r="DE1167" s="405" t="s">
        <v>5</v>
      </c>
      <c r="DF1167" s="406" t="s">
        <v>85</v>
      </c>
      <c r="DG1167" s="407">
        <v>45863</v>
      </c>
      <c r="DH1167" s="405" t="s">
        <v>2789</v>
      </c>
      <c r="DI1167" s="406">
        <v>465455</v>
      </c>
      <c r="DJ1167" s="408">
        <v>5</v>
      </c>
      <c r="DK1167" s="405">
        <v>1</v>
      </c>
      <c r="DL1167" s="82">
        <v>340.55</v>
      </c>
      <c r="DM1167" s="409">
        <v>1.70275</v>
      </c>
      <c r="DN1167" s="82" t="s">
        <v>85</v>
      </c>
      <c r="DO1167" s="82" t="s">
        <v>85</v>
      </c>
      <c r="DP1167" s="410" t="s">
        <v>85</v>
      </c>
    </row>
    <row r="1168" spans="1:120" x14ac:dyDescent="0.25">
      <c r="A1168" s="16" t="s">
        <v>2795</v>
      </c>
      <c r="B1168" s="16" t="s">
        <v>2796</v>
      </c>
      <c r="C1168" s="16" t="s">
        <v>2797</v>
      </c>
      <c r="D1168" s="16" t="s">
        <v>2595</v>
      </c>
      <c r="E1168" s="16" t="s">
        <v>2798</v>
      </c>
      <c r="F1168" s="16" t="s">
        <v>2799</v>
      </c>
      <c r="G1168" s="16" t="s">
        <v>2800</v>
      </c>
      <c r="H1168" s="16" t="s">
        <v>2801</v>
      </c>
      <c r="I1168" s="16" t="s">
        <v>2599</v>
      </c>
      <c r="J1168" s="16" t="s">
        <v>2600</v>
      </c>
      <c r="K1168" s="16" t="s">
        <v>2601</v>
      </c>
      <c r="L1168" s="16" t="s">
        <v>85</v>
      </c>
      <c r="M1168" s="16" t="s">
        <v>1955</v>
      </c>
      <c r="N1168" s="16" t="s">
        <v>914</v>
      </c>
      <c r="O1168" s="16" t="s">
        <v>1039</v>
      </c>
      <c r="P1168" s="16" t="s">
        <v>914</v>
      </c>
      <c r="Q1168" s="16" t="s">
        <v>1039</v>
      </c>
      <c r="R1168" s="16" t="s">
        <v>915</v>
      </c>
      <c r="S1168" s="16" t="s">
        <v>915</v>
      </c>
      <c r="T1168" s="16" t="s">
        <v>1955</v>
      </c>
      <c r="U1168" s="16" t="s">
        <v>1956</v>
      </c>
      <c r="V1168" s="16" t="s">
        <v>916</v>
      </c>
      <c r="W1168" s="16" t="s">
        <v>1956</v>
      </c>
      <c r="X1168" s="16" t="s">
        <v>934</v>
      </c>
      <c r="Y1168" s="16" t="s">
        <v>934</v>
      </c>
      <c r="Z1168" s="16" t="s">
        <v>935</v>
      </c>
      <c r="DA1168" s="405" t="s">
        <v>5</v>
      </c>
      <c r="DB1168" s="405" t="s">
        <v>363</v>
      </c>
      <c r="DC1168" s="406" t="s">
        <v>85</v>
      </c>
      <c r="DD1168" s="405" t="s">
        <v>917</v>
      </c>
      <c r="DE1168" s="405" t="s">
        <v>5</v>
      </c>
      <c r="DF1168" s="406" t="s">
        <v>85</v>
      </c>
      <c r="DG1168" s="407">
        <v>45863</v>
      </c>
      <c r="DH1168" s="405" t="s">
        <v>2798</v>
      </c>
      <c r="DI1168" s="406">
        <v>465455</v>
      </c>
      <c r="DJ1168" s="408">
        <v>5</v>
      </c>
      <c r="DK1168" s="405">
        <v>1</v>
      </c>
      <c r="DL1168" s="82">
        <v>311.2</v>
      </c>
      <c r="DM1168" s="409">
        <v>1.556</v>
      </c>
      <c r="DN1168" s="82" t="s">
        <v>85</v>
      </c>
      <c r="DO1168" s="82" t="s">
        <v>85</v>
      </c>
      <c r="DP1168" s="410" t="s">
        <v>85</v>
      </c>
    </row>
    <row r="1169" spans="1:120" x14ac:dyDescent="0.25">
      <c r="A1169" s="16" t="s">
        <v>2802</v>
      </c>
      <c r="B1169" s="16" t="s">
        <v>2803</v>
      </c>
      <c r="C1169" s="16" t="s">
        <v>2804</v>
      </c>
      <c r="D1169" s="16" t="s">
        <v>2595</v>
      </c>
      <c r="E1169" s="16" t="s">
        <v>2805</v>
      </c>
      <c r="F1169" s="16" t="s">
        <v>2806</v>
      </c>
      <c r="G1169" s="16" t="s">
        <v>2807</v>
      </c>
      <c r="H1169" s="16" t="s">
        <v>2808</v>
      </c>
      <c r="I1169" s="16" t="s">
        <v>976</v>
      </c>
      <c r="J1169" s="16" t="s">
        <v>956</v>
      </c>
      <c r="K1169" s="16" t="s">
        <v>977</v>
      </c>
      <c r="L1169" s="16" t="s">
        <v>85</v>
      </c>
      <c r="M1169" s="16" t="s">
        <v>1396</v>
      </c>
      <c r="N1169" s="16" t="s">
        <v>914</v>
      </c>
      <c r="O1169" s="16" t="s">
        <v>1397</v>
      </c>
      <c r="P1169" s="16" t="s">
        <v>914</v>
      </c>
      <c r="Q1169" s="16" t="s">
        <v>1397</v>
      </c>
      <c r="R1169" s="16" t="s">
        <v>915</v>
      </c>
      <c r="S1169" s="16" t="s">
        <v>915</v>
      </c>
      <c r="T1169" s="16" t="s">
        <v>1396</v>
      </c>
      <c r="U1169" s="16" t="s">
        <v>1398</v>
      </c>
      <c r="V1169" s="16" t="s">
        <v>916</v>
      </c>
      <c r="W1169" s="16" t="s">
        <v>1398</v>
      </c>
      <c r="X1169" s="16" t="s">
        <v>934</v>
      </c>
      <c r="Y1169" s="16" t="s">
        <v>934</v>
      </c>
      <c r="Z1169" s="16" t="s">
        <v>935</v>
      </c>
      <c r="DA1169" s="405" t="s">
        <v>5</v>
      </c>
      <c r="DB1169" s="405" t="s">
        <v>363</v>
      </c>
      <c r="DC1169" s="406" t="s">
        <v>85</v>
      </c>
      <c r="DD1169" s="405" t="s">
        <v>917</v>
      </c>
      <c r="DE1169" s="405" t="s">
        <v>5</v>
      </c>
      <c r="DF1169" s="406" t="s">
        <v>85</v>
      </c>
      <c r="DG1169" s="407">
        <v>45863</v>
      </c>
      <c r="DH1169" s="405" t="s">
        <v>2805</v>
      </c>
      <c r="DI1169" s="406">
        <v>465455</v>
      </c>
      <c r="DJ1169" s="408">
        <v>5</v>
      </c>
      <c r="DK1169" s="405">
        <v>1</v>
      </c>
      <c r="DL1169" s="82">
        <v>265.92</v>
      </c>
      <c r="DM1169" s="409">
        <v>1.3296000000000001</v>
      </c>
      <c r="DN1169" s="82" t="s">
        <v>85</v>
      </c>
      <c r="DO1169" s="82" t="s">
        <v>85</v>
      </c>
      <c r="DP1169" s="410" t="s">
        <v>85</v>
      </c>
    </row>
    <row r="1170" spans="1:120" x14ac:dyDescent="0.25">
      <c r="A1170" s="16" t="s">
        <v>2809</v>
      </c>
      <c r="B1170" s="16" t="s">
        <v>2810</v>
      </c>
      <c r="C1170" s="16" t="s">
        <v>2811</v>
      </c>
      <c r="D1170" s="16" t="s">
        <v>2595</v>
      </c>
      <c r="E1170" s="16" t="s">
        <v>2812</v>
      </c>
      <c r="F1170" s="16" t="s">
        <v>2813</v>
      </c>
      <c r="G1170" s="16" t="s">
        <v>2814</v>
      </c>
      <c r="H1170" s="16" t="s">
        <v>2815</v>
      </c>
      <c r="I1170" s="16" t="s">
        <v>1248</v>
      </c>
      <c r="J1170" s="16" t="s">
        <v>995</v>
      </c>
      <c r="K1170" s="16" t="s">
        <v>1249</v>
      </c>
      <c r="L1170" s="16" t="s">
        <v>85</v>
      </c>
      <c r="M1170" s="16" t="s">
        <v>1165</v>
      </c>
      <c r="N1170" s="16" t="s">
        <v>914</v>
      </c>
      <c r="O1170" s="16" t="s">
        <v>1166</v>
      </c>
      <c r="P1170" s="16" t="s">
        <v>914</v>
      </c>
      <c r="Q1170" s="16" t="s">
        <v>1166</v>
      </c>
      <c r="R1170" s="16" t="s">
        <v>915</v>
      </c>
      <c r="S1170" s="16" t="s">
        <v>915</v>
      </c>
      <c r="T1170" s="16" t="s">
        <v>1167</v>
      </c>
      <c r="U1170" s="16" t="s">
        <v>1168</v>
      </c>
      <c r="V1170" s="16" t="s">
        <v>916</v>
      </c>
      <c r="W1170" s="16" t="s">
        <v>1168</v>
      </c>
      <c r="X1170" s="16" t="s">
        <v>934</v>
      </c>
      <c r="Y1170" s="16" t="s">
        <v>934</v>
      </c>
      <c r="Z1170" s="16" t="s">
        <v>935</v>
      </c>
      <c r="DA1170" s="405" t="s">
        <v>5</v>
      </c>
      <c r="DB1170" s="405" t="s">
        <v>363</v>
      </c>
      <c r="DC1170" s="406" t="s">
        <v>85</v>
      </c>
      <c r="DD1170" s="405" t="s">
        <v>917</v>
      </c>
      <c r="DE1170" s="405" t="s">
        <v>5</v>
      </c>
      <c r="DF1170" s="406" t="s">
        <v>85</v>
      </c>
      <c r="DG1170" s="407">
        <v>45863</v>
      </c>
      <c r="DH1170" s="405" t="s">
        <v>2812</v>
      </c>
      <c r="DI1170" s="406">
        <v>465455</v>
      </c>
      <c r="DJ1170" s="408">
        <v>5</v>
      </c>
      <c r="DK1170" s="405">
        <v>1</v>
      </c>
      <c r="DL1170" s="82">
        <v>468.28</v>
      </c>
      <c r="DM1170" s="409">
        <v>2.3413999999999997</v>
      </c>
      <c r="DN1170" s="82" t="s">
        <v>85</v>
      </c>
      <c r="DO1170" s="82" t="s">
        <v>85</v>
      </c>
      <c r="DP1170" s="410" t="s">
        <v>85</v>
      </c>
    </row>
    <row r="1171" spans="1:120" x14ac:dyDescent="0.25">
      <c r="A1171" s="16" t="s">
        <v>2816</v>
      </c>
      <c r="B1171" s="16" t="s">
        <v>2817</v>
      </c>
      <c r="C1171" s="16" t="s">
        <v>2818</v>
      </c>
      <c r="D1171" s="16" t="s">
        <v>2595</v>
      </c>
      <c r="E1171" s="16" t="s">
        <v>2819</v>
      </c>
      <c r="F1171" s="16" t="s">
        <v>2820</v>
      </c>
      <c r="G1171" s="16" t="s">
        <v>2821</v>
      </c>
      <c r="H1171" s="16" t="s">
        <v>2820</v>
      </c>
      <c r="I1171" s="16" t="s">
        <v>2822</v>
      </c>
      <c r="J1171" s="16" t="s">
        <v>943</v>
      </c>
      <c r="K1171" s="16" t="s">
        <v>2823</v>
      </c>
      <c r="L1171" s="16" t="s">
        <v>85</v>
      </c>
      <c r="M1171" s="16" t="s">
        <v>984</v>
      </c>
      <c r="N1171" s="16" t="s">
        <v>914</v>
      </c>
      <c r="O1171" s="16" t="s">
        <v>985</v>
      </c>
      <c r="P1171" s="16" t="s">
        <v>914</v>
      </c>
      <c r="Q1171" s="16" t="s">
        <v>985</v>
      </c>
      <c r="R1171" s="16" t="s">
        <v>915</v>
      </c>
      <c r="S1171" s="16" t="s">
        <v>915</v>
      </c>
      <c r="T1171" s="16" t="s">
        <v>986</v>
      </c>
      <c r="U1171" s="16" t="s">
        <v>987</v>
      </c>
      <c r="V1171" s="16" t="s">
        <v>916</v>
      </c>
      <c r="W1171" s="16" t="s">
        <v>987</v>
      </c>
      <c r="X1171" s="16" t="s">
        <v>934</v>
      </c>
      <c r="Y1171" s="16" t="s">
        <v>934</v>
      </c>
      <c r="Z1171" s="16" t="s">
        <v>935</v>
      </c>
      <c r="DA1171" s="405" t="s">
        <v>5</v>
      </c>
      <c r="DB1171" s="405" t="s">
        <v>363</v>
      </c>
      <c r="DC1171" s="406" t="s">
        <v>85</v>
      </c>
      <c r="DD1171" s="405" t="s">
        <v>917</v>
      </c>
      <c r="DE1171" s="405" t="s">
        <v>5</v>
      </c>
      <c r="DF1171" s="406" t="s">
        <v>85</v>
      </c>
      <c r="DG1171" s="407">
        <v>45863</v>
      </c>
      <c r="DH1171" s="405" t="s">
        <v>2819</v>
      </c>
      <c r="DI1171" s="406">
        <v>465455</v>
      </c>
      <c r="DJ1171" s="408">
        <v>5</v>
      </c>
      <c r="DK1171" s="405">
        <v>1</v>
      </c>
      <c r="DL1171" s="82">
        <v>340.55</v>
      </c>
      <c r="DM1171" s="409">
        <v>1.70275</v>
      </c>
      <c r="DN1171" s="82" t="s">
        <v>85</v>
      </c>
      <c r="DO1171" s="82" t="s">
        <v>85</v>
      </c>
      <c r="DP1171" s="410" t="s">
        <v>85</v>
      </c>
    </row>
    <row r="1172" spans="1:120" x14ac:dyDescent="0.25">
      <c r="A1172" s="16" t="s">
        <v>2824</v>
      </c>
      <c r="B1172" s="16" t="s">
        <v>2825</v>
      </c>
      <c r="C1172" s="16" t="s">
        <v>2826</v>
      </c>
      <c r="D1172" s="16" t="s">
        <v>2595</v>
      </c>
      <c r="E1172" s="16" t="s">
        <v>2827</v>
      </c>
      <c r="F1172" s="16" t="s">
        <v>2828</v>
      </c>
      <c r="G1172" s="16" t="s">
        <v>2829</v>
      </c>
      <c r="H1172" s="16" t="s">
        <v>2828</v>
      </c>
      <c r="I1172" s="16" t="s">
        <v>2830</v>
      </c>
      <c r="J1172" s="16" t="s">
        <v>943</v>
      </c>
      <c r="K1172" s="16" t="s">
        <v>2831</v>
      </c>
      <c r="L1172" s="16" t="s">
        <v>85</v>
      </c>
      <c r="M1172" s="16" t="s">
        <v>984</v>
      </c>
      <c r="N1172" s="16" t="s">
        <v>914</v>
      </c>
      <c r="O1172" s="16" t="s">
        <v>985</v>
      </c>
      <c r="P1172" s="16" t="s">
        <v>914</v>
      </c>
      <c r="Q1172" s="16" t="s">
        <v>985</v>
      </c>
      <c r="R1172" s="16" t="s">
        <v>915</v>
      </c>
      <c r="S1172" s="16" t="s">
        <v>915</v>
      </c>
      <c r="T1172" s="16" t="s">
        <v>986</v>
      </c>
      <c r="U1172" s="16" t="s">
        <v>987</v>
      </c>
      <c r="V1172" s="16" t="s">
        <v>916</v>
      </c>
      <c r="W1172" s="16" t="s">
        <v>987</v>
      </c>
      <c r="X1172" s="16" t="s">
        <v>934</v>
      </c>
      <c r="Y1172" s="16" t="s">
        <v>934</v>
      </c>
      <c r="Z1172" s="16" t="s">
        <v>935</v>
      </c>
      <c r="DA1172" s="405" t="s">
        <v>5</v>
      </c>
      <c r="DB1172" s="405" t="s">
        <v>363</v>
      </c>
      <c r="DC1172" s="406" t="s">
        <v>85</v>
      </c>
      <c r="DD1172" s="405" t="s">
        <v>917</v>
      </c>
      <c r="DE1172" s="405" t="s">
        <v>5</v>
      </c>
      <c r="DF1172" s="406" t="s">
        <v>85</v>
      </c>
      <c r="DG1172" s="407">
        <v>45863</v>
      </c>
      <c r="DH1172" s="405" t="s">
        <v>2827</v>
      </c>
      <c r="DI1172" s="406">
        <v>465455</v>
      </c>
      <c r="DJ1172" s="408">
        <v>5</v>
      </c>
      <c r="DK1172" s="405">
        <v>1</v>
      </c>
      <c r="DL1172" s="82">
        <v>340.55</v>
      </c>
      <c r="DM1172" s="409">
        <v>1.70275</v>
      </c>
      <c r="DN1172" s="82" t="s">
        <v>85</v>
      </c>
      <c r="DO1172" s="82" t="s">
        <v>85</v>
      </c>
      <c r="DP1172" s="410" t="s">
        <v>85</v>
      </c>
    </row>
    <row r="1173" spans="1:120" x14ac:dyDescent="0.25">
      <c r="A1173" s="16" t="s">
        <v>2832</v>
      </c>
      <c r="B1173" s="16" t="s">
        <v>2833</v>
      </c>
      <c r="C1173" s="16" t="s">
        <v>2834</v>
      </c>
      <c r="D1173" s="16" t="s">
        <v>2595</v>
      </c>
      <c r="E1173" s="16" t="s">
        <v>2835</v>
      </c>
      <c r="F1173" s="16" t="s">
        <v>2836</v>
      </c>
      <c r="G1173" s="16" t="s">
        <v>2837</v>
      </c>
      <c r="H1173" s="16" t="s">
        <v>2838</v>
      </c>
      <c r="I1173" s="16" t="s">
        <v>2839</v>
      </c>
      <c r="J1173" s="16" t="s">
        <v>943</v>
      </c>
      <c r="K1173" s="16" t="s">
        <v>2840</v>
      </c>
      <c r="L1173" s="16" t="s">
        <v>85</v>
      </c>
      <c r="M1173" s="16" t="s">
        <v>984</v>
      </c>
      <c r="N1173" s="16" t="s">
        <v>914</v>
      </c>
      <c r="O1173" s="16" t="s">
        <v>985</v>
      </c>
      <c r="P1173" s="16" t="s">
        <v>914</v>
      </c>
      <c r="Q1173" s="16" t="s">
        <v>985</v>
      </c>
      <c r="R1173" s="16" t="s">
        <v>915</v>
      </c>
      <c r="S1173" s="16" t="s">
        <v>915</v>
      </c>
      <c r="T1173" s="16" t="s">
        <v>986</v>
      </c>
      <c r="U1173" s="16" t="s">
        <v>987</v>
      </c>
      <c r="V1173" s="16" t="s">
        <v>916</v>
      </c>
      <c r="W1173" s="16" t="s">
        <v>987</v>
      </c>
      <c r="X1173" s="16" t="s">
        <v>934</v>
      </c>
      <c r="Y1173" s="16" t="s">
        <v>934</v>
      </c>
      <c r="Z1173" s="16" t="s">
        <v>935</v>
      </c>
      <c r="DA1173" s="405" t="s">
        <v>5</v>
      </c>
      <c r="DB1173" s="405" t="s">
        <v>363</v>
      </c>
      <c r="DC1173" s="406" t="s">
        <v>85</v>
      </c>
      <c r="DD1173" s="405" t="s">
        <v>917</v>
      </c>
      <c r="DE1173" s="405" t="s">
        <v>5</v>
      </c>
      <c r="DF1173" s="406" t="s">
        <v>85</v>
      </c>
      <c r="DG1173" s="407">
        <v>45863</v>
      </c>
      <c r="DH1173" s="405" t="s">
        <v>2835</v>
      </c>
      <c r="DI1173" s="406">
        <v>465455</v>
      </c>
      <c r="DJ1173" s="408">
        <v>5</v>
      </c>
      <c r="DK1173" s="405">
        <v>1</v>
      </c>
      <c r="DL1173" s="82">
        <v>340.55</v>
      </c>
      <c r="DM1173" s="409">
        <v>1.70275</v>
      </c>
      <c r="DN1173" s="82" t="s">
        <v>85</v>
      </c>
      <c r="DO1173" s="82" t="s">
        <v>85</v>
      </c>
      <c r="DP1173" s="410" t="s">
        <v>85</v>
      </c>
    </row>
    <row r="1174" spans="1:120" x14ac:dyDescent="0.25">
      <c r="A1174" s="16" t="s">
        <v>2841</v>
      </c>
      <c r="B1174" s="16" t="s">
        <v>2842</v>
      </c>
      <c r="C1174" s="16" t="s">
        <v>2843</v>
      </c>
      <c r="D1174" s="16" t="s">
        <v>2595</v>
      </c>
      <c r="E1174" s="16" t="s">
        <v>2844</v>
      </c>
      <c r="F1174" s="16" t="s">
        <v>2845</v>
      </c>
      <c r="G1174" s="16" t="s">
        <v>2846</v>
      </c>
      <c r="H1174" s="16" t="s">
        <v>2847</v>
      </c>
      <c r="I1174" s="16" t="s">
        <v>1929</v>
      </c>
      <c r="J1174" s="16" t="s">
        <v>995</v>
      </c>
      <c r="K1174" s="16" t="s">
        <v>1930</v>
      </c>
      <c r="L1174" s="16" t="s">
        <v>85</v>
      </c>
      <c r="M1174" s="16" t="s">
        <v>1165</v>
      </c>
      <c r="N1174" s="16" t="s">
        <v>914</v>
      </c>
      <c r="O1174" s="16" t="s">
        <v>1166</v>
      </c>
      <c r="P1174" s="16" t="s">
        <v>914</v>
      </c>
      <c r="Q1174" s="16" t="s">
        <v>1166</v>
      </c>
      <c r="R1174" s="16" t="s">
        <v>915</v>
      </c>
      <c r="S1174" s="16" t="s">
        <v>915</v>
      </c>
      <c r="T1174" s="16" t="s">
        <v>1167</v>
      </c>
      <c r="U1174" s="16" t="s">
        <v>1168</v>
      </c>
      <c r="V1174" s="16" t="s">
        <v>916</v>
      </c>
      <c r="W1174" s="16" t="s">
        <v>1168</v>
      </c>
      <c r="X1174" s="16" t="s">
        <v>934</v>
      </c>
      <c r="Y1174" s="16" t="s">
        <v>934</v>
      </c>
      <c r="Z1174" s="16" t="s">
        <v>935</v>
      </c>
      <c r="DA1174" s="405" t="s">
        <v>5</v>
      </c>
      <c r="DB1174" s="405" t="s">
        <v>363</v>
      </c>
      <c r="DC1174" s="406" t="s">
        <v>85</v>
      </c>
      <c r="DD1174" s="405" t="s">
        <v>917</v>
      </c>
      <c r="DE1174" s="405" t="s">
        <v>5</v>
      </c>
      <c r="DF1174" s="406" t="s">
        <v>85</v>
      </c>
      <c r="DG1174" s="407">
        <v>45863</v>
      </c>
      <c r="DH1174" s="405" t="s">
        <v>2844</v>
      </c>
      <c r="DI1174" s="406">
        <v>465455</v>
      </c>
      <c r="DJ1174" s="408">
        <v>5</v>
      </c>
      <c r="DK1174" s="405">
        <v>1</v>
      </c>
      <c r="DL1174" s="82">
        <v>468.28</v>
      </c>
      <c r="DM1174" s="409">
        <v>2.3413999999999997</v>
      </c>
      <c r="DN1174" s="82" t="s">
        <v>85</v>
      </c>
      <c r="DO1174" s="82" t="s">
        <v>85</v>
      </c>
      <c r="DP1174" s="410" t="s">
        <v>85</v>
      </c>
    </row>
    <row r="1175" spans="1:120" x14ac:dyDescent="0.25">
      <c r="A1175" s="16" t="s">
        <v>2848</v>
      </c>
      <c r="B1175" s="16" t="s">
        <v>2849</v>
      </c>
      <c r="C1175" s="16" t="s">
        <v>2850</v>
      </c>
      <c r="D1175" s="16" t="s">
        <v>2595</v>
      </c>
      <c r="E1175" s="16" t="s">
        <v>2851</v>
      </c>
      <c r="F1175" s="16" t="s">
        <v>2852</v>
      </c>
      <c r="G1175" s="16" t="s">
        <v>2853</v>
      </c>
      <c r="H1175" s="16" t="s">
        <v>2854</v>
      </c>
      <c r="I1175" s="16" t="s">
        <v>1287</v>
      </c>
      <c r="J1175" s="16" t="s">
        <v>943</v>
      </c>
      <c r="K1175" s="16" t="s">
        <v>1288</v>
      </c>
      <c r="L1175" s="16" t="s">
        <v>85</v>
      </c>
      <c r="M1175" s="16" t="s">
        <v>984</v>
      </c>
      <c r="N1175" s="16" t="s">
        <v>914</v>
      </c>
      <c r="O1175" s="16" t="s">
        <v>985</v>
      </c>
      <c r="P1175" s="16" t="s">
        <v>914</v>
      </c>
      <c r="Q1175" s="16" t="s">
        <v>985</v>
      </c>
      <c r="R1175" s="16" t="s">
        <v>915</v>
      </c>
      <c r="S1175" s="16" t="s">
        <v>915</v>
      </c>
      <c r="T1175" s="16" t="s">
        <v>986</v>
      </c>
      <c r="U1175" s="16" t="s">
        <v>987</v>
      </c>
      <c r="V1175" s="16" t="s">
        <v>916</v>
      </c>
      <c r="W1175" s="16" t="s">
        <v>987</v>
      </c>
      <c r="X1175" s="16" t="s">
        <v>934</v>
      </c>
      <c r="Y1175" s="16" t="s">
        <v>934</v>
      </c>
      <c r="Z1175" s="16" t="s">
        <v>935</v>
      </c>
      <c r="DA1175" s="405" t="s">
        <v>5</v>
      </c>
      <c r="DB1175" s="405" t="s">
        <v>363</v>
      </c>
      <c r="DC1175" s="406" t="s">
        <v>85</v>
      </c>
      <c r="DD1175" s="405" t="s">
        <v>917</v>
      </c>
      <c r="DE1175" s="405" t="s">
        <v>5</v>
      </c>
      <c r="DF1175" s="406" t="s">
        <v>85</v>
      </c>
      <c r="DG1175" s="407">
        <v>45863</v>
      </c>
      <c r="DH1175" s="405" t="s">
        <v>2851</v>
      </c>
      <c r="DI1175" s="406">
        <v>465455</v>
      </c>
      <c r="DJ1175" s="408">
        <v>5</v>
      </c>
      <c r="DK1175" s="405">
        <v>1</v>
      </c>
      <c r="DL1175" s="82">
        <v>340.55</v>
      </c>
      <c r="DM1175" s="409">
        <v>1.70275</v>
      </c>
      <c r="DN1175" s="82" t="s">
        <v>85</v>
      </c>
      <c r="DO1175" s="82" t="s">
        <v>85</v>
      </c>
      <c r="DP1175" s="410" t="s">
        <v>85</v>
      </c>
    </row>
    <row r="1176" spans="1:120" x14ac:dyDescent="0.25">
      <c r="A1176" s="16" t="s">
        <v>2855</v>
      </c>
      <c r="B1176" s="16" t="s">
        <v>2856</v>
      </c>
      <c r="C1176" s="16" t="s">
        <v>2857</v>
      </c>
      <c r="D1176" s="16" t="s">
        <v>2595</v>
      </c>
      <c r="E1176" s="16" t="s">
        <v>2858</v>
      </c>
      <c r="F1176" s="16" t="s">
        <v>2859</v>
      </c>
      <c r="G1176" s="16" t="s">
        <v>2860</v>
      </c>
      <c r="H1176" s="16" t="s">
        <v>2859</v>
      </c>
      <c r="I1176" s="16" t="s">
        <v>1728</v>
      </c>
      <c r="J1176" s="16" t="s">
        <v>943</v>
      </c>
      <c r="K1176" s="16" t="s">
        <v>1729</v>
      </c>
      <c r="L1176" s="16" t="s">
        <v>85</v>
      </c>
      <c r="M1176" s="16" t="s">
        <v>984</v>
      </c>
      <c r="N1176" s="16" t="s">
        <v>914</v>
      </c>
      <c r="O1176" s="16" t="s">
        <v>985</v>
      </c>
      <c r="P1176" s="16" t="s">
        <v>914</v>
      </c>
      <c r="Q1176" s="16" t="s">
        <v>985</v>
      </c>
      <c r="R1176" s="16" t="s">
        <v>915</v>
      </c>
      <c r="S1176" s="16" t="s">
        <v>915</v>
      </c>
      <c r="T1176" s="16" t="s">
        <v>986</v>
      </c>
      <c r="U1176" s="16" t="s">
        <v>987</v>
      </c>
      <c r="V1176" s="16" t="s">
        <v>916</v>
      </c>
      <c r="W1176" s="16" t="s">
        <v>987</v>
      </c>
      <c r="X1176" s="16" t="s">
        <v>934</v>
      </c>
      <c r="Y1176" s="16" t="s">
        <v>934</v>
      </c>
      <c r="Z1176" s="16" t="s">
        <v>935</v>
      </c>
      <c r="DA1176" s="405" t="s">
        <v>5</v>
      </c>
      <c r="DB1176" s="405" t="s">
        <v>363</v>
      </c>
      <c r="DC1176" s="406" t="s">
        <v>85</v>
      </c>
      <c r="DD1176" s="405" t="s">
        <v>917</v>
      </c>
      <c r="DE1176" s="405" t="s">
        <v>5</v>
      </c>
      <c r="DF1176" s="406" t="s">
        <v>85</v>
      </c>
      <c r="DG1176" s="407">
        <v>45863</v>
      </c>
      <c r="DH1176" s="405" t="s">
        <v>2858</v>
      </c>
      <c r="DI1176" s="406">
        <v>465455</v>
      </c>
      <c r="DJ1176" s="408">
        <v>5</v>
      </c>
      <c r="DK1176" s="405">
        <v>1</v>
      </c>
      <c r="DL1176" s="82">
        <v>340.55</v>
      </c>
      <c r="DM1176" s="409">
        <v>1.70275</v>
      </c>
      <c r="DN1176" s="82" t="s">
        <v>85</v>
      </c>
      <c r="DO1176" s="82" t="s">
        <v>85</v>
      </c>
      <c r="DP1176" s="410" t="s">
        <v>85</v>
      </c>
    </row>
    <row r="1177" spans="1:120" x14ac:dyDescent="0.25">
      <c r="A1177" s="16" t="s">
        <v>2855</v>
      </c>
      <c r="B1177" s="16" t="s">
        <v>2856</v>
      </c>
      <c r="C1177" s="16" t="s">
        <v>2857</v>
      </c>
      <c r="D1177" s="16" t="s">
        <v>2595</v>
      </c>
      <c r="E1177" s="16" t="s">
        <v>2858</v>
      </c>
      <c r="F1177" s="16" t="s">
        <v>2859</v>
      </c>
      <c r="G1177" s="16" t="s">
        <v>2860</v>
      </c>
      <c r="H1177" s="16" t="s">
        <v>2859</v>
      </c>
      <c r="I1177" s="16" t="s">
        <v>2661</v>
      </c>
      <c r="J1177" s="16" t="s">
        <v>943</v>
      </c>
      <c r="K1177" s="16" t="s">
        <v>2662</v>
      </c>
      <c r="L1177" s="16" t="s">
        <v>85</v>
      </c>
      <c r="M1177" s="16" t="s">
        <v>984</v>
      </c>
      <c r="N1177" s="16" t="s">
        <v>914</v>
      </c>
      <c r="O1177" s="16" t="s">
        <v>985</v>
      </c>
      <c r="P1177" s="16" t="s">
        <v>914</v>
      </c>
      <c r="Q1177" s="16" t="s">
        <v>985</v>
      </c>
      <c r="R1177" s="16" t="s">
        <v>915</v>
      </c>
      <c r="S1177" s="16" t="s">
        <v>915</v>
      </c>
      <c r="T1177" s="16" t="s">
        <v>986</v>
      </c>
      <c r="U1177" s="16" t="s">
        <v>987</v>
      </c>
      <c r="V1177" s="16" t="s">
        <v>916</v>
      </c>
      <c r="W1177" s="16" t="s">
        <v>987</v>
      </c>
      <c r="X1177" s="16" t="s">
        <v>934</v>
      </c>
      <c r="Y1177" s="16" t="s">
        <v>934</v>
      </c>
      <c r="Z1177" s="16" t="s">
        <v>935</v>
      </c>
      <c r="DA1177" s="405" t="s">
        <v>5</v>
      </c>
      <c r="DB1177" s="405" t="s">
        <v>363</v>
      </c>
      <c r="DC1177" s="406" t="s">
        <v>85</v>
      </c>
      <c r="DD1177" s="405" t="s">
        <v>917</v>
      </c>
      <c r="DE1177" s="405" t="s">
        <v>5</v>
      </c>
      <c r="DF1177" s="406" t="s">
        <v>85</v>
      </c>
      <c r="DG1177" s="407">
        <v>45863</v>
      </c>
      <c r="DH1177" s="405" t="s">
        <v>2858</v>
      </c>
      <c r="DI1177" s="406">
        <v>465455</v>
      </c>
      <c r="DJ1177" s="408">
        <v>5</v>
      </c>
      <c r="DK1177" s="405">
        <v>1</v>
      </c>
      <c r="DL1177" s="82">
        <v>340.55</v>
      </c>
      <c r="DM1177" s="409">
        <v>1.70275</v>
      </c>
      <c r="DN1177" s="82" t="s">
        <v>85</v>
      </c>
      <c r="DO1177" s="82" t="s">
        <v>85</v>
      </c>
      <c r="DP1177" s="410" t="s">
        <v>85</v>
      </c>
    </row>
    <row r="1178" spans="1:120" x14ac:dyDescent="0.25">
      <c r="A1178" s="16" t="s">
        <v>2861</v>
      </c>
      <c r="B1178" s="16" t="s">
        <v>2862</v>
      </c>
      <c r="C1178" s="16" t="s">
        <v>2863</v>
      </c>
      <c r="D1178" s="16" t="s">
        <v>2595</v>
      </c>
      <c r="E1178" s="16" t="s">
        <v>2864</v>
      </c>
      <c r="F1178" s="16" t="s">
        <v>2865</v>
      </c>
      <c r="G1178" s="16" t="s">
        <v>2866</v>
      </c>
      <c r="H1178" s="16" t="s">
        <v>2865</v>
      </c>
      <c r="I1178" s="16" t="s">
        <v>2867</v>
      </c>
      <c r="J1178" s="16" t="s">
        <v>928</v>
      </c>
      <c r="K1178" s="16" t="s">
        <v>2868</v>
      </c>
      <c r="L1178" s="16" t="s">
        <v>85</v>
      </c>
      <c r="M1178" s="16" t="s">
        <v>1322</v>
      </c>
      <c r="N1178" s="16" t="s">
        <v>914</v>
      </c>
      <c r="O1178" s="16" t="s">
        <v>1323</v>
      </c>
      <c r="P1178" s="16" t="s">
        <v>914</v>
      </c>
      <c r="Q1178" s="16" t="s">
        <v>1323</v>
      </c>
      <c r="R1178" s="16" t="s">
        <v>915</v>
      </c>
      <c r="S1178" s="16" t="s">
        <v>915</v>
      </c>
      <c r="T1178" s="16" t="s">
        <v>1322</v>
      </c>
      <c r="U1178" s="16" t="s">
        <v>1324</v>
      </c>
      <c r="V1178" s="16" t="s">
        <v>916</v>
      </c>
      <c r="W1178" s="16" t="s">
        <v>1324</v>
      </c>
      <c r="X1178" s="16" t="s">
        <v>934</v>
      </c>
      <c r="Y1178" s="16" t="s">
        <v>934</v>
      </c>
      <c r="Z1178" s="16" t="s">
        <v>935</v>
      </c>
      <c r="DA1178" s="405" t="s">
        <v>5</v>
      </c>
      <c r="DB1178" s="405" t="s">
        <v>363</v>
      </c>
      <c r="DC1178" s="406" t="s">
        <v>85</v>
      </c>
      <c r="DD1178" s="405" t="s">
        <v>917</v>
      </c>
      <c r="DE1178" s="405" t="s">
        <v>5</v>
      </c>
      <c r="DF1178" s="406" t="s">
        <v>85</v>
      </c>
      <c r="DG1178" s="407">
        <v>45863</v>
      </c>
      <c r="DH1178" s="405" t="s">
        <v>2864</v>
      </c>
      <c r="DI1178" s="406">
        <v>465455</v>
      </c>
      <c r="DJ1178" s="408">
        <v>5</v>
      </c>
      <c r="DK1178" s="405">
        <v>1</v>
      </c>
      <c r="DL1178" s="82">
        <v>332.47</v>
      </c>
      <c r="DM1178" s="409">
        <v>1.6623500000000002</v>
      </c>
      <c r="DN1178" s="82" t="s">
        <v>85</v>
      </c>
      <c r="DO1178" s="82" t="s">
        <v>85</v>
      </c>
      <c r="DP1178" s="410" t="s">
        <v>85</v>
      </c>
    </row>
    <row r="1179" spans="1:120" x14ac:dyDescent="0.25">
      <c r="A1179" s="16" t="s">
        <v>2869</v>
      </c>
      <c r="B1179" s="16" t="s">
        <v>2870</v>
      </c>
      <c r="C1179" s="16" t="s">
        <v>2871</v>
      </c>
      <c r="D1179" s="16" t="s">
        <v>2595</v>
      </c>
      <c r="E1179" s="16" t="s">
        <v>2872</v>
      </c>
      <c r="F1179" s="16" t="s">
        <v>2873</v>
      </c>
      <c r="G1179" s="16" t="s">
        <v>2874</v>
      </c>
      <c r="H1179" s="16" t="s">
        <v>2875</v>
      </c>
      <c r="I1179" s="16" t="s">
        <v>2876</v>
      </c>
      <c r="J1179" s="16" t="s">
        <v>995</v>
      </c>
      <c r="K1179" s="16" t="s">
        <v>2877</v>
      </c>
      <c r="L1179" s="16" t="s">
        <v>85</v>
      </c>
      <c r="M1179" s="16" t="s">
        <v>1165</v>
      </c>
      <c r="N1179" s="16" t="s">
        <v>914</v>
      </c>
      <c r="O1179" s="16" t="s">
        <v>1166</v>
      </c>
      <c r="P1179" s="16" t="s">
        <v>914</v>
      </c>
      <c r="Q1179" s="16" t="s">
        <v>1166</v>
      </c>
      <c r="R1179" s="16" t="s">
        <v>915</v>
      </c>
      <c r="S1179" s="16" t="s">
        <v>915</v>
      </c>
      <c r="T1179" s="16" t="s">
        <v>1167</v>
      </c>
      <c r="U1179" s="16" t="s">
        <v>1168</v>
      </c>
      <c r="V1179" s="16" t="s">
        <v>916</v>
      </c>
      <c r="W1179" s="16" t="s">
        <v>1168</v>
      </c>
      <c r="X1179" s="16" t="s">
        <v>934</v>
      </c>
      <c r="Y1179" s="16" t="s">
        <v>934</v>
      </c>
      <c r="Z1179" s="16" t="s">
        <v>935</v>
      </c>
      <c r="DA1179" s="405" t="s">
        <v>5</v>
      </c>
      <c r="DB1179" s="405" t="s">
        <v>363</v>
      </c>
      <c r="DC1179" s="406" t="s">
        <v>85</v>
      </c>
      <c r="DD1179" s="405" t="s">
        <v>917</v>
      </c>
      <c r="DE1179" s="405" t="s">
        <v>5</v>
      </c>
      <c r="DF1179" s="406" t="s">
        <v>85</v>
      </c>
      <c r="DG1179" s="407">
        <v>45863</v>
      </c>
      <c r="DH1179" s="405" t="s">
        <v>2872</v>
      </c>
      <c r="DI1179" s="406">
        <v>465455</v>
      </c>
      <c r="DJ1179" s="408">
        <v>5</v>
      </c>
      <c r="DK1179" s="405">
        <v>1</v>
      </c>
      <c r="DL1179" s="82">
        <v>468.28</v>
      </c>
      <c r="DM1179" s="409">
        <v>2.3413999999999997</v>
      </c>
      <c r="DN1179" s="82" t="s">
        <v>85</v>
      </c>
      <c r="DO1179" s="82" t="s">
        <v>85</v>
      </c>
      <c r="DP1179" s="410" t="s">
        <v>85</v>
      </c>
    </row>
    <row r="1180" spans="1:120" x14ac:dyDescent="0.25">
      <c r="A1180" s="16" t="s">
        <v>2878</v>
      </c>
      <c r="B1180" s="16" t="s">
        <v>2879</v>
      </c>
      <c r="C1180" s="16" t="s">
        <v>2880</v>
      </c>
      <c r="D1180" s="16" t="s">
        <v>2595</v>
      </c>
      <c r="E1180" s="16" t="s">
        <v>2881</v>
      </c>
      <c r="F1180" s="16" t="s">
        <v>2882</v>
      </c>
      <c r="G1180" s="16" t="s">
        <v>2883</v>
      </c>
      <c r="H1180" s="16" t="s">
        <v>2882</v>
      </c>
      <c r="I1180" s="16" t="s">
        <v>1122</v>
      </c>
      <c r="J1180" s="16" t="s">
        <v>1123</v>
      </c>
      <c r="K1180" s="16" t="s">
        <v>1124</v>
      </c>
      <c r="L1180" s="16" t="s">
        <v>85</v>
      </c>
      <c r="M1180" s="16" t="s">
        <v>1238</v>
      </c>
      <c r="N1180" s="16" t="s">
        <v>914</v>
      </c>
      <c r="O1180" s="16" t="s">
        <v>1239</v>
      </c>
      <c r="P1180" s="16" t="s">
        <v>914</v>
      </c>
      <c r="Q1180" s="16" t="s">
        <v>1239</v>
      </c>
      <c r="R1180" s="16" t="s">
        <v>915</v>
      </c>
      <c r="S1180" s="16" t="s">
        <v>915</v>
      </c>
      <c r="T1180" s="16" t="s">
        <v>1238</v>
      </c>
      <c r="U1180" s="16" t="s">
        <v>1240</v>
      </c>
      <c r="V1180" s="16" t="s">
        <v>916</v>
      </c>
      <c r="W1180" s="16" t="s">
        <v>1240</v>
      </c>
      <c r="X1180" s="16" t="s">
        <v>934</v>
      </c>
      <c r="Y1180" s="16" t="s">
        <v>934</v>
      </c>
      <c r="Z1180" s="16" t="s">
        <v>935</v>
      </c>
      <c r="DA1180" s="405" t="s">
        <v>5</v>
      </c>
      <c r="DB1180" s="405" t="s">
        <v>363</v>
      </c>
      <c r="DC1180" s="406" t="s">
        <v>85</v>
      </c>
      <c r="DD1180" s="405" t="s">
        <v>917</v>
      </c>
      <c r="DE1180" s="405" t="s">
        <v>5</v>
      </c>
      <c r="DF1180" s="406" t="s">
        <v>85</v>
      </c>
      <c r="DG1180" s="407">
        <v>45863</v>
      </c>
      <c r="DH1180" s="405" t="s">
        <v>2881</v>
      </c>
      <c r="DI1180" s="406">
        <v>465455</v>
      </c>
      <c r="DJ1180" s="408">
        <v>5</v>
      </c>
      <c r="DK1180" s="405">
        <v>1</v>
      </c>
      <c r="DL1180" s="82">
        <v>383.16</v>
      </c>
      <c r="DM1180" s="409">
        <v>1.9158000000000002</v>
      </c>
      <c r="DN1180" s="82" t="s">
        <v>85</v>
      </c>
      <c r="DO1180" s="82" t="s">
        <v>85</v>
      </c>
      <c r="DP1180" s="410" t="s">
        <v>85</v>
      </c>
    </row>
    <row r="1181" spans="1:120" x14ac:dyDescent="0.25">
      <c r="A1181" s="16" t="s">
        <v>2884</v>
      </c>
      <c r="B1181" s="16" t="s">
        <v>2885</v>
      </c>
      <c r="C1181" s="16" t="s">
        <v>2886</v>
      </c>
      <c r="D1181" s="16" t="s">
        <v>2595</v>
      </c>
      <c r="E1181" s="16" t="s">
        <v>2887</v>
      </c>
      <c r="F1181" s="16" t="s">
        <v>2888</v>
      </c>
      <c r="G1181" s="16" t="s">
        <v>2889</v>
      </c>
      <c r="H1181" s="16" t="s">
        <v>2890</v>
      </c>
      <c r="I1181" s="16" t="s">
        <v>1809</v>
      </c>
      <c r="J1181" s="16" t="s">
        <v>928</v>
      </c>
      <c r="K1181" s="16" t="s">
        <v>1810</v>
      </c>
      <c r="L1181" s="16" t="s">
        <v>85</v>
      </c>
      <c r="M1181" s="16" t="s">
        <v>1322</v>
      </c>
      <c r="N1181" s="16" t="s">
        <v>914</v>
      </c>
      <c r="O1181" s="16" t="s">
        <v>1323</v>
      </c>
      <c r="P1181" s="16" t="s">
        <v>914</v>
      </c>
      <c r="Q1181" s="16" t="s">
        <v>1323</v>
      </c>
      <c r="R1181" s="16" t="s">
        <v>915</v>
      </c>
      <c r="S1181" s="16" t="s">
        <v>915</v>
      </c>
      <c r="T1181" s="16" t="s">
        <v>1322</v>
      </c>
      <c r="U1181" s="16" t="s">
        <v>1324</v>
      </c>
      <c r="V1181" s="16" t="s">
        <v>916</v>
      </c>
      <c r="W1181" s="16" t="s">
        <v>1324</v>
      </c>
      <c r="X1181" s="16" t="s">
        <v>934</v>
      </c>
      <c r="Y1181" s="16" t="s">
        <v>934</v>
      </c>
      <c r="Z1181" s="16" t="s">
        <v>935</v>
      </c>
      <c r="DA1181" s="405" t="s">
        <v>5</v>
      </c>
      <c r="DB1181" s="405" t="s">
        <v>363</v>
      </c>
      <c r="DC1181" s="406" t="s">
        <v>85</v>
      </c>
      <c r="DD1181" s="405" t="s">
        <v>917</v>
      </c>
      <c r="DE1181" s="405" t="s">
        <v>5</v>
      </c>
      <c r="DF1181" s="406" t="s">
        <v>85</v>
      </c>
      <c r="DG1181" s="407">
        <v>45863</v>
      </c>
      <c r="DH1181" s="405" t="s">
        <v>2887</v>
      </c>
      <c r="DI1181" s="406">
        <v>465455</v>
      </c>
      <c r="DJ1181" s="408">
        <v>5</v>
      </c>
      <c r="DK1181" s="405">
        <v>1</v>
      </c>
      <c r="DL1181" s="82">
        <v>332.47</v>
      </c>
      <c r="DM1181" s="409">
        <v>1.6623500000000002</v>
      </c>
      <c r="DN1181" s="82" t="s">
        <v>85</v>
      </c>
      <c r="DO1181" s="82" t="s">
        <v>85</v>
      </c>
      <c r="DP1181" s="410" t="s">
        <v>85</v>
      </c>
    </row>
    <row r="1182" spans="1:120" x14ac:dyDescent="0.25">
      <c r="A1182" s="16" t="s">
        <v>2891</v>
      </c>
      <c r="B1182" s="16" t="s">
        <v>2892</v>
      </c>
      <c r="C1182" s="16" t="s">
        <v>2893</v>
      </c>
      <c r="D1182" s="16" t="s">
        <v>2595</v>
      </c>
      <c r="E1182" s="16" t="s">
        <v>2894</v>
      </c>
      <c r="F1182" s="16" t="s">
        <v>2895</v>
      </c>
      <c r="G1182" s="16" t="s">
        <v>2896</v>
      </c>
      <c r="H1182" s="16" t="s">
        <v>2897</v>
      </c>
      <c r="I1182" s="16" t="s">
        <v>2898</v>
      </c>
      <c r="J1182" s="16" t="s">
        <v>943</v>
      </c>
      <c r="K1182" s="16" t="s">
        <v>2899</v>
      </c>
      <c r="L1182" s="16" t="s">
        <v>85</v>
      </c>
      <c r="M1182" s="16" t="s">
        <v>984</v>
      </c>
      <c r="N1182" s="16" t="s">
        <v>914</v>
      </c>
      <c r="O1182" s="16" t="s">
        <v>985</v>
      </c>
      <c r="P1182" s="16" t="s">
        <v>914</v>
      </c>
      <c r="Q1182" s="16" t="s">
        <v>985</v>
      </c>
      <c r="R1182" s="16" t="s">
        <v>915</v>
      </c>
      <c r="S1182" s="16" t="s">
        <v>915</v>
      </c>
      <c r="T1182" s="16" t="s">
        <v>986</v>
      </c>
      <c r="U1182" s="16" t="s">
        <v>987</v>
      </c>
      <c r="V1182" s="16" t="s">
        <v>916</v>
      </c>
      <c r="W1182" s="16" t="s">
        <v>987</v>
      </c>
      <c r="X1182" s="16" t="s">
        <v>934</v>
      </c>
      <c r="Y1182" s="16" t="s">
        <v>934</v>
      </c>
      <c r="Z1182" s="16" t="s">
        <v>935</v>
      </c>
      <c r="DA1182" s="405" t="s">
        <v>5</v>
      </c>
      <c r="DB1182" s="405" t="s">
        <v>363</v>
      </c>
      <c r="DC1182" s="406" t="s">
        <v>85</v>
      </c>
      <c r="DD1182" s="405" t="s">
        <v>917</v>
      </c>
      <c r="DE1182" s="405" t="s">
        <v>5</v>
      </c>
      <c r="DF1182" s="406" t="s">
        <v>85</v>
      </c>
      <c r="DG1182" s="407">
        <v>45863</v>
      </c>
      <c r="DH1182" s="405" t="s">
        <v>2894</v>
      </c>
      <c r="DI1182" s="406">
        <v>465455</v>
      </c>
      <c r="DJ1182" s="408">
        <v>5</v>
      </c>
      <c r="DK1182" s="405">
        <v>1</v>
      </c>
      <c r="DL1182" s="82">
        <v>340.55</v>
      </c>
      <c r="DM1182" s="409">
        <v>1.70275</v>
      </c>
      <c r="DN1182" s="82" t="s">
        <v>85</v>
      </c>
      <c r="DO1182" s="82" t="s">
        <v>85</v>
      </c>
      <c r="DP1182" s="410" t="s">
        <v>85</v>
      </c>
    </row>
    <row r="1183" spans="1:120" x14ac:dyDescent="0.25">
      <c r="A1183" s="16" t="s">
        <v>2900</v>
      </c>
      <c r="B1183" s="16" t="s">
        <v>2901</v>
      </c>
      <c r="C1183" s="16" t="s">
        <v>2902</v>
      </c>
      <c r="D1183" s="16" t="s">
        <v>2595</v>
      </c>
      <c r="E1183" s="16" t="s">
        <v>2903</v>
      </c>
      <c r="F1183" s="16" t="s">
        <v>2904</v>
      </c>
      <c r="G1183" s="16" t="s">
        <v>2905</v>
      </c>
      <c r="H1183" s="16" t="s">
        <v>2906</v>
      </c>
      <c r="I1183" s="16" t="s">
        <v>1309</v>
      </c>
      <c r="J1183" s="16" t="s">
        <v>1109</v>
      </c>
      <c r="K1183" s="16" t="s">
        <v>1310</v>
      </c>
      <c r="L1183" s="16" t="s">
        <v>85</v>
      </c>
      <c r="M1183" s="16" t="s">
        <v>1311</v>
      </c>
      <c r="N1183" s="16" t="s">
        <v>914</v>
      </c>
      <c r="O1183" s="16" t="s">
        <v>1312</v>
      </c>
      <c r="P1183" s="16" t="s">
        <v>914</v>
      </c>
      <c r="Q1183" s="16" t="s">
        <v>1312</v>
      </c>
      <c r="R1183" s="16" t="s">
        <v>915</v>
      </c>
      <c r="S1183" s="16" t="s">
        <v>915</v>
      </c>
      <c r="T1183" s="16" t="s">
        <v>1311</v>
      </c>
      <c r="U1183" s="16" t="s">
        <v>1313</v>
      </c>
      <c r="V1183" s="16" t="s">
        <v>916</v>
      </c>
      <c r="W1183" s="16" t="s">
        <v>1313</v>
      </c>
      <c r="X1183" s="16" t="s">
        <v>934</v>
      </c>
      <c r="Y1183" s="16" t="s">
        <v>934</v>
      </c>
      <c r="Z1183" s="16" t="s">
        <v>935</v>
      </c>
      <c r="DA1183" s="405" t="s">
        <v>5</v>
      </c>
      <c r="DB1183" s="405" t="s">
        <v>363</v>
      </c>
      <c r="DC1183" s="406" t="s">
        <v>85</v>
      </c>
      <c r="DD1183" s="405" t="s">
        <v>917</v>
      </c>
      <c r="DE1183" s="405" t="s">
        <v>5</v>
      </c>
      <c r="DF1183" s="406" t="s">
        <v>85</v>
      </c>
      <c r="DG1183" s="407">
        <v>45863</v>
      </c>
      <c r="DH1183" s="405" t="s">
        <v>2903</v>
      </c>
      <c r="DI1183" s="406">
        <v>465455</v>
      </c>
      <c r="DJ1183" s="408">
        <v>5</v>
      </c>
      <c r="DK1183" s="405">
        <v>1</v>
      </c>
      <c r="DL1183" s="82">
        <v>531.54</v>
      </c>
      <c r="DM1183" s="409">
        <v>2.6576999999999997</v>
      </c>
      <c r="DN1183" s="82" t="s">
        <v>85</v>
      </c>
      <c r="DO1183" s="82" t="s">
        <v>85</v>
      </c>
      <c r="DP1183" s="410" t="s">
        <v>85</v>
      </c>
    </row>
    <row r="1184" spans="1:120" x14ac:dyDescent="0.25">
      <c r="A1184" s="16" t="s">
        <v>2907</v>
      </c>
      <c r="B1184" s="16" t="s">
        <v>2908</v>
      </c>
      <c r="C1184" s="16" t="s">
        <v>2909</v>
      </c>
      <c r="D1184" s="16" t="s">
        <v>2595</v>
      </c>
      <c r="E1184" s="16" t="s">
        <v>2910</v>
      </c>
      <c r="F1184" s="16" t="s">
        <v>2911</v>
      </c>
      <c r="G1184" s="16" t="s">
        <v>2912</v>
      </c>
      <c r="H1184" s="16" t="s">
        <v>2911</v>
      </c>
      <c r="I1184" s="16" t="s">
        <v>2913</v>
      </c>
      <c r="J1184" s="16" t="s">
        <v>2699</v>
      </c>
      <c r="K1184" s="16" t="s">
        <v>2914</v>
      </c>
      <c r="L1184" s="16" t="s">
        <v>85</v>
      </c>
      <c r="M1184" s="16" t="s">
        <v>2701</v>
      </c>
      <c r="N1184" s="16" t="s">
        <v>914</v>
      </c>
      <c r="O1184" s="16" t="s">
        <v>2702</v>
      </c>
      <c r="P1184" s="16" t="s">
        <v>914</v>
      </c>
      <c r="Q1184" s="16" t="s">
        <v>2702</v>
      </c>
      <c r="R1184" s="16" t="s">
        <v>915</v>
      </c>
      <c r="S1184" s="16" t="s">
        <v>915</v>
      </c>
      <c r="T1184" s="16" t="s">
        <v>2703</v>
      </c>
      <c r="U1184" s="16" t="s">
        <v>2704</v>
      </c>
      <c r="V1184" s="16" t="s">
        <v>916</v>
      </c>
      <c r="W1184" s="16" t="s">
        <v>2704</v>
      </c>
      <c r="X1184" s="16" t="s">
        <v>934</v>
      </c>
      <c r="Y1184" s="16" t="s">
        <v>934</v>
      </c>
      <c r="Z1184" s="16" t="s">
        <v>935</v>
      </c>
      <c r="DA1184" s="405" t="s">
        <v>5</v>
      </c>
      <c r="DB1184" s="405" t="s">
        <v>363</v>
      </c>
      <c r="DC1184" s="406" t="s">
        <v>85</v>
      </c>
      <c r="DD1184" s="405" t="s">
        <v>917</v>
      </c>
      <c r="DE1184" s="405" t="s">
        <v>5</v>
      </c>
      <c r="DF1184" s="406" t="s">
        <v>85</v>
      </c>
      <c r="DG1184" s="407">
        <v>45863</v>
      </c>
      <c r="DH1184" s="405" t="s">
        <v>2910</v>
      </c>
      <c r="DI1184" s="406">
        <v>465455</v>
      </c>
      <c r="DJ1184" s="408">
        <v>5</v>
      </c>
      <c r="DK1184" s="405">
        <v>1</v>
      </c>
      <c r="DL1184" s="82">
        <v>478.9</v>
      </c>
      <c r="DM1184" s="409">
        <v>2.3944999999999999</v>
      </c>
      <c r="DN1184" s="82" t="s">
        <v>85</v>
      </c>
      <c r="DO1184" s="82" t="s">
        <v>85</v>
      </c>
      <c r="DP1184" s="410" t="s">
        <v>85</v>
      </c>
    </row>
    <row r="1185" spans="1:120" x14ac:dyDescent="0.25">
      <c r="A1185" s="16" t="s">
        <v>2915</v>
      </c>
      <c r="B1185" s="16" t="s">
        <v>2916</v>
      </c>
      <c r="C1185" s="16" t="s">
        <v>2917</v>
      </c>
      <c r="D1185" s="16" t="s">
        <v>2595</v>
      </c>
      <c r="E1185" s="16" t="s">
        <v>2918</v>
      </c>
      <c r="F1185" s="16" t="s">
        <v>2919</v>
      </c>
      <c r="G1185" s="16" t="s">
        <v>2920</v>
      </c>
      <c r="H1185" s="16" t="s">
        <v>2921</v>
      </c>
      <c r="I1185" s="16" t="s">
        <v>2118</v>
      </c>
      <c r="J1185" s="16" t="s">
        <v>928</v>
      </c>
      <c r="K1185" s="16" t="s">
        <v>2119</v>
      </c>
      <c r="L1185" s="16" t="s">
        <v>85</v>
      </c>
      <c r="M1185" s="16" t="s">
        <v>1322</v>
      </c>
      <c r="N1185" s="16" t="s">
        <v>914</v>
      </c>
      <c r="O1185" s="16" t="s">
        <v>1323</v>
      </c>
      <c r="P1185" s="16" t="s">
        <v>914</v>
      </c>
      <c r="Q1185" s="16" t="s">
        <v>1323</v>
      </c>
      <c r="R1185" s="16" t="s">
        <v>915</v>
      </c>
      <c r="S1185" s="16" t="s">
        <v>915</v>
      </c>
      <c r="T1185" s="16" t="s">
        <v>1322</v>
      </c>
      <c r="U1185" s="16" t="s">
        <v>1324</v>
      </c>
      <c r="V1185" s="16" t="s">
        <v>916</v>
      </c>
      <c r="W1185" s="16" t="s">
        <v>1324</v>
      </c>
      <c r="X1185" s="16" t="s">
        <v>934</v>
      </c>
      <c r="Y1185" s="16" t="s">
        <v>934</v>
      </c>
      <c r="Z1185" s="16" t="s">
        <v>935</v>
      </c>
      <c r="DA1185" s="405" t="s">
        <v>5</v>
      </c>
      <c r="DB1185" s="405" t="s">
        <v>363</v>
      </c>
      <c r="DC1185" s="406" t="s">
        <v>85</v>
      </c>
      <c r="DD1185" s="405" t="s">
        <v>917</v>
      </c>
      <c r="DE1185" s="405" t="s">
        <v>5</v>
      </c>
      <c r="DF1185" s="406" t="s">
        <v>85</v>
      </c>
      <c r="DG1185" s="407">
        <v>45863</v>
      </c>
      <c r="DH1185" s="405" t="s">
        <v>2918</v>
      </c>
      <c r="DI1185" s="406">
        <v>465455</v>
      </c>
      <c r="DJ1185" s="408">
        <v>5</v>
      </c>
      <c r="DK1185" s="405">
        <v>1</v>
      </c>
      <c r="DL1185" s="82">
        <v>332.47</v>
      </c>
      <c r="DM1185" s="409">
        <v>1.6623500000000002</v>
      </c>
      <c r="DN1185" s="82" t="s">
        <v>85</v>
      </c>
      <c r="DO1185" s="82" t="s">
        <v>85</v>
      </c>
      <c r="DP1185" s="410" t="s">
        <v>85</v>
      </c>
    </row>
    <row r="1186" spans="1:120" x14ac:dyDescent="0.25">
      <c r="A1186" s="16" t="s">
        <v>2915</v>
      </c>
      <c r="B1186" s="16" t="s">
        <v>2916</v>
      </c>
      <c r="C1186" s="16" t="s">
        <v>2917</v>
      </c>
      <c r="D1186" s="16" t="s">
        <v>2595</v>
      </c>
      <c r="E1186" s="16" t="s">
        <v>2918</v>
      </c>
      <c r="F1186" s="16" t="s">
        <v>2919</v>
      </c>
      <c r="G1186" s="16" t="s">
        <v>2920</v>
      </c>
      <c r="H1186" s="16" t="s">
        <v>2921</v>
      </c>
      <c r="I1186" s="16" t="s">
        <v>2922</v>
      </c>
      <c r="J1186" s="16" t="s">
        <v>928</v>
      </c>
      <c r="K1186" s="16" t="s">
        <v>2923</v>
      </c>
      <c r="L1186" s="16" t="s">
        <v>85</v>
      </c>
      <c r="M1186" s="16" t="s">
        <v>1322</v>
      </c>
      <c r="N1186" s="16" t="s">
        <v>914</v>
      </c>
      <c r="O1186" s="16" t="s">
        <v>1323</v>
      </c>
      <c r="P1186" s="16" t="s">
        <v>914</v>
      </c>
      <c r="Q1186" s="16" t="s">
        <v>1323</v>
      </c>
      <c r="R1186" s="16" t="s">
        <v>915</v>
      </c>
      <c r="S1186" s="16" t="s">
        <v>915</v>
      </c>
      <c r="T1186" s="16" t="s">
        <v>1322</v>
      </c>
      <c r="U1186" s="16" t="s">
        <v>1324</v>
      </c>
      <c r="V1186" s="16" t="s">
        <v>916</v>
      </c>
      <c r="W1186" s="16" t="s">
        <v>1324</v>
      </c>
      <c r="X1186" s="16" t="s">
        <v>934</v>
      </c>
      <c r="Y1186" s="16" t="s">
        <v>934</v>
      </c>
      <c r="Z1186" s="16" t="s">
        <v>935</v>
      </c>
      <c r="DA1186" s="405" t="s">
        <v>5</v>
      </c>
      <c r="DB1186" s="405" t="s">
        <v>363</v>
      </c>
      <c r="DC1186" s="406" t="s">
        <v>85</v>
      </c>
      <c r="DD1186" s="405" t="s">
        <v>917</v>
      </c>
      <c r="DE1186" s="405" t="s">
        <v>5</v>
      </c>
      <c r="DF1186" s="406" t="s">
        <v>85</v>
      </c>
      <c r="DG1186" s="407">
        <v>45863</v>
      </c>
      <c r="DH1186" s="405" t="s">
        <v>2918</v>
      </c>
      <c r="DI1186" s="406">
        <v>465455</v>
      </c>
      <c r="DJ1186" s="408">
        <v>5</v>
      </c>
      <c r="DK1186" s="405">
        <v>1</v>
      </c>
      <c r="DL1186" s="82">
        <v>332.47</v>
      </c>
      <c r="DM1186" s="409">
        <v>1.6623500000000002</v>
      </c>
      <c r="DN1186" s="82" t="s">
        <v>85</v>
      </c>
      <c r="DO1186" s="82" t="s">
        <v>85</v>
      </c>
      <c r="DP1186" s="410" t="s">
        <v>85</v>
      </c>
    </row>
    <row r="1187" spans="1:120" x14ac:dyDescent="0.25">
      <c r="A1187" s="16" t="s">
        <v>2924</v>
      </c>
      <c r="B1187" s="16" t="s">
        <v>2925</v>
      </c>
      <c r="C1187" s="16" t="s">
        <v>2926</v>
      </c>
      <c r="D1187" s="16" t="s">
        <v>2595</v>
      </c>
      <c r="E1187" s="16" t="s">
        <v>2927</v>
      </c>
      <c r="F1187" s="16" t="s">
        <v>2928</v>
      </c>
      <c r="G1187" s="16" t="s">
        <v>2929</v>
      </c>
      <c r="H1187" s="16" t="s">
        <v>2928</v>
      </c>
      <c r="I1187" s="16" t="s">
        <v>1150</v>
      </c>
      <c r="J1187" s="16" t="s">
        <v>943</v>
      </c>
      <c r="K1187" s="16" t="s">
        <v>1151</v>
      </c>
      <c r="L1187" s="16" t="s">
        <v>85</v>
      </c>
      <c r="M1187" s="16" t="s">
        <v>984</v>
      </c>
      <c r="N1187" s="16" t="s">
        <v>914</v>
      </c>
      <c r="O1187" s="16" t="s">
        <v>985</v>
      </c>
      <c r="P1187" s="16" t="s">
        <v>914</v>
      </c>
      <c r="Q1187" s="16" t="s">
        <v>985</v>
      </c>
      <c r="R1187" s="16" t="s">
        <v>915</v>
      </c>
      <c r="S1187" s="16" t="s">
        <v>915</v>
      </c>
      <c r="T1187" s="16" t="s">
        <v>986</v>
      </c>
      <c r="U1187" s="16" t="s">
        <v>987</v>
      </c>
      <c r="V1187" s="16" t="s">
        <v>916</v>
      </c>
      <c r="W1187" s="16" t="s">
        <v>987</v>
      </c>
      <c r="X1187" s="16" t="s">
        <v>934</v>
      </c>
      <c r="Y1187" s="16" t="s">
        <v>934</v>
      </c>
      <c r="Z1187" s="16" t="s">
        <v>935</v>
      </c>
      <c r="DA1187" s="405" t="s">
        <v>5</v>
      </c>
      <c r="DB1187" s="405" t="s">
        <v>363</v>
      </c>
      <c r="DC1187" s="406" t="s">
        <v>85</v>
      </c>
      <c r="DD1187" s="405" t="s">
        <v>917</v>
      </c>
      <c r="DE1187" s="405" t="s">
        <v>5</v>
      </c>
      <c r="DF1187" s="406" t="s">
        <v>85</v>
      </c>
      <c r="DG1187" s="407">
        <v>45863</v>
      </c>
      <c r="DH1187" s="405" t="s">
        <v>2927</v>
      </c>
      <c r="DI1187" s="406">
        <v>465455</v>
      </c>
      <c r="DJ1187" s="408">
        <v>5</v>
      </c>
      <c r="DK1187" s="405">
        <v>1</v>
      </c>
      <c r="DL1187" s="82">
        <v>340.55</v>
      </c>
      <c r="DM1187" s="409">
        <v>1.70275</v>
      </c>
      <c r="DN1187" s="82" t="s">
        <v>85</v>
      </c>
      <c r="DO1187" s="82" t="s">
        <v>85</v>
      </c>
      <c r="DP1187" s="410" t="s">
        <v>85</v>
      </c>
    </row>
    <row r="1188" spans="1:120" x14ac:dyDescent="0.25">
      <c r="A1188" s="16" t="s">
        <v>2340</v>
      </c>
      <c r="B1188" s="16" t="s">
        <v>2341</v>
      </c>
      <c r="C1188" s="16" t="s">
        <v>2342</v>
      </c>
      <c r="D1188" s="16" t="s">
        <v>2343</v>
      </c>
      <c r="E1188" s="16" t="s">
        <v>2344</v>
      </c>
      <c r="F1188" s="16" t="s">
        <v>2345</v>
      </c>
      <c r="G1188" s="16" t="s">
        <v>2346</v>
      </c>
      <c r="H1188" s="16" t="s">
        <v>2345</v>
      </c>
      <c r="I1188" s="16" t="s">
        <v>968</v>
      </c>
      <c r="J1188" s="16" t="s">
        <v>943</v>
      </c>
      <c r="K1188" s="16" t="s">
        <v>969</v>
      </c>
      <c r="L1188" s="16" t="s">
        <v>85</v>
      </c>
      <c r="M1188" s="16" t="s">
        <v>984</v>
      </c>
      <c r="N1188" s="16" t="s">
        <v>914</v>
      </c>
      <c r="O1188" s="16" t="s">
        <v>985</v>
      </c>
      <c r="P1188" s="16" t="s">
        <v>914</v>
      </c>
      <c r="Q1188" s="16" t="s">
        <v>985</v>
      </c>
      <c r="R1188" s="16" t="s">
        <v>915</v>
      </c>
      <c r="S1188" s="16" t="s">
        <v>915</v>
      </c>
      <c r="T1188" s="16" t="s">
        <v>986</v>
      </c>
      <c r="U1188" s="16" t="s">
        <v>987</v>
      </c>
      <c r="V1188" s="16" t="s">
        <v>916</v>
      </c>
      <c r="W1188" s="16" t="s">
        <v>987</v>
      </c>
      <c r="X1188" s="16" t="s">
        <v>934</v>
      </c>
      <c r="Y1188" s="16" t="s">
        <v>934</v>
      </c>
      <c r="Z1188" s="16" t="s">
        <v>935</v>
      </c>
      <c r="DA1188" s="405" t="s">
        <v>5</v>
      </c>
      <c r="DB1188" s="405" t="s">
        <v>363</v>
      </c>
      <c r="DC1188" s="406" t="s">
        <v>85</v>
      </c>
      <c r="DD1188" s="405" t="s">
        <v>917</v>
      </c>
      <c r="DE1188" s="405" t="s">
        <v>5</v>
      </c>
      <c r="DF1188" s="406" t="s">
        <v>85</v>
      </c>
      <c r="DG1188" s="407">
        <v>45864</v>
      </c>
      <c r="DH1188" s="405" t="s">
        <v>2344</v>
      </c>
      <c r="DI1188" s="406">
        <v>465455</v>
      </c>
      <c r="DJ1188" s="408">
        <v>5</v>
      </c>
      <c r="DK1188" s="405">
        <v>1</v>
      </c>
      <c r="DL1188" s="82">
        <v>340.55</v>
      </c>
      <c r="DM1188" s="409">
        <v>1.70275</v>
      </c>
      <c r="DN1188" s="82" t="s">
        <v>85</v>
      </c>
      <c r="DO1188" s="82" t="s">
        <v>85</v>
      </c>
      <c r="DP1188" s="410" t="s">
        <v>85</v>
      </c>
    </row>
    <row r="1189" spans="1:120" x14ac:dyDescent="0.25">
      <c r="A1189" s="16" t="s">
        <v>2347</v>
      </c>
      <c r="B1189" s="16" t="s">
        <v>2348</v>
      </c>
      <c r="C1189" s="16" t="s">
        <v>2349</v>
      </c>
      <c r="D1189" s="16" t="s">
        <v>2343</v>
      </c>
      <c r="E1189" s="16" t="s">
        <v>2350</v>
      </c>
      <c r="F1189" s="16" t="s">
        <v>2351</v>
      </c>
      <c r="G1189" s="16" t="s">
        <v>2352</v>
      </c>
      <c r="H1189" s="16" t="s">
        <v>2353</v>
      </c>
      <c r="I1189" s="16" t="s">
        <v>2354</v>
      </c>
      <c r="J1189" s="16" t="s">
        <v>1847</v>
      </c>
      <c r="K1189" s="16" t="s">
        <v>2355</v>
      </c>
      <c r="L1189" s="16" t="s">
        <v>85</v>
      </c>
      <c r="M1189" s="16" t="s">
        <v>1849</v>
      </c>
      <c r="N1189" s="16" t="s">
        <v>914</v>
      </c>
      <c r="O1189" s="16" t="s">
        <v>1850</v>
      </c>
      <c r="P1189" s="16" t="s">
        <v>914</v>
      </c>
      <c r="Q1189" s="16" t="s">
        <v>1850</v>
      </c>
      <c r="R1189" s="16" t="s">
        <v>915</v>
      </c>
      <c r="S1189" s="16" t="s">
        <v>915</v>
      </c>
      <c r="T1189" s="16" t="s">
        <v>1851</v>
      </c>
      <c r="U1189" s="16" t="s">
        <v>1852</v>
      </c>
      <c r="V1189" s="16" t="s">
        <v>916</v>
      </c>
      <c r="W1189" s="16" t="s">
        <v>1852</v>
      </c>
      <c r="X1189" s="16" t="s">
        <v>934</v>
      </c>
      <c r="Y1189" s="16" t="s">
        <v>934</v>
      </c>
      <c r="Z1189" s="16" t="s">
        <v>935</v>
      </c>
      <c r="DA1189" s="405" t="s">
        <v>5</v>
      </c>
      <c r="DB1189" s="405" t="s">
        <v>363</v>
      </c>
      <c r="DC1189" s="406" t="s">
        <v>85</v>
      </c>
      <c r="DD1189" s="405" t="s">
        <v>917</v>
      </c>
      <c r="DE1189" s="405" t="s">
        <v>5</v>
      </c>
      <c r="DF1189" s="406" t="s">
        <v>85</v>
      </c>
      <c r="DG1189" s="407">
        <v>45864</v>
      </c>
      <c r="DH1189" s="405" t="s">
        <v>2350</v>
      </c>
      <c r="DI1189" s="406">
        <v>465455</v>
      </c>
      <c r="DJ1189" s="408">
        <v>5</v>
      </c>
      <c r="DK1189" s="405">
        <v>1</v>
      </c>
      <c r="DL1189" s="82">
        <v>447.02</v>
      </c>
      <c r="DM1189" s="409">
        <v>2.2351000000000001</v>
      </c>
      <c r="DN1189" s="82" t="s">
        <v>85</v>
      </c>
      <c r="DO1189" s="82" t="s">
        <v>85</v>
      </c>
      <c r="DP1189" s="410" t="s">
        <v>85</v>
      </c>
    </row>
    <row r="1190" spans="1:120" x14ac:dyDescent="0.25">
      <c r="A1190" s="16" t="s">
        <v>2356</v>
      </c>
      <c r="B1190" s="16" t="s">
        <v>2357</v>
      </c>
      <c r="C1190" s="16" t="s">
        <v>2358</v>
      </c>
      <c r="D1190" s="16" t="s">
        <v>2343</v>
      </c>
      <c r="E1190" s="16" t="s">
        <v>2359</v>
      </c>
      <c r="F1190" s="16" t="s">
        <v>2360</v>
      </c>
      <c r="G1190" s="16" t="s">
        <v>2361</v>
      </c>
      <c r="H1190" s="16" t="s">
        <v>2360</v>
      </c>
      <c r="I1190" s="16" t="s">
        <v>1937</v>
      </c>
      <c r="J1190" s="16" t="s">
        <v>1036</v>
      </c>
      <c r="K1190" s="16" t="s">
        <v>1938</v>
      </c>
      <c r="L1190" s="16" t="s">
        <v>85</v>
      </c>
      <c r="M1190" s="16" t="s">
        <v>1216</v>
      </c>
      <c r="N1190" s="16" t="s">
        <v>914</v>
      </c>
      <c r="O1190" s="16" t="s">
        <v>946</v>
      </c>
      <c r="P1190" s="16" t="s">
        <v>914</v>
      </c>
      <c r="Q1190" s="16" t="s">
        <v>946</v>
      </c>
      <c r="R1190" s="16" t="s">
        <v>915</v>
      </c>
      <c r="S1190" s="16" t="s">
        <v>915</v>
      </c>
      <c r="T1190" s="16" t="s">
        <v>1216</v>
      </c>
      <c r="U1190" s="16" t="s">
        <v>1217</v>
      </c>
      <c r="V1190" s="16" t="s">
        <v>916</v>
      </c>
      <c r="W1190" s="16" t="s">
        <v>1217</v>
      </c>
      <c r="X1190" s="16" t="s">
        <v>934</v>
      </c>
      <c r="Y1190" s="16" t="s">
        <v>934</v>
      </c>
      <c r="Z1190" s="16" t="s">
        <v>935</v>
      </c>
      <c r="DA1190" s="405" t="s">
        <v>5</v>
      </c>
      <c r="DB1190" s="405" t="s">
        <v>363</v>
      </c>
      <c r="DC1190" s="406" t="s">
        <v>85</v>
      </c>
      <c r="DD1190" s="405" t="s">
        <v>917</v>
      </c>
      <c r="DE1190" s="405" t="s">
        <v>5</v>
      </c>
      <c r="DF1190" s="406" t="s">
        <v>85</v>
      </c>
      <c r="DG1190" s="407">
        <v>45864</v>
      </c>
      <c r="DH1190" s="405" t="s">
        <v>2359</v>
      </c>
      <c r="DI1190" s="406">
        <v>465455</v>
      </c>
      <c r="DJ1190" s="408">
        <v>5</v>
      </c>
      <c r="DK1190" s="405">
        <v>1</v>
      </c>
      <c r="DL1190" s="82">
        <v>319.22000000000003</v>
      </c>
      <c r="DM1190" s="409">
        <v>1.5961000000000001</v>
      </c>
      <c r="DN1190" s="82" t="s">
        <v>85</v>
      </c>
      <c r="DO1190" s="82" t="s">
        <v>85</v>
      </c>
      <c r="DP1190" s="410" t="s">
        <v>85</v>
      </c>
    </row>
    <row r="1191" spans="1:120" x14ac:dyDescent="0.25">
      <c r="A1191" s="16" t="s">
        <v>2362</v>
      </c>
      <c r="B1191" s="16" t="s">
        <v>2363</v>
      </c>
      <c r="C1191" s="16" t="s">
        <v>2364</v>
      </c>
      <c r="D1191" s="16" t="s">
        <v>2343</v>
      </c>
      <c r="E1191" s="16" t="s">
        <v>2365</v>
      </c>
      <c r="F1191" s="16" t="s">
        <v>2366</v>
      </c>
      <c r="G1191" s="16" t="s">
        <v>2367</v>
      </c>
      <c r="H1191" s="16" t="s">
        <v>2366</v>
      </c>
      <c r="I1191" s="16" t="s">
        <v>2368</v>
      </c>
      <c r="J1191" s="16" t="s">
        <v>2369</v>
      </c>
      <c r="K1191" s="16" t="s">
        <v>2370</v>
      </c>
      <c r="L1191" s="16" t="s">
        <v>85</v>
      </c>
      <c r="M1191" s="16" t="s">
        <v>1955</v>
      </c>
      <c r="N1191" s="16" t="s">
        <v>914</v>
      </c>
      <c r="O1191" s="16" t="s">
        <v>1039</v>
      </c>
      <c r="P1191" s="16" t="s">
        <v>914</v>
      </c>
      <c r="Q1191" s="16" t="s">
        <v>1039</v>
      </c>
      <c r="R1191" s="16" t="s">
        <v>915</v>
      </c>
      <c r="S1191" s="16" t="s">
        <v>915</v>
      </c>
      <c r="T1191" s="16" t="s">
        <v>1955</v>
      </c>
      <c r="U1191" s="16" t="s">
        <v>1956</v>
      </c>
      <c r="V1191" s="16" t="s">
        <v>916</v>
      </c>
      <c r="W1191" s="16" t="s">
        <v>1956</v>
      </c>
      <c r="X1191" s="16" t="s">
        <v>934</v>
      </c>
      <c r="Y1191" s="16" t="s">
        <v>934</v>
      </c>
      <c r="Z1191" s="16" t="s">
        <v>935</v>
      </c>
      <c r="DA1191" s="405" t="s">
        <v>5</v>
      </c>
      <c r="DB1191" s="405" t="s">
        <v>363</v>
      </c>
      <c r="DC1191" s="406" t="s">
        <v>85</v>
      </c>
      <c r="DD1191" s="405" t="s">
        <v>917</v>
      </c>
      <c r="DE1191" s="405" t="s">
        <v>5</v>
      </c>
      <c r="DF1191" s="406" t="s">
        <v>85</v>
      </c>
      <c r="DG1191" s="407">
        <v>45864</v>
      </c>
      <c r="DH1191" s="405" t="s">
        <v>2365</v>
      </c>
      <c r="DI1191" s="406">
        <v>465455</v>
      </c>
      <c r="DJ1191" s="408">
        <v>5</v>
      </c>
      <c r="DK1191" s="405">
        <v>1</v>
      </c>
      <c r="DL1191" s="82">
        <v>311.2</v>
      </c>
      <c r="DM1191" s="409">
        <v>1.556</v>
      </c>
      <c r="DN1191" s="82" t="s">
        <v>85</v>
      </c>
      <c r="DO1191" s="82" t="s">
        <v>85</v>
      </c>
      <c r="DP1191" s="410" t="s">
        <v>85</v>
      </c>
    </row>
    <row r="1192" spans="1:120" x14ac:dyDescent="0.25">
      <c r="A1192" s="16" t="s">
        <v>2371</v>
      </c>
      <c r="B1192" s="16" t="s">
        <v>2372</v>
      </c>
      <c r="C1192" s="16" t="s">
        <v>2373</v>
      </c>
      <c r="D1192" s="16" t="s">
        <v>2343</v>
      </c>
      <c r="E1192" s="16" t="s">
        <v>2374</v>
      </c>
      <c r="F1192" s="16" t="s">
        <v>2375</v>
      </c>
      <c r="G1192" s="16" t="s">
        <v>2376</v>
      </c>
      <c r="H1192" s="16" t="s">
        <v>2375</v>
      </c>
      <c r="I1192" s="16" t="s">
        <v>1090</v>
      </c>
      <c r="J1192" s="16" t="s">
        <v>943</v>
      </c>
      <c r="K1192" s="16" t="s">
        <v>1091</v>
      </c>
      <c r="L1192" s="16" t="s">
        <v>85</v>
      </c>
      <c r="M1192" s="16" t="s">
        <v>984</v>
      </c>
      <c r="N1192" s="16" t="s">
        <v>914</v>
      </c>
      <c r="O1192" s="16" t="s">
        <v>985</v>
      </c>
      <c r="P1192" s="16" t="s">
        <v>914</v>
      </c>
      <c r="Q1192" s="16" t="s">
        <v>985</v>
      </c>
      <c r="R1192" s="16" t="s">
        <v>915</v>
      </c>
      <c r="S1192" s="16" t="s">
        <v>915</v>
      </c>
      <c r="T1192" s="16" t="s">
        <v>986</v>
      </c>
      <c r="U1192" s="16" t="s">
        <v>987</v>
      </c>
      <c r="V1192" s="16" t="s">
        <v>916</v>
      </c>
      <c r="W1192" s="16" t="s">
        <v>987</v>
      </c>
      <c r="X1192" s="16" t="s">
        <v>934</v>
      </c>
      <c r="Y1192" s="16" t="s">
        <v>934</v>
      </c>
      <c r="Z1192" s="16" t="s">
        <v>935</v>
      </c>
      <c r="DA1192" s="405" t="s">
        <v>5</v>
      </c>
      <c r="DB1192" s="405" t="s">
        <v>363</v>
      </c>
      <c r="DC1192" s="406" t="s">
        <v>85</v>
      </c>
      <c r="DD1192" s="405" t="s">
        <v>917</v>
      </c>
      <c r="DE1192" s="405" t="s">
        <v>5</v>
      </c>
      <c r="DF1192" s="406" t="s">
        <v>85</v>
      </c>
      <c r="DG1192" s="407">
        <v>45864</v>
      </c>
      <c r="DH1192" s="405" t="s">
        <v>2374</v>
      </c>
      <c r="DI1192" s="406">
        <v>465455</v>
      </c>
      <c r="DJ1192" s="408">
        <v>5</v>
      </c>
      <c r="DK1192" s="405">
        <v>1</v>
      </c>
      <c r="DL1192" s="82">
        <v>340.55</v>
      </c>
      <c r="DM1192" s="409">
        <v>1.70275</v>
      </c>
      <c r="DN1192" s="82" t="s">
        <v>85</v>
      </c>
      <c r="DO1192" s="82" t="s">
        <v>85</v>
      </c>
      <c r="DP1192" s="410" t="s">
        <v>85</v>
      </c>
    </row>
    <row r="1193" spans="1:120" x14ac:dyDescent="0.25">
      <c r="A1193" s="16" t="s">
        <v>2377</v>
      </c>
      <c r="B1193" s="16" t="s">
        <v>2378</v>
      </c>
      <c r="C1193" s="16" t="s">
        <v>2379</v>
      </c>
      <c r="D1193" s="16" t="s">
        <v>2343</v>
      </c>
      <c r="E1193" s="16" t="s">
        <v>2380</v>
      </c>
      <c r="F1193" s="16" t="s">
        <v>2381</v>
      </c>
      <c r="G1193" s="16" t="s">
        <v>2382</v>
      </c>
      <c r="H1193" s="16" t="s">
        <v>2383</v>
      </c>
      <c r="I1193" s="16" t="s">
        <v>2271</v>
      </c>
      <c r="J1193" s="16" t="s">
        <v>995</v>
      </c>
      <c r="K1193" s="16" t="s">
        <v>2272</v>
      </c>
      <c r="L1193" s="16" t="s">
        <v>85</v>
      </c>
      <c r="M1193" s="16" t="s">
        <v>1165</v>
      </c>
      <c r="N1193" s="16" t="s">
        <v>914</v>
      </c>
      <c r="O1193" s="16" t="s">
        <v>1166</v>
      </c>
      <c r="P1193" s="16" t="s">
        <v>914</v>
      </c>
      <c r="Q1193" s="16" t="s">
        <v>1166</v>
      </c>
      <c r="R1193" s="16" t="s">
        <v>915</v>
      </c>
      <c r="S1193" s="16" t="s">
        <v>915</v>
      </c>
      <c r="T1193" s="16" t="s">
        <v>1167</v>
      </c>
      <c r="U1193" s="16" t="s">
        <v>1168</v>
      </c>
      <c r="V1193" s="16" t="s">
        <v>916</v>
      </c>
      <c r="W1193" s="16" t="s">
        <v>1168</v>
      </c>
      <c r="X1193" s="16" t="s">
        <v>934</v>
      </c>
      <c r="Y1193" s="16" t="s">
        <v>934</v>
      </c>
      <c r="Z1193" s="16" t="s">
        <v>935</v>
      </c>
      <c r="DA1193" s="405" t="s">
        <v>5</v>
      </c>
      <c r="DB1193" s="405" t="s">
        <v>363</v>
      </c>
      <c r="DC1193" s="406" t="s">
        <v>85</v>
      </c>
      <c r="DD1193" s="405" t="s">
        <v>917</v>
      </c>
      <c r="DE1193" s="405" t="s">
        <v>5</v>
      </c>
      <c r="DF1193" s="406" t="s">
        <v>85</v>
      </c>
      <c r="DG1193" s="407">
        <v>45864</v>
      </c>
      <c r="DH1193" s="405" t="s">
        <v>2380</v>
      </c>
      <c r="DI1193" s="406">
        <v>465455</v>
      </c>
      <c r="DJ1193" s="408">
        <v>5</v>
      </c>
      <c r="DK1193" s="405">
        <v>1</v>
      </c>
      <c r="DL1193" s="82">
        <v>468.28</v>
      </c>
      <c r="DM1193" s="409">
        <v>2.3413999999999997</v>
      </c>
      <c r="DN1193" s="82" t="s">
        <v>85</v>
      </c>
      <c r="DO1193" s="82" t="s">
        <v>85</v>
      </c>
      <c r="DP1193" s="410" t="s">
        <v>85</v>
      </c>
    </row>
    <row r="1194" spans="1:120" x14ac:dyDescent="0.25">
      <c r="A1194" s="16" t="s">
        <v>2384</v>
      </c>
      <c r="B1194" s="16" t="s">
        <v>2385</v>
      </c>
      <c r="C1194" s="16" t="s">
        <v>2386</v>
      </c>
      <c r="D1194" s="16" t="s">
        <v>2343</v>
      </c>
      <c r="E1194" s="16" t="s">
        <v>2387</v>
      </c>
      <c r="F1194" s="16" t="s">
        <v>2388</v>
      </c>
      <c r="G1194" s="16" t="s">
        <v>2389</v>
      </c>
      <c r="H1194" s="16" t="s">
        <v>2390</v>
      </c>
      <c r="I1194" s="16" t="s">
        <v>2136</v>
      </c>
      <c r="J1194" s="16" t="s">
        <v>943</v>
      </c>
      <c r="K1194" s="16" t="s">
        <v>2137</v>
      </c>
      <c r="L1194" s="16" t="s">
        <v>85</v>
      </c>
      <c r="M1194" s="16" t="s">
        <v>984</v>
      </c>
      <c r="N1194" s="16" t="s">
        <v>914</v>
      </c>
      <c r="O1194" s="16" t="s">
        <v>985</v>
      </c>
      <c r="P1194" s="16" t="s">
        <v>914</v>
      </c>
      <c r="Q1194" s="16" t="s">
        <v>985</v>
      </c>
      <c r="R1194" s="16" t="s">
        <v>915</v>
      </c>
      <c r="S1194" s="16" t="s">
        <v>915</v>
      </c>
      <c r="T1194" s="16" t="s">
        <v>986</v>
      </c>
      <c r="U1194" s="16" t="s">
        <v>987</v>
      </c>
      <c r="V1194" s="16" t="s">
        <v>916</v>
      </c>
      <c r="W1194" s="16" t="s">
        <v>987</v>
      </c>
      <c r="X1194" s="16" t="s">
        <v>934</v>
      </c>
      <c r="Y1194" s="16" t="s">
        <v>934</v>
      </c>
      <c r="Z1194" s="16" t="s">
        <v>935</v>
      </c>
      <c r="DA1194" s="405" t="s">
        <v>5</v>
      </c>
      <c r="DB1194" s="405" t="s">
        <v>363</v>
      </c>
      <c r="DC1194" s="406" t="s">
        <v>85</v>
      </c>
      <c r="DD1194" s="405" t="s">
        <v>917</v>
      </c>
      <c r="DE1194" s="405" t="s">
        <v>5</v>
      </c>
      <c r="DF1194" s="406" t="s">
        <v>85</v>
      </c>
      <c r="DG1194" s="407">
        <v>45864</v>
      </c>
      <c r="DH1194" s="405" t="s">
        <v>2387</v>
      </c>
      <c r="DI1194" s="406">
        <v>465455</v>
      </c>
      <c r="DJ1194" s="408">
        <v>5</v>
      </c>
      <c r="DK1194" s="405">
        <v>1</v>
      </c>
      <c r="DL1194" s="82">
        <v>340.55</v>
      </c>
      <c r="DM1194" s="409">
        <v>1.70275</v>
      </c>
      <c r="DN1194" s="82" t="s">
        <v>85</v>
      </c>
      <c r="DO1194" s="82" t="s">
        <v>85</v>
      </c>
      <c r="DP1194" s="410" t="s">
        <v>85</v>
      </c>
    </row>
    <row r="1195" spans="1:120" x14ac:dyDescent="0.25">
      <c r="A1195" s="16" t="s">
        <v>2391</v>
      </c>
      <c r="B1195" s="16" t="s">
        <v>2392</v>
      </c>
      <c r="C1195" s="16" t="s">
        <v>2393</v>
      </c>
      <c r="D1195" s="16" t="s">
        <v>2343</v>
      </c>
      <c r="E1195" s="16" t="s">
        <v>2394</v>
      </c>
      <c r="F1195" s="16" t="s">
        <v>2395</v>
      </c>
      <c r="G1195" s="16" t="s">
        <v>2396</v>
      </c>
      <c r="H1195" s="16" t="s">
        <v>2397</v>
      </c>
      <c r="I1195" s="16" t="s">
        <v>976</v>
      </c>
      <c r="J1195" s="16" t="s">
        <v>956</v>
      </c>
      <c r="K1195" s="16" t="s">
        <v>977</v>
      </c>
      <c r="L1195" s="16" t="s">
        <v>85</v>
      </c>
      <c r="M1195" s="16" t="s">
        <v>1396</v>
      </c>
      <c r="N1195" s="16" t="s">
        <v>914</v>
      </c>
      <c r="O1195" s="16" t="s">
        <v>1397</v>
      </c>
      <c r="P1195" s="16" t="s">
        <v>914</v>
      </c>
      <c r="Q1195" s="16" t="s">
        <v>1397</v>
      </c>
      <c r="R1195" s="16" t="s">
        <v>915</v>
      </c>
      <c r="S1195" s="16" t="s">
        <v>915</v>
      </c>
      <c r="T1195" s="16" t="s">
        <v>1396</v>
      </c>
      <c r="U1195" s="16" t="s">
        <v>1398</v>
      </c>
      <c r="V1195" s="16" t="s">
        <v>916</v>
      </c>
      <c r="W1195" s="16" t="s">
        <v>1398</v>
      </c>
      <c r="X1195" s="16" t="s">
        <v>934</v>
      </c>
      <c r="Y1195" s="16" t="s">
        <v>934</v>
      </c>
      <c r="Z1195" s="16" t="s">
        <v>935</v>
      </c>
      <c r="DA1195" s="405" t="s">
        <v>5</v>
      </c>
      <c r="DB1195" s="405" t="s">
        <v>363</v>
      </c>
      <c r="DC1195" s="406" t="s">
        <v>85</v>
      </c>
      <c r="DD1195" s="405" t="s">
        <v>917</v>
      </c>
      <c r="DE1195" s="405" t="s">
        <v>5</v>
      </c>
      <c r="DF1195" s="406" t="s">
        <v>85</v>
      </c>
      <c r="DG1195" s="407">
        <v>45864</v>
      </c>
      <c r="DH1195" s="405" t="s">
        <v>2394</v>
      </c>
      <c r="DI1195" s="406">
        <v>465455</v>
      </c>
      <c r="DJ1195" s="408">
        <v>5</v>
      </c>
      <c r="DK1195" s="405">
        <v>1</v>
      </c>
      <c r="DL1195" s="82">
        <v>265.92</v>
      </c>
      <c r="DM1195" s="409">
        <v>1.3296000000000001</v>
      </c>
      <c r="DN1195" s="82" t="s">
        <v>85</v>
      </c>
      <c r="DO1195" s="82" t="s">
        <v>85</v>
      </c>
      <c r="DP1195" s="410" t="s">
        <v>85</v>
      </c>
    </row>
    <row r="1196" spans="1:120" x14ac:dyDescent="0.25">
      <c r="A1196" s="16" t="s">
        <v>2398</v>
      </c>
      <c r="B1196" s="16" t="s">
        <v>2399</v>
      </c>
      <c r="C1196" s="16" t="s">
        <v>2400</v>
      </c>
      <c r="D1196" s="16" t="s">
        <v>2343</v>
      </c>
      <c r="E1196" s="16" t="s">
        <v>2401</v>
      </c>
      <c r="F1196" s="16" t="s">
        <v>2402</v>
      </c>
      <c r="G1196" s="16" t="s">
        <v>2403</v>
      </c>
      <c r="H1196" s="16" t="s">
        <v>2404</v>
      </c>
      <c r="I1196" s="16" t="s">
        <v>1026</v>
      </c>
      <c r="J1196" s="16" t="s">
        <v>943</v>
      </c>
      <c r="K1196" s="16" t="s">
        <v>1027</v>
      </c>
      <c r="L1196" s="16" t="s">
        <v>85</v>
      </c>
      <c r="M1196" s="16" t="s">
        <v>984</v>
      </c>
      <c r="N1196" s="16" t="s">
        <v>914</v>
      </c>
      <c r="O1196" s="16" t="s">
        <v>985</v>
      </c>
      <c r="P1196" s="16" t="s">
        <v>914</v>
      </c>
      <c r="Q1196" s="16" t="s">
        <v>985</v>
      </c>
      <c r="R1196" s="16" t="s">
        <v>915</v>
      </c>
      <c r="S1196" s="16" t="s">
        <v>915</v>
      </c>
      <c r="T1196" s="16" t="s">
        <v>986</v>
      </c>
      <c r="U1196" s="16" t="s">
        <v>987</v>
      </c>
      <c r="V1196" s="16" t="s">
        <v>916</v>
      </c>
      <c r="W1196" s="16" t="s">
        <v>987</v>
      </c>
      <c r="X1196" s="16" t="s">
        <v>934</v>
      </c>
      <c r="Y1196" s="16" t="s">
        <v>934</v>
      </c>
      <c r="Z1196" s="16" t="s">
        <v>935</v>
      </c>
      <c r="DA1196" s="405" t="s">
        <v>5</v>
      </c>
      <c r="DB1196" s="405" t="s">
        <v>363</v>
      </c>
      <c r="DC1196" s="406" t="s">
        <v>85</v>
      </c>
      <c r="DD1196" s="405" t="s">
        <v>917</v>
      </c>
      <c r="DE1196" s="405" t="s">
        <v>5</v>
      </c>
      <c r="DF1196" s="406" t="s">
        <v>85</v>
      </c>
      <c r="DG1196" s="407">
        <v>45864</v>
      </c>
      <c r="DH1196" s="405" t="s">
        <v>2401</v>
      </c>
      <c r="DI1196" s="406">
        <v>465455</v>
      </c>
      <c r="DJ1196" s="408">
        <v>5</v>
      </c>
      <c r="DK1196" s="405">
        <v>1</v>
      </c>
      <c r="DL1196" s="82">
        <v>340.55</v>
      </c>
      <c r="DM1196" s="409">
        <v>1.70275</v>
      </c>
      <c r="DN1196" s="82" t="s">
        <v>85</v>
      </c>
      <c r="DO1196" s="82" t="s">
        <v>85</v>
      </c>
      <c r="DP1196" s="410" t="s">
        <v>85</v>
      </c>
    </row>
    <row r="1197" spans="1:120" x14ac:dyDescent="0.25">
      <c r="A1197" s="16" t="s">
        <v>2405</v>
      </c>
      <c r="B1197" s="16" t="s">
        <v>2406</v>
      </c>
      <c r="C1197" s="16" t="s">
        <v>2407</v>
      </c>
      <c r="D1197" s="16" t="s">
        <v>2343</v>
      </c>
      <c r="E1197" s="16" t="s">
        <v>2408</v>
      </c>
      <c r="F1197" s="16" t="s">
        <v>2409</v>
      </c>
      <c r="G1197" s="16" t="s">
        <v>2410</v>
      </c>
      <c r="H1197" s="16" t="s">
        <v>2411</v>
      </c>
      <c r="I1197" s="16" t="s">
        <v>1278</v>
      </c>
      <c r="J1197" s="16" t="s">
        <v>1109</v>
      </c>
      <c r="K1197" s="16" t="s">
        <v>1279</v>
      </c>
      <c r="L1197" s="16" t="s">
        <v>85</v>
      </c>
      <c r="M1197" s="16" t="s">
        <v>1311</v>
      </c>
      <c r="N1197" s="16" t="s">
        <v>914</v>
      </c>
      <c r="O1197" s="16" t="s">
        <v>1312</v>
      </c>
      <c r="P1197" s="16" t="s">
        <v>914</v>
      </c>
      <c r="Q1197" s="16" t="s">
        <v>1312</v>
      </c>
      <c r="R1197" s="16" t="s">
        <v>915</v>
      </c>
      <c r="S1197" s="16" t="s">
        <v>915</v>
      </c>
      <c r="T1197" s="16" t="s">
        <v>1311</v>
      </c>
      <c r="U1197" s="16" t="s">
        <v>1313</v>
      </c>
      <c r="V1197" s="16" t="s">
        <v>916</v>
      </c>
      <c r="W1197" s="16" t="s">
        <v>1313</v>
      </c>
      <c r="X1197" s="16" t="s">
        <v>934</v>
      </c>
      <c r="Y1197" s="16" t="s">
        <v>934</v>
      </c>
      <c r="Z1197" s="16" t="s">
        <v>935</v>
      </c>
      <c r="DA1197" s="405" t="s">
        <v>5</v>
      </c>
      <c r="DB1197" s="405" t="s">
        <v>363</v>
      </c>
      <c r="DC1197" s="406" t="s">
        <v>85</v>
      </c>
      <c r="DD1197" s="405" t="s">
        <v>917</v>
      </c>
      <c r="DE1197" s="405" t="s">
        <v>5</v>
      </c>
      <c r="DF1197" s="406" t="s">
        <v>85</v>
      </c>
      <c r="DG1197" s="407">
        <v>45864</v>
      </c>
      <c r="DH1197" s="405" t="s">
        <v>2408</v>
      </c>
      <c r="DI1197" s="406">
        <v>465455</v>
      </c>
      <c r="DJ1197" s="408">
        <v>5</v>
      </c>
      <c r="DK1197" s="405">
        <v>1</v>
      </c>
      <c r="DL1197" s="82">
        <v>531.54</v>
      </c>
      <c r="DM1197" s="409">
        <v>2.6576999999999997</v>
      </c>
      <c r="DN1197" s="82" t="s">
        <v>85</v>
      </c>
      <c r="DO1197" s="82" t="s">
        <v>85</v>
      </c>
      <c r="DP1197" s="410" t="s">
        <v>85</v>
      </c>
    </row>
    <row r="1198" spans="1:120" x14ac:dyDescent="0.25">
      <c r="A1198" s="16" t="s">
        <v>2412</v>
      </c>
      <c r="B1198" s="16" t="s">
        <v>2413</v>
      </c>
      <c r="C1198" s="16" t="s">
        <v>2414</v>
      </c>
      <c r="D1198" s="16" t="s">
        <v>2343</v>
      </c>
      <c r="E1198" s="16" t="s">
        <v>2415</v>
      </c>
      <c r="F1198" s="16" t="s">
        <v>2416</v>
      </c>
      <c r="G1198" s="16" t="s">
        <v>2417</v>
      </c>
      <c r="H1198" s="16" t="s">
        <v>2416</v>
      </c>
      <c r="I1198" s="16" t="s">
        <v>1997</v>
      </c>
      <c r="J1198" s="16" t="s">
        <v>1359</v>
      </c>
      <c r="K1198" s="16" t="s">
        <v>1998</v>
      </c>
      <c r="L1198" s="16" t="s">
        <v>85</v>
      </c>
      <c r="M1198" s="16" t="s">
        <v>1350</v>
      </c>
      <c r="N1198" s="16" t="s">
        <v>914</v>
      </c>
      <c r="O1198" s="16" t="s">
        <v>1351</v>
      </c>
      <c r="P1198" s="16" t="s">
        <v>914</v>
      </c>
      <c r="Q1198" s="16" t="s">
        <v>1351</v>
      </c>
      <c r="R1198" s="16" t="s">
        <v>915</v>
      </c>
      <c r="S1198" s="16" t="s">
        <v>915</v>
      </c>
      <c r="T1198" s="16" t="s">
        <v>1352</v>
      </c>
      <c r="U1198" s="16" t="s">
        <v>1353</v>
      </c>
      <c r="V1198" s="16" t="s">
        <v>916</v>
      </c>
      <c r="W1198" s="16" t="s">
        <v>1353</v>
      </c>
      <c r="X1198" s="16" t="s">
        <v>934</v>
      </c>
      <c r="Y1198" s="16" t="s">
        <v>934</v>
      </c>
      <c r="Z1198" s="16" t="s">
        <v>935</v>
      </c>
      <c r="DA1198" s="405" t="s">
        <v>5</v>
      </c>
      <c r="DB1198" s="405" t="s">
        <v>363</v>
      </c>
      <c r="DC1198" s="406" t="s">
        <v>85</v>
      </c>
      <c r="DD1198" s="405" t="s">
        <v>917</v>
      </c>
      <c r="DE1198" s="405" t="s">
        <v>5</v>
      </c>
      <c r="DF1198" s="406" t="s">
        <v>85</v>
      </c>
      <c r="DG1198" s="407">
        <v>45864</v>
      </c>
      <c r="DH1198" s="405" t="s">
        <v>2415</v>
      </c>
      <c r="DI1198" s="406">
        <v>465455</v>
      </c>
      <c r="DJ1198" s="408">
        <v>5</v>
      </c>
      <c r="DK1198" s="405">
        <v>1</v>
      </c>
      <c r="DL1198" s="82">
        <v>303.3</v>
      </c>
      <c r="DM1198" s="409">
        <v>1.5165000000000002</v>
      </c>
      <c r="DN1198" s="82" t="s">
        <v>85</v>
      </c>
      <c r="DO1198" s="82" t="s">
        <v>85</v>
      </c>
      <c r="DP1198" s="410" t="s">
        <v>85</v>
      </c>
    </row>
    <row r="1199" spans="1:120" x14ac:dyDescent="0.25">
      <c r="A1199" s="16" t="s">
        <v>2418</v>
      </c>
      <c r="B1199" s="16" t="s">
        <v>2419</v>
      </c>
      <c r="C1199" s="16" t="s">
        <v>2420</v>
      </c>
      <c r="D1199" s="16" t="s">
        <v>2343</v>
      </c>
      <c r="E1199" s="16" t="s">
        <v>2421</v>
      </c>
      <c r="F1199" s="16" t="s">
        <v>2422</v>
      </c>
      <c r="G1199" s="16" t="s">
        <v>2423</v>
      </c>
      <c r="H1199" s="16" t="s">
        <v>2424</v>
      </c>
      <c r="I1199" s="16" t="s">
        <v>2425</v>
      </c>
      <c r="J1199" s="16" t="s">
        <v>928</v>
      </c>
      <c r="K1199" s="16" t="s">
        <v>2426</v>
      </c>
      <c r="L1199" s="16" t="s">
        <v>85</v>
      </c>
      <c r="M1199" s="16" t="s">
        <v>1322</v>
      </c>
      <c r="N1199" s="16" t="s">
        <v>914</v>
      </c>
      <c r="O1199" s="16" t="s">
        <v>1323</v>
      </c>
      <c r="P1199" s="16" t="s">
        <v>914</v>
      </c>
      <c r="Q1199" s="16" t="s">
        <v>1323</v>
      </c>
      <c r="R1199" s="16" t="s">
        <v>915</v>
      </c>
      <c r="S1199" s="16" t="s">
        <v>915</v>
      </c>
      <c r="T1199" s="16" t="s">
        <v>1322</v>
      </c>
      <c r="U1199" s="16" t="s">
        <v>1324</v>
      </c>
      <c r="V1199" s="16" t="s">
        <v>916</v>
      </c>
      <c r="W1199" s="16" t="s">
        <v>1324</v>
      </c>
      <c r="X1199" s="16" t="s">
        <v>934</v>
      </c>
      <c r="Y1199" s="16" t="s">
        <v>934</v>
      </c>
      <c r="Z1199" s="16" t="s">
        <v>935</v>
      </c>
      <c r="DA1199" s="405" t="s">
        <v>5</v>
      </c>
      <c r="DB1199" s="405" t="s">
        <v>363</v>
      </c>
      <c r="DC1199" s="406" t="s">
        <v>85</v>
      </c>
      <c r="DD1199" s="405" t="s">
        <v>917</v>
      </c>
      <c r="DE1199" s="405" t="s">
        <v>5</v>
      </c>
      <c r="DF1199" s="406" t="s">
        <v>85</v>
      </c>
      <c r="DG1199" s="407">
        <v>45864</v>
      </c>
      <c r="DH1199" s="405" t="s">
        <v>2421</v>
      </c>
      <c r="DI1199" s="406">
        <v>465455</v>
      </c>
      <c r="DJ1199" s="408">
        <v>5</v>
      </c>
      <c r="DK1199" s="405">
        <v>1</v>
      </c>
      <c r="DL1199" s="82">
        <v>332.47</v>
      </c>
      <c r="DM1199" s="409">
        <v>1.6623500000000002</v>
      </c>
      <c r="DN1199" s="82" t="s">
        <v>85</v>
      </c>
      <c r="DO1199" s="82" t="s">
        <v>85</v>
      </c>
      <c r="DP1199" s="410" t="s">
        <v>85</v>
      </c>
    </row>
    <row r="1200" spans="1:120" x14ac:dyDescent="0.25">
      <c r="A1200" s="16" t="s">
        <v>2427</v>
      </c>
      <c r="B1200" s="16" t="s">
        <v>2428</v>
      </c>
      <c r="C1200" s="16" t="s">
        <v>2429</v>
      </c>
      <c r="D1200" s="16" t="s">
        <v>2343</v>
      </c>
      <c r="E1200" s="16" t="s">
        <v>2430</v>
      </c>
      <c r="F1200" s="16" t="s">
        <v>2431</v>
      </c>
      <c r="G1200" s="16" t="s">
        <v>2432</v>
      </c>
      <c r="H1200" s="16" t="s">
        <v>2433</v>
      </c>
      <c r="I1200" s="16" t="s">
        <v>1377</v>
      </c>
      <c r="J1200" s="16" t="s">
        <v>943</v>
      </c>
      <c r="K1200" s="16" t="s">
        <v>1378</v>
      </c>
      <c r="L1200" s="16" t="s">
        <v>85</v>
      </c>
      <c r="M1200" s="16" t="s">
        <v>984</v>
      </c>
      <c r="N1200" s="16" t="s">
        <v>914</v>
      </c>
      <c r="O1200" s="16" t="s">
        <v>985</v>
      </c>
      <c r="P1200" s="16" t="s">
        <v>914</v>
      </c>
      <c r="Q1200" s="16" t="s">
        <v>985</v>
      </c>
      <c r="R1200" s="16" t="s">
        <v>915</v>
      </c>
      <c r="S1200" s="16" t="s">
        <v>915</v>
      </c>
      <c r="T1200" s="16" t="s">
        <v>986</v>
      </c>
      <c r="U1200" s="16" t="s">
        <v>987</v>
      </c>
      <c r="V1200" s="16" t="s">
        <v>916</v>
      </c>
      <c r="W1200" s="16" t="s">
        <v>987</v>
      </c>
      <c r="X1200" s="16" t="s">
        <v>934</v>
      </c>
      <c r="Y1200" s="16" t="s">
        <v>934</v>
      </c>
      <c r="Z1200" s="16" t="s">
        <v>935</v>
      </c>
      <c r="DA1200" s="405" t="s">
        <v>5</v>
      </c>
      <c r="DB1200" s="405" t="s">
        <v>363</v>
      </c>
      <c r="DC1200" s="406" t="s">
        <v>85</v>
      </c>
      <c r="DD1200" s="405" t="s">
        <v>917</v>
      </c>
      <c r="DE1200" s="405" t="s">
        <v>5</v>
      </c>
      <c r="DF1200" s="406" t="s">
        <v>85</v>
      </c>
      <c r="DG1200" s="407">
        <v>45864</v>
      </c>
      <c r="DH1200" s="405" t="s">
        <v>2430</v>
      </c>
      <c r="DI1200" s="406">
        <v>465455</v>
      </c>
      <c r="DJ1200" s="408">
        <v>5</v>
      </c>
      <c r="DK1200" s="405">
        <v>1</v>
      </c>
      <c r="DL1200" s="82">
        <v>340.55</v>
      </c>
      <c r="DM1200" s="409">
        <v>1.70275</v>
      </c>
      <c r="DN1200" s="82" t="s">
        <v>85</v>
      </c>
      <c r="DO1200" s="82" t="s">
        <v>85</v>
      </c>
      <c r="DP1200" s="410" t="s">
        <v>85</v>
      </c>
    </row>
    <row r="1201" spans="1:120" x14ac:dyDescent="0.25">
      <c r="A1201" s="16" t="s">
        <v>2434</v>
      </c>
      <c r="B1201" s="16" t="s">
        <v>2435</v>
      </c>
      <c r="C1201" s="16" t="s">
        <v>2436</v>
      </c>
      <c r="D1201" s="16" t="s">
        <v>2343</v>
      </c>
      <c r="E1201" s="16" t="s">
        <v>2437</v>
      </c>
      <c r="F1201" s="16" t="s">
        <v>2438</v>
      </c>
      <c r="G1201" s="16" t="s">
        <v>2439</v>
      </c>
      <c r="H1201" s="16" t="s">
        <v>2438</v>
      </c>
      <c r="I1201" s="16" t="s">
        <v>1150</v>
      </c>
      <c r="J1201" s="16" t="s">
        <v>943</v>
      </c>
      <c r="K1201" s="16" t="s">
        <v>1151</v>
      </c>
      <c r="L1201" s="16" t="s">
        <v>85</v>
      </c>
      <c r="M1201" s="16" t="s">
        <v>984</v>
      </c>
      <c r="N1201" s="16" t="s">
        <v>914</v>
      </c>
      <c r="O1201" s="16" t="s">
        <v>985</v>
      </c>
      <c r="P1201" s="16" t="s">
        <v>914</v>
      </c>
      <c r="Q1201" s="16" t="s">
        <v>985</v>
      </c>
      <c r="R1201" s="16" t="s">
        <v>915</v>
      </c>
      <c r="S1201" s="16" t="s">
        <v>915</v>
      </c>
      <c r="T1201" s="16" t="s">
        <v>986</v>
      </c>
      <c r="U1201" s="16" t="s">
        <v>987</v>
      </c>
      <c r="V1201" s="16" t="s">
        <v>916</v>
      </c>
      <c r="W1201" s="16" t="s">
        <v>987</v>
      </c>
      <c r="X1201" s="16" t="s">
        <v>934</v>
      </c>
      <c r="Y1201" s="16" t="s">
        <v>934</v>
      </c>
      <c r="Z1201" s="16" t="s">
        <v>935</v>
      </c>
      <c r="DA1201" s="405" t="s">
        <v>5</v>
      </c>
      <c r="DB1201" s="405" t="s">
        <v>363</v>
      </c>
      <c r="DC1201" s="406" t="s">
        <v>85</v>
      </c>
      <c r="DD1201" s="405" t="s">
        <v>917</v>
      </c>
      <c r="DE1201" s="405" t="s">
        <v>5</v>
      </c>
      <c r="DF1201" s="406" t="s">
        <v>85</v>
      </c>
      <c r="DG1201" s="407">
        <v>45864</v>
      </c>
      <c r="DH1201" s="405" t="s">
        <v>2437</v>
      </c>
      <c r="DI1201" s="406">
        <v>465455</v>
      </c>
      <c r="DJ1201" s="408">
        <v>5</v>
      </c>
      <c r="DK1201" s="405">
        <v>1</v>
      </c>
      <c r="DL1201" s="82">
        <v>340.55</v>
      </c>
      <c r="DM1201" s="409">
        <v>1.70275</v>
      </c>
      <c r="DN1201" s="82" t="s">
        <v>85</v>
      </c>
      <c r="DO1201" s="82" t="s">
        <v>85</v>
      </c>
      <c r="DP1201" s="410" t="s">
        <v>85</v>
      </c>
    </row>
    <row r="1202" spans="1:120" x14ac:dyDescent="0.25">
      <c r="A1202" s="16" t="s">
        <v>2440</v>
      </c>
      <c r="B1202" s="16" t="s">
        <v>2441</v>
      </c>
      <c r="C1202" s="16" t="s">
        <v>2442</v>
      </c>
      <c r="D1202" s="16" t="s">
        <v>2343</v>
      </c>
      <c r="E1202" s="16" t="s">
        <v>2443</v>
      </c>
      <c r="F1202" s="16" t="s">
        <v>2444</v>
      </c>
      <c r="G1202" s="16" t="s">
        <v>2445</v>
      </c>
      <c r="H1202" s="16" t="s">
        <v>2446</v>
      </c>
      <c r="I1202" s="16" t="s">
        <v>1248</v>
      </c>
      <c r="J1202" s="16" t="s">
        <v>995</v>
      </c>
      <c r="K1202" s="16" t="s">
        <v>1249</v>
      </c>
      <c r="L1202" s="16" t="s">
        <v>85</v>
      </c>
      <c r="M1202" s="16" t="s">
        <v>1165</v>
      </c>
      <c r="N1202" s="16" t="s">
        <v>914</v>
      </c>
      <c r="O1202" s="16" t="s">
        <v>1166</v>
      </c>
      <c r="P1202" s="16" t="s">
        <v>914</v>
      </c>
      <c r="Q1202" s="16" t="s">
        <v>1166</v>
      </c>
      <c r="R1202" s="16" t="s">
        <v>915</v>
      </c>
      <c r="S1202" s="16" t="s">
        <v>915</v>
      </c>
      <c r="T1202" s="16" t="s">
        <v>1167</v>
      </c>
      <c r="U1202" s="16" t="s">
        <v>1168</v>
      </c>
      <c r="V1202" s="16" t="s">
        <v>916</v>
      </c>
      <c r="W1202" s="16" t="s">
        <v>1168</v>
      </c>
      <c r="X1202" s="16" t="s">
        <v>934</v>
      </c>
      <c r="Y1202" s="16" t="s">
        <v>934</v>
      </c>
      <c r="Z1202" s="16" t="s">
        <v>935</v>
      </c>
      <c r="DA1202" s="405" t="s">
        <v>5</v>
      </c>
      <c r="DB1202" s="405" t="s">
        <v>363</v>
      </c>
      <c r="DC1202" s="406" t="s">
        <v>85</v>
      </c>
      <c r="DD1202" s="405" t="s">
        <v>917</v>
      </c>
      <c r="DE1202" s="405" t="s">
        <v>5</v>
      </c>
      <c r="DF1202" s="406" t="s">
        <v>85</v>
      </c>
      <c r="DG1202" s="407">
        <v>45864</v>
      </c>
      <c r="DH1202" s="405" t="s">
        <v>2443</v>
      </c>
      <c r="DI1202" s="406">
        <v>465455</v>
      </c>
      <c r="DJ1202" s="408">
        <v>5</v>
      </c>
      <c r="DK1202" s="405">
        <v>1</v>
      </c>
      <c r="DL1202" s="82">
        <v>468.28</v>
      </c>
      <c r="DM1202" s="409">
        <v>2.3413999999999997</v>
      </c>
      <c r="DN1202" s="82" t="s">
        <v>85</v>
      </c>
      <c r="DO1202" s="82" t="s">
        <v>85</v>
      </c>
      <c r="DP1202" s="410" t="s">
        <v>85</v>
      </c>
    </row>
    <row r="1203" spans="1:120" x14ac:dyDescent="0.25">
      <c r="A1203" s="16" t="s">
        <v>2447</v>
      </c>
      <c r="B1203" s="16" t="s">
        <v>2448</v>
      </c>
      <c r="C1203" s="16" t="s">
        <v>2449</v>
      </c>
      <c r="D1203" s="16" t="s">
        <v>2343</v>
      </c>
      <c r="E1203" s="16" t="s">
        <v>2450</v>
      </c>
      <c r="F1203" s="16" t="s">
        <v>2451</v>
      </c>
      <c r="G1203" s="16" t="s">
        <v>2452</v>
      </c>
      <c r="H1203" s="16" t="s">
        <v>2451</v>
      </c>
      <c r="I1203" s="16" t="s">
        <v>1394</v>
      </c>
      <c r="J1203" s="16" t="s">
        <v>956</v>
      </c>
      <c r="K1203" s="16" t="s">
        <v>1395</v>
      </c>
      <c r="L1203" s="16" t="s">
        <v>85</v>
      </c>
      <c r="M1203" s="16" t="s">
        <v>1396</v>
      </c>
      <c r="N1203" s="16" t="s">
        <v>914</v>
      </c>
      <c r="O1203" s="16" t="s">
        <v>1397</v>
      </c>
      <c r="P1203" s="16" t="s">
        <v>914</v>
      </c>
      <c r="Q1203" s="16" t="s">
        <v>1397</v>
      </c>
      <c r="R1203" s="16" t="s">
        <v>915</v>
      </c>
      <c r="S1203" s="16" t="s">
        <v>915</v>
      </c>
      <c r="T1203" s="16" t="s">
        <v>1396</v>
      </c>
      <c r="U1203" s="16" t="s">
        <v>1398</v>
      </c>
      <c r="V1203" s="16" t="s">
        <v>916</v>
      </c>
      <c r="W1203" s="16" t="s">
        <v>1398</v>
      </c>
      <c r="X1203" s="16" t="s">
        <v>934</v>
      </c>
      <c r="Y1203" s="16" t="s">
        <v>934</v>
      </c>
      <c r="Z1203" s="16" t="s">
        <v>935</v>
      </c>
      <c r="DA1203" s="405" t="s">
        <v>5</v>
      </c>
      <c r="DB1203" s="405" t="s">
        <v>363</v>
      </c>
      <c r="DC1203" s="406" t="s">
        <v>85</v>
      </c>
      <c r="DD1203" s="405" t="s">
        <v>917</v>
      </c>
      <c r="DE1203" s="405" t="s">
        <v>5</v>
      </c>
      <c r="DF1203" s="406" t="s">
        <v>85</v>
      </c>
      <c r="DG1203" s="407">
        <v>45864</v>
      </c>
      <c r="DH1203" s="405" t="s">
        <v>2450</v>
      </c>
      <c r="DI1203" s="406">
        <v>465455</v>
      </c>
      <c r="DJ1203" s="408">
        <v>5</v>
      </c>
      <c r="DK1203" s="405">
        <v>1</v>
      </c>
      <c r="DL1203" s="82">
        <v>265.92</v>
      </c>
      <c r="DM1203" s="409">
        <v>1.3296000000000001</v>
      </c>
      <c r="DN1203" s="82" t="s">
        <v>85</v>
      </c>
      <c r="DO1203" s="82" t="s">
        <v>85</v>
      </c>
      <c r="DP1203" s="410" t="s">
        <v>85</v>
      </c>
    </row>
    <row r="1204" spans="1:120" x14ac:dyDescent="0.25">
      <c r="A1204" s="16" t="s">
        <v>2453</v>
      </c>
      <c r="B1204" s="16" t="s">
        <v>2454</v>
      </c>
      <c r="C1204" s="16" t="s">
        <v>2455</v>
      </c>
      <c r="D1204" s="16" t="s">
        <v>2343</v>
      </c>
      <c r="E1204" s="16" t="s">
        <v>2456</v>
      </c>
      <c r="F1204" s="16" t="s">
        <v>2457</v>
      </c>
      <c r="G1204" s="16" t="s">
        <v>2458</v>
      </c>
      <c r="H1204" s="16" t="s">
        <v>2459</v>
      </c>
      <c r="I1204" s="16" t="s">
        <v>1057</v>
      </c>
      <c r="J1204" s="16" t="s">
        <v>943</v>
      </c>
      <c r="K1204" s="16" t="s">
        <v>1058</v>
      </c>
      <c r="L1204" s="16" t="s">
        <v>85</v>
      </c>
      <c r="M1204" s="16" t="s">
        <v>984</v>
      </c>
      <c r="N1204" s="16" t="s">
        <v>914</v>
      </c>
      <c r="O1204" s="16" t="s">
        <v>985</v>
      </c>
      <c r="P1204" s="16" t="s">
        <v>914</v>
      </c>
      <c r="Q1204" s="16" t="s">
        <v>985</v>
      </c>
      <c r="R1204" s="16" t="s">
        <v>915</v>
      </c>
      <c r="S1204" s="16" t="s">
        <v>915</v>
      </c>
      <c r="T1204" s="16" t="s">
        <v>986</v>
      </c>
      <c r="U1204" s="16" t="s">
        <v>987</v>
      </c>
      <c r="V1204" s="16" t="s">
        <v>916</v>
      </c>
      <c r="W1204" s="16" t="s">
        <v>987</v>
      </c>
      <c r="X1204" s="16" t="s">
        <v>934</v>
      </c>
      <c r="Y1204" s="16" t="s">
        <v>934</v>
      </c>
      <c r="Z1204" s="16" t="s">
        <v>935</v>
      </c>
      <c r="DA1204" s="405" t="s">
        <v>5</v>
      </c>
      <c r="DB1204" s="405" t="s">
        <v>363</v>
      </c>
      <c r="DC1204" s="406" t="s">
        <v>85</v>
      </c>
      <c r="DD1204" s="405" t="s">
        <v>917</v>
      </c>
      <c r="DE1204" s="405" t="s">
        <v>5</v>
      </c>
      <c r="DF1204" s="406" t="s">
        <v>85</v>
      </c>
      <c r="DG1204" s="407">
        <v>45864</v>
      </c>
      <c r="DH1204" s="405" t="s">
        <v>2456</v>
      </c>
      <c r="DI1204" s="406">
        <v>465455</v>
      </c>
      <c r="DJ1204" s="408">
        <v>5</v>
      </c>
      <c r="DK1204" s="405">
        <v>1</v>
      </c>
      <c r="DL1204" s="82">
        <v>340.55</v>
      </c>
      <c r="DM1204" s="409">
        <v>1.70275</v>
      </c>
      <c r="DN1204" s="82" t="s">
        <v>85</v>
      </c>
      <c r="DO1204" s="82" t="s">
        <v>85</v>
      </c>
      <c r="DP1204" s="410" t="s">
        <v>85</v>
      </c>
    </row>
    <row r="1205" spans="1:120" x14ac:dyDescent="0.25">
      <c r="A1205" s="16" t="s">
        <v>2460</v>
      </c>
      <c r="B1205" s="16" t="s">
        <v>2461</v>
      </c>
      <c r="C1205" s="16" t="s">
        <v>2462</v>
      </c>
      <c r="D1205" s="16" t="s">
        <v>2343</v>
      </c>
      <c r="E1205" s="16" t="s">
        <v>2463</v>
      </c>
      <c r="F1205" s="16" t="s">
        <v>2464</v>
      </c>
      <c r="G1205" s="16" t="s">
        <v>2465</v>
      </c>
      <c r="H1205" s="16" t="s">
        <v>2466</v>
      </c>
      <c r="I1205" s="16" t="s">
        <v>1017</v>
      </c>
      <c r="J1205" s="16" t="s">
        <v>995</v>
      </c>
      <c r="K1205" s="16" t="s">
        <v>1018</v>
      </c>
      <c r="L1205" s="16" t="s">
        <v>85</v>
      </c>
      <c r="M1205" s="16" t="s">
        <v>1165</v>
      </c>
      <c r="N1205" s="16" t="s">
        <v>914</v>
      </c>
      <c r="O1205" s="16" t="s">
        <v>1166</v>
      </c>
      <c r="P1205" s="16" t="s">
        <v>914</v>
      </c>
      <c r="Q1205" s="16" t="s">
        <v>1166</v>
      </c>
      <c r="R1205" s="16" t="s">
        <v>915</v>
      </c>
      <c r="S1205" s="16" t="s">
        <v>915</v>
      </c>
      <c r="T1205" s="16" t="s">
        <v>1167</v>
      </c>
      <c r="U1205" s="16" t="s">
        <v>1168</v>
      </c>
      <c r="V1205" s="16" t="s">
        <v>916</v>
      </c>
      <c r="W1205" s="16" t="s">
        <v>1168</v>
      </c>
      <c r="X1205" s="16" t="s">
        <v>934</v>
      </c>
      <c r="Y1205" s="16" t="s">
        <v>934</v>
      </c>
      <c r="Z1205" s="16" t="s">
        <v>935</v>
      </c>
      <c r="DA1205" s="405" t="s">
        <v>5</v>
      </c>
      <c r="DB1205" s="405" t="s">
        <v>363</v>
      </c>
      <c r="DC1205" s="406" t="s">
        <v>85</v>
      </c>
      <c r="DD1205" s="405" t="s">
        <v>917</v>
      </c>
      <c r="DE1205" s="405" t="s">
        <v>5</v>
      </c>
      <c r="DF1205" s="406" t="s">
        <v>85</v>
      </c>
      <c r="DG1205" s="407">
        <v>45864</v>
      </c>
      <c r="DH1205" s="405" t="s">
        <v>2463</v>
      </c>
      <c r="DI1205" s="406">
        <v>465455</v>
      </c>
      <c r="DJ1205" s="408">
        <v>5</v>
      </c>
      <c r="DK1205" s="405">
        <v>1</v>
      </c>
      <c r="DL1205" s="82">
        <v>468.28</v>
      </c>
      <c r="DM1205" s="409">
        <v>2.3413999999999997</v>
      </c>
      <c r="DN1205" s="82" t="s">
        <v>85</v>
      </c>
      <c r="DO1205" s="82" t="s">
        <v>85</v>
      </c>
      <c r="DP1205" s="410" t="s">
        <v>85</v>
      </c>
    </row>
    <row r="1206" spans="1:120" x14ac:dyDescent="0.25">
      <c r="A1206" s="16" t="s">
        <v>2467</v>
      </c>
      <c r="B1206" s="16" t="s">
        <v>2468</v>
      </c>
      <c r="C1206" s="16" t="s">
        <v>2469</v>
      </c>
      <c r="D1206" s="16" t="s">
        <v>2343</v>
      </c>
      <c r="E1206" s="16" t="s">
        <v>2470</v>
      </c>
      <c r="F1206" s="16" t="s">
        <v>2471</v>
      </c>
      <c r="G1206" s="16" t="s">
        <v>2472</v>
      </c>
      <c r="H1206" s="16" t="s">
        <v>2471</v>
      </c>
      <c r="I1206" s="16" t="s">
        <v>2425</v>
      </c>
      <c r="J1206" s="16" t="s">
        <v>928</v>
      </c>
      <c r="K1206" s="16" t="s">
        <v>2426</v>
      </c>
      <c r="L1206" s="16" t="s">
        <v>85</v>
      </c>
      <c r="M1206" s="16" t="s">
        <v>1322</v>
      </c>
      <c r="N1206" s="16" t="s">
        <v>914</v>
      </c>
      <c r="O1206" s="16" t="s">
        <v>1323</v>
      </c>
      <c r="P1206" s="16" t="s">
        <v>914</v>
      </c>
      <c r="Q1206" s="16" t="s">
        <v>1323</v>
      </c>
      <c r="R1206" s="16" t="s">
        <v>915</v>
      </c>
      <c r="S1206" s="16" t="s">
        <v>915</v>
      </c>
      <c r="T1206" s="16" t="s">
        <v>1322</v>
      </c>
      <c r="U1206" s="16" t="s">
        <v>1324</v>
      </c>
      <c r="V1206" s="16" t="s">
        <v>916</v>
      </c>
      <c r="W1206" s="16" t="s">
        <v>1324</v>
      </c>
      <c r="X1206" s="16" t="s">
        <v>934</v>
      </c>
      <c r="Y1206" s="16" t="s">
        <v>934</v>
      </c>
      <c r="Z1206" s="16" t="s">
        <v>935</v>
      </c>
      <c r="DA1206" s="405" t="s">
        <v>5</v>
      </c>
      <c r="DB1206" s="405" t="s">
        <v>363</v>
      </c>
      <c r="DC1206" s="406" t="s">
        <v>85</v>
      </c>
      <c r="DD1206" s="405" t="s">
        <v>917</v>
      </c>
      <c r="DE1206" s="405" t="s">
        <v>5</v>
      </c>
      <c r="DF1206" s="406" t="s">
        <v>85</v>
      </c>
      <c r="DG1206" s="407">
        <v>45864</v>
      </c>
      <c r="DH1206" s="405" t="s">
        <v>2470</v>
      </c>
      <c r="DI1206" s="406">
        <v>465455</v>
      </c>
      <c r="DJ1206" s="408">
        <v>5</v>
      </c>
      <c r="DK1206" s="405">
        <v>1</v>
      </c>
      <c r="DL1206" s="82">
        <v>332.47</v>
      </c>
      <c r="DM1206" s="409">
        <v>1.6623500000000002</v>
      </c>
      <c r="DN1206" s="82" t="s">
        <v>85</v>
      </c>
      <c r="DO1206" s="82" t="s">
        <v>85</v>
      </c>
      <c r="DP1206" s="410" t="s">
        <v>85</v>
      </c>
    </row>
    <row r="1207" spans="1:120" x14ac:dyDescent="0.25">
      <c r="A1207" s="16" t="s">
        <v>2467</v>
      </c>
      <c r="B1207" s="16" t="s">
        <v>2468</v>
      </c>
      <c r="C1207" s="16" t="s">
        <v>2469</v>
      </c>
      <c r="D1207" s="16" t="s">
        <v>2343</v>
      </c>
      <c r="E1207" s="16" t="s">
        <v>2470</v>
      </c>
      <c r="F1207" s="16" t="s">
        <v>2471</v>
      </c>
      <c r="G1207" s="16" t="s">
        <v>2472</v>
      </c>
      <c r="H1207" s="16" t="s">
        <v>2471</v>
      </c>
      <c r="I1207" s="16" t="s">
        <v>2473</v>
      </c>
      <c r="J1207" s="16" t="s">
        <v>928</v>
      </c>
      <c r="K1207" s="16" t="s">
        <v>2474</v>
      </c>
      <c r="L1207" s="16" t="s">
        <v>85</v>
      </c>
      <c r="M1207" s="16" t="s">
        <v>1322</v>
      </c>
      <c r="N1207" s="16" t="s">
        <v>914</v>
      </c>
      <c r="O1207" s="16" t="s">
        <v>1323</v>
      </c>
      <c r="P1207" s="16" t="s">
        <v>914</v>
      </c>
      <c r="Q1207" s="16" t="s">
        <v>1323</v>
      </c>
      <c r="R1207" s="16" t="s">
        <v>915</v>
      </c>
      <c r="S1207" s="16" t="s">
        <v>915</v>
      </c>
      <c r="T1207" s="16" t="s">
        <v>1322</v>
      </c>
      <c r="U1207" s="16" t="s">
        <v>1324</v>
      </c>
      <c r="V1207" s="16" t="s">
        <v>916</v>
      </c>
      <c r="W1207" s="16" t="s">
        <v>1324</v>
      </c>
      <c r="X1207" s="16" t="s">
        <v>934</v>
      </c>
      <c r="Y1207" s="16" t="s">
        <v>934</v>
      </c>
      <c r="Z1207" s="16" t="s">
        <v>935</v>
      </c>
      <c r="DA1207" s="405" t="s">
        <v>5</v>
      </c>
      <c r="DB1207" s="405" t="s">
        <v>363</v>
      </c>
      <c r="DC1207" s="406" t="s">
        <v>85</v>
      </c>
      <c r="DD1207" s="405" t="s">
        <v>917</v>
      </c>
      <c r="DE1207" s="405" t="s">
        <v>5</v>
      </c>
      <c r="DF1207" s="406" t="s">
        <v>85</v>
      </c>
      <c r="DG1207" s="407">
        <v>45864</v>
      </c>
      <c r="DH1207" s="405" t="s">
        <v>2470</v>
      </c>
      <c r="DI1207" s="406">
        <v>465455</v>
      </c>
      <c r="DJ1207" s="408">
        <v>5</v>
      </c>
      <c r="DK1207" s="405">
        <v>1</v>
      </c>
      <c r="DL1207" s="82">
        <v>332.47</v>
      </c>
      <c r="DM1207" s="409">
        <v>1.6623500000000002</v>
      </c>
      <c r="DN1207" s="82" t="s">
        <v>85</v>
      </c>
      <c r="DO1207" s="82" t="s">
        <v>85</v>
      </c>
      <c r="DP1207" s="410" t="s">
        <v>85</v>
      </c>
    </row>
    <row r="1208" spans="1:120" x14ac:dyDescent="0.25">
      <c r="A1208" s="16" t="s">
        <v>2475</v>
      </c>
      <c r="B1208" s="16" t="s">
        <v>2476</v>
      </c>
      <c r="C1208" s="16" t="s">
        <v>2477</v>
      </c>
      <c r="D1208" s="16" t="s">
        <v>2343</v>
      </c>
      <c r="E1208" s="16" t="s">
        <v>2478</v>
      </c>
      <c r="F1208" s="16" t="s">
        <v>2479</v>
      </c>
      <c r="G1208" s="16" t="s">
        <v>2480</v>
      </c>
      <c r="H1208" s="16" t="s">
        <v>2481</v>
      </c>
      <c r="I1208" s="16" t="s">
        <v>2482</v>
      </c>
      <c r="J1208" s="16" t="s">
        <v>2483</v>
      </c>
      <c r="K1208" s="16" t="s">
        <v>2484</v>
      </c>
      <c r="L1208" s="16" t="s">
        <v>85</v>
      </c>
      <c r="M1208" s="16" t="s">
        <v>2485</v>
      </c>
      <c r="N1208" s="16" t="s">
        <v>914</v>
      </c>
      <c r="O1208" s="16" t="s">
        <v>1397</v>
      </c>
      <c r="P1208" s="16" t="s">
        <v>914</v>
      </c>
      <c r="Q1208" s="16" t="s">
        <v>1397</v>
      </c>
      <c r="R1208" s="16" t="s">
        <v>915</v>
      </c>
      <c r="S1208" s="16" t="s">
        <v>915</v>
      </c>
      <c r="T1208" s="16" t="s">
        <v>2485</v>
      </c>
      <c r="U1208" s="16" t="s">
        <v>2486</v>
      </c>
      <c r="V1208" s="16" t="s">
        <v>916</v>
      </c>
      <c r="W1208" s="16" t="s">
        <v>2486</v>
      </c>
      <c r="X1208" s="16" t="s">
        <v>934</v>
      </c>
      <c r="Y1208" s="16" t="s">
        <v>934</v>
      </c>
      <c r="Z1208" s="16" t="s">
        <v>935</v>
      </c>
      <c r="DA1208" s="405" t="s">
        <v>5</v>
      </c>
      <c r="DB1208" s="405" t="s">
        <v>363</v>
      </c>
      <c r="DC1208" s="406" t="s">
        <v>85</v>
      </c>
      <c r="DD1208" s="405" t="s">
        <v>917</v>
      </c>
      <c r="DE1208" s="405" t="s">
        <v>5</v>
      </c>
      <c r="DF1208" s="406" t="s">
        <v>85</v>
      </c>
      <c r="DG1208" s="407">
        <v>45864</v>
      </c>
      <c r="DH1208" s="405" t="s">
        <v>2478</v>
      </c>
      <c r="DI1208" s="406">
        <v>465455</v>
      </c>
      <c r="DJ1208" s="408">
        <v>5</v>
      </c>
      <c r="DK1208" s="405">
        <v>1</v>
      </c>
      <c r="DL1208" s="82">
        <v>266.05</v>
      </c>
      <c r="DM1208" s="409">
        <v>1.3302500000000002</v>
      </c>
      <c r="DN1208" s="82" t="s">
        <v>85</v>
      </c>
      <c r="DO1208" s="82" t="s">
        <v>85</v>
      </c>
      <c r="DP1208" s="410" t="s">
        <v>85</v>
      </c>
    </row>
    <row r="1209" spans="1:120" x14ac:dyDescent="0.25">
      <c r="A1209" s="16" t="s">
        <v>2487</v>
      </c>
      <c r="B1209" s="16" t="s">
        <v>2488</v>
      </c>
      <c r="C1209" s="16" t="s">
        <v>2489</v>
      </c>
      <c r="D1209" s="16" t="s">
        <v>2343</v>
      </c>
      <c r="E1209" s="16" t="s">
        <v>2490</v>
      </c>
      <c r="F1209" s="16" t="s">
        <v>2491</v>
      </c>
      <c r="G1209" s="16" t="s">
        <v>2492</v>
      </c>
      <c r="H1209" s="16" t="s">
        <v>2493</v>
      </c>
      <c r="I1209" s="16" t="s">
        <v>1248</v>
      </c>
      <c r="J1209" s="16" t="s">
        <v>995</v>
      </c>
      <c r="K1209" s="16" t="s">
        <v>1249</v>
      </c>
      <c r="L1209" s="16" t="s">
        <v>85</v>
      </c>
      <c r="M1209" s="16" t="s">
        <v>1165</v>
      </c>
      <c r="N1209" s="16" t="s">
        <v>914</v>
      </c>
      <c r="O1209" s="16" t="s">
        <v>1166</v>
      </c>
      <c r="P1209" s="16" t="s">
        <v>914</v>
      </c>
      <c r="Q1209" s="16" t="s">
        <v>1166</v>
      </c>
      <c r="R1209" s="16" t="s">
        <v>915</v>
      </c>
      <c r="S1209" s="16" t="s">
        <v>915</v>
      </c>
      <c r="T1209" s="16" t="s">
        <v>1167</v>
      </c>
      <c r="U1209" s="16" t="s">
        <v>1168</v>
      </c>
      <c r="V1209" s="16" t="s">
        <v>916</v>
      </c>
      <c r="W1209" s="16" t="s">
        <v>1168</v>
      </c>
      <c r="X1209" s="16" t="s">
        <v>934</v>
      </c>
      <c r="Y1209" s="16" t="s">
        <v>934</v>
      </c>
      <c r="Z1209" s="16" t="s">
        <v>935</v>
      </c>
      <c r="DA1209" s="405" t="s">
        <v>5</v>
      </c>
      <c r="DB1209" s="405" t="s">
        <v>363</v>
      </c>
      <c r="DC1209" s="406" t="s">
        <v>85</v>
      </c>
      <c r="DD1209" s="405" t="s">
        <v>917</v>
      </c>
      <c r="DE1209" s="405" t="s">
        <v>5</v>
      </c>
      <c r="DF1209" s="406" t="s">
        <v>85</v>
      </c>
      <c r="DG1209" s="407">
        <v>45864</v>
      </c>
      <c r="DH1209" s="405" t="s">
        <v>2490</v>
      </c>
      <c r="DI1209" s="406">
        <v>465455</v>
      </c>
      <c r="DJ1209" s="408">
        <v>5</v>
      </c>
      <c r="DK1209" s="405">
        <v>1</v>
      </c>
      <c r="DL1209" s="82">
        <v>468.28</v>
      </c>
      <c r="DM1209" s="409">
        <v>2.3413999999999997</v>
      </c>
      <c r="DN1209" s="82" t="s">
        <v>85</v>
      </c>
      <c r="DO1209" s="82" t="s">
        <v>85</v>
      </c>
      <c r="DP1209" s="410" t="s">
        <v>85</v>
      </c>
    </row>
    <row r="1210" spans="1:120" x14ac:dyDescent="0.25">
      <c r="A1210" s="16" t="s">
        <v>2494</v>
      </c>
      <c r="B1210" s="16" t="s">
        <v>2495</v>
      </c>
      <c r="C1210" s="16" t="s">
        <v>2496</v>
      </c>
      <c r="D1210" s="16" t="s">
        <v>2343</v>
      </c>
      <c r="E1210" s="16" t="s">
        <v>2497</v>
      </c>
      <c r="F1210" s="16" t="s">
        <v>2498</v>
      </c>
      <c r="G1210" s="16" t="s">
        <v>2499</v>
      </c>
      <c r="H1210" s="16" t="s">
        <v>2500</v>
      </c>
      <c r="I1210" s="16" t="s">
        <v>1287</v>
      </c>
      <c r="J1210" s="16" t="s">
        <v>943</v>
      </c>
      <c r="K1210" s="16" t="s">
        <v>1288</v>
      </c>
      <c r="L1210" s="16" t="s">
        <v>85</v>
      </c>
      <c r="M1210" s="16" t="s">
        <v>984</v>
      </c>
      <c r="N1210" s="16" t="s">
        <v>914</v>
      </c>
      <c r="O1210" s="16" t="s">
        <v>985</v>
      </c>
      <c r="P1210" s="16" t="s">
        <v>914</v>
      </c>
      <c r="Q1210" s="16" t="s">
        <v>985</v>
      </c>
      <c r="R1210" s="16" t="s">
        <v>915</v>
      </c>
      <c r="S1210" s="16" t="s">
        <v>915</v>
      </c>
      <c r="T1210" s="16" t="s">
        <v>986</v>
      </c>
      <c r="U1210" s="16" t="s">
        <v>987</v>
      </c>
      <c r="V1210" s="16" t="s">
        <v>916</v>
      </c>
      <c r="W1210" s="16" t="s">
        <v>987</v>
      </c>
      <c r="X1210" s="16" t="s">
        <v>934</v>
      </c>
      <c r="Y1210" s="16" t="s">
        <v>934</v>
      </c>
      <c r="Z1210" s="16" t="s">
        <v>935</v>
      </c>
      <c r="DA1210" s="405" t="s">
        <v>5</v>
      </c>
      <c r="DB1210" s="405" t="s">
        <v>363</v>
      </c>
      <c r="DC1210" s="406" t="s">
        <v>85</v>
      </c>
      <c r="DD1210" s="405" t="s">
        <v>917</v>
      </c>
      <c r="DE1210" s="405" t="s">
        <v>5</v>
      </c>
      <c r="DF1210" s="406" t="s">
        <v>85</v>
      </c>
      <c r="DG1210" s="407">
        <v>45864</v>
      </c>
      <c r="DH1210" s="405" t="s">
        <v>2497</v>
      </c>
      <c r="DI1210" s="406">
        <v>465455</v>
      </c>
      <c r="DJ1210" s="408">
        <v>5</v>
      </c>
      <c r="DK1210" s="405">
        <v>1</v>
      </c>
      <c r="DL1210" s="82">
        <v>340.55</v>
      </c>
      <c r="DM1210" s="409">
        <v>1.70275</v>
      </c>
      <c r="DN1210" s="82" t="s">
        <v>85</v>
      </c>
      <c r="DO1210" s="82" t="s">
        <v>85</v>
      </c>
      <c r="DP1210" s="410" t="s">
        <v>85</v>
      </c>
    </row>
    <row r="1211" spans="1:120" x14ac:dyDescent="0.25">
      <c r="A1211" s="16" t="s">
        <v>2501</v>
      </c>
      <c r="B1211" s="16" t="s">
        <v>2502</v>
      </c>
      <c r="C1211" s="16" t="s">
        <v>2503</v>
      </c>
      <c r="D1211" s="16" t="s">
        <v>2343</v>
      </c>
      <c r="E1211" s="16" t="s">
        <v>2504</v>
      </c>
      <c r="F1211" s="16" t="s">
        <v>2505</v>
      </c>
      <c r="G1211" s="16" t="s">
        <v>2506</v>
      </c>
      <c r="H1211" s="16" t="s">
        <v>2505</v>
      </c>
      <c r="I1211" s="16" t="s">
        <v>1970</v>
      </c>
      <c r="J1211" s="16" t="s">
        <v>995</v>
      </c>
      <c r="K1211" s="16" t="s">
        <v>1971</v>
      </c>
      <c r="L1211" s="16" t="s">
        <v>85</v>
      </c>
      <c r="M1211" s="16" t="s">
        <v>1165</v>
      </c>
      <c r="N1211" s="16" t="s">
        <v>914</v>
      </c>
      <c r="O1211" s="16" t="s">
        <v>1166</v>
      </c>
      <c r="P1211" s="16" t="s">
        <v>914</v>
      </c>
      <c r="Q1211" s="16" t="s">
        <v>1166</v>
      </c>
      <c r="R1211" s="16" t="s">
        <v>915</v>
      </c>
      <c r="S1211" s="16" t="s">
        <v>915</v>
      </c>
      <c r="T1211" s="16" t="s">
        <v>1167</v>
      </c>
      <c r="U1211" s="16" t="s">
        <v>1168</v>
      </c>
      <c r="V1211" s="16" t="s">
        <v>916</v>
      </c>
      <c r="W1211" s="16" t="s">
        <v>1168</v>
      </c>
      <c r="X1211" s="16" t="s">
        <v>934</v>
      </c>
      <c r="Y1211" s="16" t="s">
        <v>934</v>
      </c>
      <c r="Z1211" s="16" t="s">
        <v>935</v>
      </c>
      <c r="DA1211" s="405" t="s">
        <v>5</v>
      </c>
      <c r="DB1211" s="405" t="s">
        <v>363</v>
      </c>
      <c r="DC1211" s="406" t="s">
        <v>85</v>
      </c>
      <c r="DD1211" s="405" t="s">
        <v>917</v>
      </c>
      <c r="DE1211" s="405" t="s">
        <v>5</v>
      </c>
      <c r="DF1211" s="406" t="s">
        <v>85</v>
      </c>
      <c r="DG1211" s="407">
        <v>45864</v>
      </c>
      <c r="DH1211" s="405" t="s">
        <v>2504</v>
      </c>
      <c r="DI1211" s="406">
        <v>465455</v>
      </c>
      <c r="DJ1211" s="408">
        <v>5</v>
      </c>
      <c r="DK1211" s="405">
        <v>1</v>
      </c>
      <c r="DL1211" s="82">
        <v>468.28</v>
      </c>
      <c r="DM1211" s="409">
        <v>2.3413999999999997</v>
      </c>
      <c r="DN1211" s="82" t="s">
        <v>85</v>
      </c>
      <c r="DO1211" s="82" t="s">
        <v>85</v>
      </c>
      <c r="DP1211" s="410" t="s">
        <v>85</v>
      </c>
    </row>
    <row r="1212" spans="1:120" x14ac:dyDescent="0.25">
      <c r="A1212" s="16" t="s">
        <v>2507</v>
      </c>
      <c r="B1212" s="16" t="s">
        <v>2508</v>
      </c>
      <c r="C1212" s="16" t="s">
        <v>2509</v>
      </c>
      <c r="D1212" s="16" t="s">
        <v>2343</v>
      </c>
      <c r="E1212" s="16" t="s">
        <v>2510</v>
      </c>
      <c r="F1212" s="16" t="s">
        <v>2511</v>
      </c>
      <c r="G1212" s="16" t="s">
        <v>2512</v>
      </c>
      <c r="H1212" s="16" t="s">
        <v>2513</v>
      </c>
      <c r="I1212" s="16" t="s">
        <v>994</v>
      </c>
      <c r="J1212" s="16" t="s">
        <v>995</v>
      </c>
      <c r="K1212" s="16" t="s">
        <v>996</v>
      </c>
      <c r="L1212" s="16" t="s">
        <v>85</v>
      </c>
      <c r="M1212" s="16" t="s">
        <v>1165</v>
      </c>
      <c r="N1212" s="16" t="s">
        <v>914</v>
      </c>
      <c r="O1212" s="16" t="s">
        <v>1166</v>
      </c>
      <c r="P1212" s="16" t="s">
        <v>914</v>
      </c>
      <c r="Q1212" s="16" t="s">
        <v>1166</v>
      </c>
      <c r="R1212" s="16" t="s">
        <v>915</v>
      </c>
      <c r="S1212" s="16" t="s">
        <v>915</v>
      </c>
      <c r="T1212" s="16" t="s">
        <v>1167</v>
      </c>
      <c r="U1212" s="16" t="s">
        <v>1168</v>
      </c>
      <c r="V1212" s="16" t="s">
        <v>916</v>
      </c>
      <c r="W1212" s="16" t="s">
        <v>1168</v>
      </c>
      <c r="X1212" s="16" t="s">
        <v>934</v>
      </c>
      <c r="Y1212" s="16" t="s">
        <v>934</v>
      </c>
      <c r="Z1212" s="16" t="s">
        <v>935</v>
      </c>
      <c r="DA1212" s="405" t="s">
        <v>5</v>
      </c>
      <c r="DB1212" s="405" t="s">
        <v>363</v>
      </c>
      <c r="DC1212" s="406" t="s">
        <v>85</v>
      </c>
      <c r="DD1212" s="405" t="s">
        <v>917</v>
      </c>
      <c r="DE1212" s="405" t="s">
        <v>5</v>
      </c>
      <c r="DF1212" s="406" t="s">
        <v>85</v>
      </c>
      <c r="DG1212" s="407">
        <v>45864</v>
      </c>
      <c r="DH1212" s="405" t="s">
        <v>2510</v>
      </c>
      <c r="DI1212" s="406">
        <v>465455</v>
      </c>
      <c r="DJ1212" s="408">
        <v>5</v>
      </c>
      <c r="DK1212" s="405">
        <v>1</v>
      </c>
      <c r="DL1212" s="82">
        <v>468.28</v>
      </c>
      <c r="DM1212" s="409">
        <v>2.3413999999999997</v>
      </c>
      <c r="DN1212" s="82" t="s">
        <v>85</v>
      </c>
      <c r="DO1212" s="82" t="s">
        <v>85</v>
      </c>
      <c r="DP1212" s="410" t="s">
        <v>85</v>
      </c>
    </row>
    <row r="1213" spans="1:120" x14ac:dyDescent="0.25">
      <c r="A1213" s="16" t="s">
        <v>2514</v>
      </c>
      <c r="B1213" s="16" t="s">
        <v>2515</v>
      </c>
      <c r="C1213" s="16" t="s">
        <v>2516</v>
      </c>
      <c r="D1213" s="16" t="s">
        <v>2343</v>
      </c>
      <c r="E1213" s="16" t="s">
        <v>2517</v>
      </c>
      <c r="F1213" s="16" t="s">
        <v>2518</v>
      </c>
      <c r="G1213" s="16" t="s">
        <v>2519</v>
      </c>
      <c r="H1213" s="16" t="s">
        <v>2520</v>
      </c>
      <c r="I1213" s="16" t="s">
        <v>2521</v>
      </c>
      <c r="J1213" s="16" t="s">
        <v>943</v>
      </c>
      <c r="K1213" s="16" t="s">
        <v>2522</v>
      </c>
      <c r="L1213" s="16" t="s">
        <v>85</v>
      </c>
      <c r="M1213" s="16" t="s">
        <v>984</v>
      </c>
      <c r="N1213" s="16" t="s">
        <v>914</v>
      </c>
      <c r="O1213" s="16" t="s">
        <v>985</v>
      </c>
      <c r="P1213" s="16" t="s">
        <v>914</v>
      </c>
      <c r="Q1213" s="16" t="s">
        <v>985</v>
      </c>
      <c r="R1213" s="16" t="s">
        <v>915</v>
      </c>
      <c r="S1213" s="16" t="s">
        <v>915</v>
      </c>
      <c r="T1213" s="16" t="s">
        <v>986</v>
      </c>
      <c r="U1213" s="16" t="s">
        <v>987</v>
      </c>
      <c r="V1213" s="16" t="s">
        <v>916</v>
      </c>
      <c r="W1213" s="16" t="s">
        <v>987</v>
      </c>
      <c r="X1213" s="16" t="s">
        <v>934</v>
      </c>
      <c r="Y1213" s="16" t="s">
        <v>934</v>
      </c>
      <c r="Z1213" s="16" t="s">
        <v>935</v>
      </c>
      <c r="DA1213" s="405" t="s">
        <v>5</v>
      </c>
      <c r="DB1213" s="405" t="s">
        <v>363</v>
      </c>
      <c r="DC1213" s="406" t="s">
        <v>85</v>
      </c>
      <c r="DD1213" s="405" t="s">
        <v>917</v>
      </c>
      <c r="DE1213" s="405" t="s">
        <v>5</v>
      </c>
      <c r="DF1213" s="406" t="s">
        <v>85</v>
      </c>
      <c r="DG1213" s="407">
        <v>45864</v>
      </c>
      <c r="DH1213" s="405" t="s">
        <v>2517</v>
      </c>
      <c r="DI1213" s="406">
        <v>465455</v>
      </c>
      <c r="DJ1213" s="408">
        <v>5</v>
      </c>
      <c r="DK1213" s="405">
        <v>1</v>
      </c>
      <c r="DL1213" s="82">
        <v>340.55</v>
      </c>
      <c r="DM1213" s="409">
        <v>1.70275</v>
      </c>
      <c r="DN1213" s="82" t="s">
        <v>85</v>
      </c>
      <c r="DO1213" s="82" t="s">
        <v>85</v>
      </c>
      <c r="DP1213" s="410" t="s">
        <v>85</v>
      </c>
    </row>
    <row r="1214" spans="1:120" x14ac:dyDescent="0.25">
      <c r="A1214" s="16" t="s">
        <v>2523</v>
      </c>
      <c r="B1214" s="16" t="s">
        <v>2524</v>
      </c>
      <c r="C1214" s="16" t="s">
        <v>2525</v>
      </c>
      <c r="D1214" s="16" t="s">
        <v>2343</v>
      </c>
      <c r="E1214" s="16" t="s">
        <v>2526</v>
      </c>
      <c r="F1214" s="16" t="s">
        <v>2527</v>
      </c>
      <c r="G1214" s="16" t="s">
        <v>2528</v>
      </c>
      <c r="H1214" s="16" t="s">
        <v>2529</v>
      </c>
      <c r="I1214" s="16" t="s">
        <v>1781</v>
      </c>
      <c r="J1214" s="16" t="s">
        <v>995</v>
      </c>
      <c r="K1214" s="16" t="s">
        <v>1782</v>
      </c>
      <c r="L1214" s="16" t="s">
        <v>85</v>
      </c>
      <c r="M1214" s="16" t="s">
        <v>1165</v>
      </c>
      <c r="N1214" s="16" t="s">
        <v>914</v>
      </c>
      <c r="O1214" s="16" t="s">
        <v>1166</v>
      </c>
      <c r="P1214" s="16" t="s">
        <v>914</v>
      </c>
      <c r="Q1214" s="16" t="s">
        <v>1166</v>
      </c>
      <c r="R1214" s="16" t="s">
        <v>915</v>
      </c>
      <c r="S1214" s="16" t="s">
        <v>915</v>
      </c>
      <c r="T1214" s="16" t="s">
        <v>1167</v>
      </c>
      <c r="U1214" s="16" t="s">
        <v>1168</v>
      </c>
      <c r="V1214" s="16" t="s">
        <v>916</v>
      </c>
      <c r="W1214" s="16" t="s">
        <v>1168</v>
      </c>
      <c r="X1214" s="16" t="s">
        <v>934</v>
      </c>
      <c r="Y1214" s="16" t="s">
        <v>934</v>
      </c>
      <c r="Z1214" s="16" t="s">
        <v>935</v>
      </c>
      <c r="DA1214" s="405" t="s">
        <v>5</v>
      </c>
      <c r="DB1214" s="405" t="s">
        <v>363</v>
      </c>
      <c r="DC1214" s="406" t="s">
        <v>85</v>
      </c>
      <c r="DD1214" s="405" t="s">
        <v>917</v>
      </c>
      <c r="DE1214" s="405" t="s">
        <v>5</v>
      </c>
      <c r="DF1214" s="406" t="s">
        <v>85</v>
      </c>
      <c r="DG1214" s="407">
        <v>45864</v>
      </c>
      <c r="DH1214" s="405" t="s">
        <v>2526</v>
      </c>
      <c r="DI1214" s="406">
        <v>465455</v>
      </c>
      <c r="DJ1214" s="408">
        <v>5</v>
      </c>
      <c r="DK1214" s="405">
        <v>1</v>
      </c>
      <c r="DL1214" s="82">
        <v>468.28</v>
      </c>
      <c r="DM1214" s="409">
        <v>2.3413999999999997</v>
      </c>
      <c r="DN1214" s="82" t="s">
        <v>85</v>
      </c>
      <c r="DO1214" s="82" t="s">
        <v>85</v>
      </c>
      <c r="DP1214" s="410" t="s">
        <v>85</v>
      </c>
    </row>
    <row r="1215" spans="1:120" x14ac:dyDescent="0.25">
      <c r="A1215" s="16" t="s">
        <v>2530</v>
      </c>
      <c r="B1215" s="16" t="s">
        <v>2531</v>
      </c>
      <c r="C1215" s="16" t="s">
        <v>2532</v>
      </c>
      <c r="D1215" s="16" t="s">
        <v>2343</v>
      </c>
      <c r="E1215" s="16" t="s">
        <v>2533</v>
      </c>
      <c r="F1215" s="16" t="s">
        <v>2534</v>
      </c>
      <c r="G1215" s="16" t="s">
        <v>2535</v>
      </c>
      <c r="H1215" s="16" t="s">
        <v>2527</v>
      </c>
      <c r="I1215" s="16" t="s">
        <v>1090</v>
      </c>
      <c r="J1215" s="16" t="s">
        <v>943</v>
      </c>
      <c r="K1215" s="16" t="s">
        <v>1091</v>
      </c>
      <c r="L1215" s="16" t="s">
        <v>85</v>
      </c>
      <c r="M1215" s="16" t="s">
        <v>984</v>
      </c>
      <c r="N1215" s="16" t="s">
        <v>914</v>
      </c>
      <c r="O1215" s="16" t="s">
        <v>985</v>
      </c>
      <c r="P1215" s="16" t="s">
        <v>914</v>
      </c>
      <c r="Q1215" s="16" t="s">
        <v>985</v>
      </c>
      <c r="R1215" s="16" t="s">
        <v>915</v>
      </c>
      <c r="S1215" s="16" t="s">
        <v>915</v>
      </c>
      <c r="T1215" s="16" t="s">
        <v>986</v>
      </c>
      <c r="U1215" s="16" t="s">
        <v>987</v>
      </c>
      <c r="V1215" s="16" t="s">
        <v>916</v>
      </c>
      <c r="W1215" s="16" t="s">
        <v>987</v>
      </c>
      <c r="X1215" s="16" t="s">
        <v>934</v>
      </c>
      <c r="Y1215" s="16" t="s">
        <v>934</v>
      </c>
      <c r="Z1215" s="16" t="s">
        <v>935</v>
      </c>
      <c r="DA1215" s="405" t="s">
        <v>5</v>
      </c>
      <c r="DB1215" s="405" t="s">
        <v>363</v>
      </c>
      <c r="DC1215" s="406" t="s">
        <v>85</v>
      </c>
      <c r="DD1215" s="405" t="s">
        <v>917</v>
      </c>
      <c r="DE1215" s="405" t="s">
        <v>5</v>
      </c>
      <c r="DF1215" s="406" t="s">
        <v>85</v>
      </c>
      <c r="DG1215" s="407">
        <v>45864</v>
      </c>
      <c r="DH1215" s="405" t="s">
        <v>2533</v>
      </c>
      <c r="DI1215" s="406">
        <v>465455</v>
      </c>
      <c r="DJ1215" s="408">
        <v>5</v>
      </c>
      <c r="DK1215" s="405">
        <v>1</v>
      </c>
      <c r="DL1215" s="82">
        <v>340.55</v>
      </c>
      <c r="DM1215" s="409">
        <v>1.70275</v>
      </c>
      <c r="DN1215" s="82" t="s">
        <v>85</v>
      </c>
      <c r="DO1215" s="82" t="s">
        <v>85</v>
      </c>
      <c r="DP1215" s="410" t="s">
        <v>85</v>
      </c>
    </row>
    <row r="1216" spans="1:120" x14ac:dyDescent="0.25">
      <c r="A1216" s="16" t="s">
        <v>2536</v>
      </c>
      <c r="B1216" s="16" t="s">
        <v>2537</v>
      </c>
      <c r="C1216" s="16" t="s">
        <v>2538</v>
      </c>
      <c r="D1216" s="16" t="s">
        <v>2343</v>
      </c>
      <c r="E1216" s="16" t="s">
        <v>2539</v>
      </c>
      <c r="F1216" s="16" t="s">
        <v>2540</v>
      </c>
      <c r="G1216" s="16" t="s">
        <v>2541</v>
      </c>
      <c r="H1216" s="16" t="s">
        <v>2542</v>
      </c>
      <c r="I1216" s="16" t="s">
        <v>1066</v>
      </c>
      <c r="J1216" s="16" t="s">
        <v>943</v>
      </c>
      <c r="K1216" s="16" t="s">
        <v>1067</v>
      </c>
      <c r="L1216" s="16" t="s">
        <v>85</v>
      </c>
      <c r="M1216" s="16" t="s">
        <v>984</v>
      </c>
      <c r="N1216" s="16" t="s">
        <v>914</v>
      </c>
      <c r="O1216" s="16" t="s">
        <v>985</v>
      </c>
      <c r="P1216" s="16" t="s">
        <v>914</v>
      </c>
      <c r="Q1216" s="16" t="s">
        <v>985</v>
      </c>
      <c r="R1216" s="16" t="s">
        <v>915</v>
      </c>
      <c r="S1216" s="16" t="s">
        <v>915</v>
      </c>
      <c r="T1216" s="16" t="s">
        <v>986</v>
      </c>
      <c r="U1216" s="16" t="s">
        <v>987</v>
      </c>
      <c r="V1216" s="16" t="s">
        <v>916</v>
      </c>
      <c r="W1216" s="16" t="s">
        <v>987</v>
      </c>
      <c r="X1216" s="16" t="s">
        <v>934</v>
      </c>
      <c r="Y1216" s="16" t="s">
        <v>934</v>
      </c>
      <c r="Z1216" s="16" t="s">
        <v>935</v>
      </c>
      <c r="DA1216" s="405" t="s">
        <v>5</v>
      </c>
      <c r="DB1216" s="405" t="s">
        <v>363</v>
      </c>
      <c r="DC1216" s="406" t="s">
        <v>85</v>
      </c>
      <c r="DD1216" s="405" t="s">
        <v>917</v>
      </c>
      <c r="DE1216" s="405" t="s">
        <v>5</v>
      </c>
      <c r="DF1216" s="406" t="s">
        <v>85</v>
      </c>
      <c r="DG1216" s="407">
        <v>45864</v>
      </c>
      <c r="DH1216" s="405" t="s">
        <v>2539</v>
      </c>
      <c r="DI1216" s="406">
        <v>465455</v>
      </c>
      <c r="DJ1216" s="408">
        <v>5</v>
      </c>
      <c r="DK1216" s="405">
        <v>1</v>
      </c>
      <c r="DL1216" s="82">
        <v>340.55</v>
      </c>
      <c r="DM1216" s="409">
        <v>1.70275</v>
      </c>
      <c r="DN1216" s="82" t="s">
        <v>85</v>
      </c>
      <c r="DO1216" s="82" t="s">
        <v>85</v>
      </c>
      <c r="DP1216" s="410" t="s">
        <v>85</v>
      </c>
    </row>
    <row r="1217" spans="1:120" x14ac:dyDescent="0.25">
      <c r="A1217" s="16" t="s">
        <v>2536</v>
      </c>
      <c r="B1217" s="16" t="s">
        <v>2537</v>
      </c>
      <c r="C1217" s="16" t="s">
        <v>2538</v>
      </c>
      <c r="D1217" s="16" t="s">
        <v>2343</v>
      </c>
      <c r="E1217" s="16" t="s">
        <v>2539</v>
      </c>
      <c r="F1217" s="16" t="s">
        <v>2540</v>
      </c>
      <c r="G1217" s="16" t="s">
        <v>2541</v>
      </c>
      <c r="H1217" s="16" t="s">
        <v>2542</v>
      </c>
      <c r="I1217" s="16" t="s">
        <v>1620</v>
      </c>
      <c r="J1217" s="16" t="s">
        <v>943</v>
      </c>
      <c r="K1217" s="16" t="s">
        <v>1621</v>
      </c>
      <c r="L1217" s="16" t="s">
        <v>85</v>
      </c>
      <c r="M1217" s="16" t="s">
        <v>984</v>
      </c>
      <c r="N1217" s="16" t="s">
        <v>914</v>
      </c>
      <c r="O1217" s="16" t="s">
        <v>985</v>
      </c>
      <c r="P1217" s="16" t="s">
        <v>914</v>
      </c>
      <c r="Q1217" s="16" t="s">
        <v>985</v>
      </c>
      <c r="R1217" s="16" t="s">
        <v>915</v>
      </c>
      <c r="S1217" s="16" t="s">
        <v>915</v>
      </c>
      <c r="T1217" s="16" t="s">
        <v>986</v>
      </c>
      <c r="U1217" s="16" t="s">
        <v>987</v>
      </c>
      <c r="V1217" s="16" t="s">
        <v>916</v>
      </c>
      <c r="W1217" s="16" t="s">
        <v>987</v>
      </c>
      <c r="X1217" s="16" t="s">
        <v>934</v>
      </c>
      <c r="Y1217" s="16" t="s">
        <v>934</v>
      </c>
      <c r="Z1217" s="16" t="s">
        <v>935</v>
      </c>
      <c r="DA1217" s="405" t="s">
        <v>5</v>
      </c>
      <c r="DB1217" s="405" t="s">
        <v>363</v>
      </c>
      <c r="DC1217" s="406" t="s">
        <v>85</v>
      </c>
      <c r="DD1217" s="405" t="s">
        <v>917</v>
      </c>
      <c r="DE1217" s="405" t="s">
        <v>5</v>
      </c>
      <c r="DF1217" s="406" t="s">
        <v>85</v>
      </c>
      <c r="DG1217" s="407">
        <v>45864</v>
      </c>
      <c r="DH1217" s="405" t="s">
        <v>2539</v>
      </c>
      <c r="DI1217" s="406">
        <v>465455</v>
      </c>
      <c r="DJ1217" s="408">
        <v>5</v>
      </c>
      <c r="DK1217" s="405">
        <v>1</v>
      </c>
      <c r="DL1217" s="82">
        <v>340.55</v>
      </c>
      <c r="DM1217" s="409">
        <v>1.70275</v>
      </c>
      <c r="DN1217" s="82" t="s">
        <v>85</v>
      </c>
      <c r="DO1217" s="82" t="s">
        <v>85</v>
      </c>
      <c r="DP1217" s="410" t="s">
        <v>85</v>
      </c>
    </row>
    <row r="1218" spans="1:120" x14ac:dyDescent="0.25">
      <c r="A1218" s="16" t="s">
        <v>2543</v>
      </c>
      <c r="B1218" s="16" t="s">
        <v>2544</v>
      </c>
      <c r="C1218" s="16" t="s">
        <v>2545</v>
      </c>
      <c r="D1218" s="16" t="s">
        <v>2343</v>
      </c>
      <c r="E1218" s="16" t="s">
        <v>2546</v>
      </c>
      <c r="F1218" s="16" t="s">
        <v>2547</v>
      </c>
      <c r="G1218" s="16" t="s">
        <v>2548</v>
      </c>
      <c r="H1218" s="16" t="s">
        <v>2547</v>
      </c>
      <c r="I1218" s="16" t="s">
        <v>1026</v>
      </c>
      <c r="J1218" s="16" t="s">
        <v>943</v>
      </c>
      <c r="K1218" s="16" t="s">
        <v>1027</v>
      </c>
      <c r="L1218" s="16" t="s">
        <v>85</v>
      </c>
      <c r="M1218" s="16" t="s">
        <v>984</v>
      </c>
      <c r="N1218" s="16" t="s">
        <v>914</v>
      </c>
      <c r="O1218" s="16" t="s">
        <v>985</v>
      </c>
      <c r="P1218" s="16" t="s">
        <v>914</v>
      </c>
      <c r="Q1218" s="16" t="s">
        <v>985</v>
      </c>
      <c r="R1218" s="16" t="s">
        <v>915</v>
      </c>
      <c r="S1218" s="16" t="s">
        <v>915</v>
      </c>
      <c r="T1218" s="16" t="s">
        <v>986</v>
      </c>
      <c r="U1218" s="16" t="s">
        <v>987</v>
      </c>
      <c r="V1218" s="16" t="s">
        <v>916</v>
      </c>
      <c r="W1218" s="16" t="s">
        <v>987</v>
      </c>
      <c r="X1218" s="16" t="s">
        <v>934</v>
      </c>
      <c r="Y1218" s="16" t="s">
        <v>934</v>
      </c>
      <c r="Z1218" s="16" t="s">
        <v>935</v>
      </c>
      <c r="DA1218" s="405" t="s">
        <v>5</v>
      </c>
      <c r="DB1218" s="405" t="s">
        <v>363</v>
      </c>
      <c r="DC1218" s="406" t="s">
        <v>85</v>
      </c>
      <c r="DD1218" s="405" t="s">
        <v>917</v>
      </c>
      <c r="DE1218" s="405" t="s">
        <v>5</v>
      </c>
      <c r="DF1218" s="406" t="s">
        <v>85</v>
      </c>
      <c r="DG1218" s="407">
        <v>45864</v>
      </c>
      <c r="DH1218" s="405" t="s">
        <v>2546</v>
      </c>
      <c r="DI1218" s="406">
        <v>465455</v>
      </c>
      <c r="DJ1218" s="408">
        <v>5</v>
      </c>
      <c r="DK1218" s="405">
        <v>1</v>
      </c>
      <c r="DL1218" s="82">
        <v>340.55</v>
      </c>
      <c r="DM1218" s="409">
        <v>1.70275</v>
      </c>
      <c r="DN1218" s="82" t="s">
        <v>85</v>
      </c>
      <c r="DO1218" s="82" t="s">
        <v>85</v>
      </c>
      <c r="DP1218" s="410" t="s">
        <v>85</v>
      </c>
    </row>
    <row r="1219" spans="1:120" x14ac:dyDescent="0.25">
      <c r="A1219" s="16" t="s">
        <v>2549</v>
      </c>
      <c r="B1219" s="16" t="s">
        <v>2550</v>
      </c>
      <c r="C1219" s="16" t="s">
        <v>2551</v>
      </c>
      <c r="D1219" s="16" t="s">
        <v>2343</v>
      </c>
      <c r="E1219" s="16" t="s">
        <v>2552</v>
      </c>
      <c r="F1219" s="16" t="s">
        <v>2553</v>
      </c>
      <c r="G1219" s="16" t="s">
        <v>2554</v>
      </c>
      <c r="H1219" s="16" t="s">
        <v>2555</v>
      </c>
      <c r="I1219" s="16" t="s">
        <v>2556</v>
      </c>
      <c r="J1219" s="16" t="s">
        <v>928</v>
      </c>
      <c r="K1219" s="16" t="s">
        <v>2557</v>
      </c>
      <c r="L1219" s="16" t="s">
        <v>85</v>
      </c>
      <c r="M1219" s="16" t="s">
        <v>1322</v>
      </c>
      <c r="N1219" s="16" t="s">
        <v>914</v>
      </c>
      <c r="O1219" s="16" t="s">
        <v>1323</v>
      </c>
      <c r="P1219" s="16" t="s">
        <v>914</v>
      </c>
      <c r="Q1219" s="16" t="s">
        <v>1323</v>
      </c>
      <c r="R1219" s="16" t="s">
        <v>915</v>
      </c>
      <c r="S1219" s="16" t="s">
        <v>915</v>
      </c>
      <c r="T1219" s="16" t="s">
        <v>1322</v>
      </c>
      <c r="U1219" s="16" t="s">
        <v>1324</v>
      </c>
      <c r="V1219" s="16" t="s">
        <v>916</v>
      </c>
      <c r="W1219" s="16" t="s">
        <v>1324</v>
      </c>
      <c r="X1219" s="16" t="s">
        <v>934</v>
      </c>
      <c r="Y1219" s="16" t="s">
        <v>934</v>
      </c>
      <c r="Z1219" s="16" t="s">
        <v>935</v>
      </c>
      <c r="DA1219" s="405" t="s">
        <v>5</v>
      </c>
      <c r="DB1219" s="405" t="s">
        <v>363</v>
      </c>
      <c r="DC1219" s="406" t="s">
        <v>85</v>
      </c>
      <c r="DD1219" s="405" t="s">
        <v>917</v>
      </c>
      <c r="DE1219" s="405" t="s">
        <v>5</v>
      </c>
      <c r="DF1219" s="406" t="s">
        <v>85</v>
      </c>
      <c r="DG1219" s="407">
        <v>45864</v>
      </c>
      <c r="DH1219" s="405" t="s">
        <v>2552</v>
      </c>
      <c r="DI1219" s="406">
        <v>465455</v>
      </c>
      <c r="DJ1219" s="408">
        <v>5</v>
      </c>
      <c r="DK1219" s="405">
        <v>1</v>
      </c>
      <c r="DL1219" s="82">
        <v>332.47</v>
      </c>
      <c r="DM1219" s="409">
        <v>1.6623500000000002</v>
      </c>
      <c r="DN1219" s="82" t="s">
        <v>85</v>
      </c>
      <c r="DO1219" s="82" t="s">
        <v>85</v>
      </c>
      <c r="DP1219" s="410" t="s">
        <v>85</v>
      </c>
    </row>
    <row r="1220" spans="1:120" x14ac:dyDescent="0.25">
      <c r="A1220" s="16" t="s">
        <v>2558</v>
      </c>
      <c r="B1220" s="16" t="s">
        <v>2559</v>
      </c>
      <c r="C1220" s="16" t="s">
        <v>2560</v>
      </c>
      <c r="D1220" s="16" t="s">
        <v>2343</v>
      </c>
      <c r="E1220" s="16" t="s">
        <v>2561</v>
      </c>
      <c r="F1220" s="16" t="s">
        <v>2562</v>
      </c>
      <c r="G1220" s="16" t="s">
        <v>2563</v>
      </c>
      <c r="H1220" s="16" t="s">
        <v>2564</v>
      </c>
      <c r="I1220" s="16" t="s">
        <v>1026</v>
      </c>
      <c r="J1220" s="16" t="s">
        <v>943</v>
      </c>
      <c r="K1220" s="16" t="s">
        <v>1027</v>
      </c>
      <c r="L1220" s="16" t="s">
        <v>85</v>
      </c>
      <c r="M1220" s="16" t="s">
        <v>984</v>
      </c>
      <c r="N1220" s="16" t="s">
        <v>914</v>
      </c>
      <c r="O1220" s="16" t="s">
        <v>985</v>
      </c>
      <c r="P1220" s="16" t="s">
        <v>914</v>
      </c>
      <c r="Q1220" s="16" t="s">
        <v>985</v>
      </c>
      <c r="R1220" s="16" t="s">
        <v>915</v>
      </c>
      <c r="S1220" s="16" t="s">
        <v>915</v>
      </c>
      <c r="T1220" s="16" t="s">
        <v>986</v>
      </c>
      <c r="U1220" s="16" t="s">
        <v>987</v>
      </c>
      <c r="V1220" s="16" t="s">
        <v>916</v>
      </c>
      <c r="W1220" s="16" t="s">
        <v>987</v>
      </c>
      <c r="X1220" s="16" t="s">
        <v>934</v>
      </c>
      <c r="Y1220" s="16" t="s">
        <v>934</v>
      </c>
      <c r="Z1220" s="16" t="s">
        <v>935</v>
      </c>
      <c r="DA1220" s="405" t="s">
        <v>5</v>
      </c>
      <c r="DB1220" s="405" t="s">
        <v>363</v>
      </c>
      <c r="DC1220" s="406" t="s">
        <v>85</v>
      </c>
      <c r="DD1220" s="405" t="s">
        <v>917</v>
      </c>
      <c r="DE1220" s="405" t="s">
        <v>5</v>
      </c>
      <c r="DF1220" s="406" t="s">
        <v>85</v>
      </c>
      <c r="DG1220" s="407">
        <v>45864</v>
      </c>
      <c r="DH1220" s="405" t="s">
        <v>2561</v>
      </c>
      <c r="DI1220" s="406">
        <v>465455</v>
      </c>
      <c r="DJ1220" s="408">
        <v>5</v>
      </c>
      <c r="DK1220" s="405">
        <v>1</v>
      </c>
      <c r="DL1220" s="82">
        <v>340.55</v>
      </c>
      <c r="DM1220" s="409">
        <v>1.70275</v>
      </c>
      <c r="DN1220" s="82" t="s">
        <v>85</v>
      </c>
      <c r="DO1220" s="82" t="s">
        <v>85</v>
      </c>
      <c r="DP1220" s="410" t="s">
        <v>85</v>
      </c>
    </row>
    <row r="1221" spans="1:120" x14ac:dyDescent="0.25">
      <c r="A1221" s="16" t="s">
        <v>2565</v>
      </c>
      <c r="B1221" s="16" t="s">
        <v>2566</v>
      </c>
      <c r="C1221" s="16" t="s">
        <v>2567</v>
      </c>
      <c r="D1221" s="16" t="s">
        <v>2343</v>
      </c>
      <c r="E1221" s="16" t="s">
        <v>2568</v>
      </c>
      <c r="F1221" s="16" t="s">
        <v>2569</v>
      </c>
      <c r="G1221" s="16" t="s">
        <v>2570</v>
      </c>
      <c r="H1221" s="16" t="s">
        <v>2571</v>
      </c>
      <c r="I1221" s="16" t="s">
        <v>1638</v>
      </c>
      <c r="J1221" s="16" t="s">
        <v>943</v>
      </c>
      <c r="K1221" s="16" t="s">
        <v>1639</v>
      </c>
      <c r="L1221" s="16" t="s">
        <v>85</v>
      </c>
      <c r="M1221" s="16" t="s">
        <v>984</v>
      </c>
      <c r="N1221" s="16" t="s">
        <v>914</v>
      </c>
      <c r="O1221" s="16" t="s">
        <v>985</v>
      </c>
      <c r="P1221" s="16" t="s">
        <v>914</v>
      </c>
      <c r="Q1221" s="16" t="s">
        <v>985</v>
      </c>
      <c r="R1221" s="16" t="s">
        <v>915</v>
      </c>
      <c r="S1221" s="16" t="s">
        <v>915</v>
      </c>
      <c r="T1221" s="16" t="s">
        <v>986</v>
      </c>
      <c r="U1221" s="16" t="s">
        <v>987</v>
      </c>
      <c r="V1221" s="16" t="s">
        <v>916</v>
      </c>
      <c r="W1221" s="16" t="s">
        <v>987</v>
      </c>
      <c r="X1221" s="16" t="s">
        <v>934</v>
      </c>
      <c r="Y1221" s="16" t="s">
        <v>934</v>
      </c>
      <c r="Z1221" s="16" t="s">
        <v>935</v>
      </c>
      <c r="DA1221" s="405" t="s">
        <v>5</v>
      </c>
      <c r="DB1221" s="405" t="s">
        <v>363</v>
      </c>
      <c r="DC1221" s="406" t="s">
        <v>85</v>
      </c>
      <c r="DD1221" s="405" t="s">
        <v>917</v>
      </c>
      <c r="DE1221" s="405" t="s">
        <v>5</v>
      </c>
      <c r="DF1221" s="406" t="s">
        <v>85</v>
      </c>
      <c r="DG1221" s="407">
        <v>45864</v>
      </c>
      <c r="DH1221" s="405" t="s">
        <v>2568</v>
      </c>
      <c r="DI1221" s="406">
        <v>465455</v>
      </c>
      <c r="DJ1221" s="408">
        <v>5</v>
      </c>
      <c r="DK1221" s="405">
        <v>1</v>
      </c>
      <c r="DL1221" s="82">
        <v>340.55</v>
      </c>
      <c r="DM1221" s="409">
        <v>1.70275</v>
      </c>
      <c r="DN1221" s="82" t="s">
        <v>85</v>
      </c>
      <c r="DO1221" s="82" t="s">
        <v>85</v>
      </c>
      <c r="DP1221" s="410" t="s">
        <v>85</v>
      </c>
    </row>
    <row r="1222" spans="1:120" x14ac:dyDescent="0.25">
      <c r="A1222" s="16" t="s">
        <v>2572</v>
      </c>
      <c r="B1222" s="16" t="s">
        <v>2573</v>
      </c>
      <c r="C1222" s="16" t="s">
        <v>2574</v>
      </c>
      <c r="D1222" s="16" t="s">
        <v>2343</v>
      </c>
      <c r="E1222" s="16" t="s">
        <v>2575</v>
      </c>
      <c r="F1222" s="16" t="s">
        <v>2576</v>
      </c>
      <c r="G1222" s="16" t="s">
        <v>2577</v>
      </c>
      <c r="H1222" s="16" t="s">
        <v>2578</v>
      </c>
      <c r="I1222" s="16" t="s">
        <v>1309</v>
      </c>
      <c r="J1222" s="16" t="s">
        <v>1109</v>
      </c>
      <c r="K1222" s="16" t="s">
        <v>1310</v>
      </c>
      <c r="L1222" s="16" t="s">
        <v>85</v>
      </c>
      <c r="M1222" s="16" t="s">
        <v>1311</v>
      </c>
      <c r="N1222" s="16" t="s">
        <v>914</v>
      </c>
      <c r="O1222" s="16" t="s">
        <v>1312</v>
      </c>
      <c r="P1222" s="16" t="s">
        <v>914</v>
      </c>
      <c r="Q1222" s="16" t="s">
        <v>1312</v>
      </c>
      <c r="R1222" s="16" t="s">
        <v>915</v>
      </c>
      <c r="S1222" s="16" t="s">
        <v>915</v>
      </c>
      <c r="T1222" s="16" t="s">
        <v>1311</v>
      </c>
      <c r="U1222" s="16" t="s">
        <v>1313</v>
      </c>
      <c r="V1222" s="16" t="s">
        <v>916</v>
      </c>
      <c r="W1222" s="16" t="s">
        <v>1313</v>
      </c>
      <c r="X1222" s="16" t="s">
        <v>934</v>
      </c>
      <c r="Y1222" s="16" t="s">
        <v>934</v>
      </c>
      <c r="Z1222" s="16" t="s">
        <v>935</v>
      </c>
      <c r="DA1222" s="405" t="s">
        <v>5</v>
      </c>
      <c r="DB1222" s="405" t="s">
        <v>363</v>
      </c>
      <c r="DC1222" s="406" t="s">
        <v>85</v>
      </c>
      <c r="DD1222" s="405" t="s">
        <v>917</v>
      </c>
      <c r="DE1222" s="405" t="s">
        <v>5</v>
      </c>
      <c r="DF1222" s="406" t="s">
        <v>85</v>
      </c>
      <c r="DG1222" s="407">
        <v>45864</v>
      </c>
      <c r="DH1222" s="405" t="s">
        <v>2575</v>
      </c>
      <c r="DI1222" s="406">
        <v>465455</v>
      </c>
      <c r="DJ1222" s="408">
        <v>5</v>
      </c>
      <c r="DK1222" s="405">
        <v>1</v>
      </c>
      <c r="DL1222" s="82">
        <v>531.54</v>
      </c>
      <c r="DM1222" s="409">
        <v>2.6576999999999997</v>
      </c>
      <c r="DN1222" s="82" t="s">
        <v>85</v>
      </c>
      <c r="DO1222" s="82" t="s">
        <v>85</v>
      </c>
      <c r="DP1222" s="410" t="s">
        <v>85</v>
      </c>
    </row>
    <row r="1223" spans="1:120" x14ac:dyDescent="0.25">
      <c r="A1223" s="16" t="s">
        <v>2579</v>
      </c>
      <c r="B1223" s="16" t="s">
        <v>2580</v>
      </c>
      <c r="C1223" s="16" t="s">
        <v>2581</v>
      </c>
      <c r="D1223" s="16" t="s">
        <v>2343</v>
      </c>
      <c r="E1223" s="16" t="s">
        <v>2582</v>
      </c>
      <c r="F1223" s="16" t="s">
        <v>2583</v>
      </c>
      <c r="G1223" s="16" t="s">
        <v>2584</v>
      </c>
      <c r="H1223" s="16" t="s">
        <v>2583</v>
      </c>
      <c r="I1223" s="16" t="s">
        <v>1937</v>
      </c>
      <c r="J1223" s="16" t="s">
        <v>1036</v>
      </c>
      <c r="K1223" s="16" t="s">
        <v>1938</v>
      </c>
      <c r="L1223" s="16" t="s">
        <v>85</v>
      </c>
      <c r="M1223" s="16" t="s">
        <v>1216</v>
      </c>
      <c r="N1223" s="16" t="s">
        <v>914</v>
      </c>
      <c r="O1223" s="16" t="s">
        <v>946</v>
      </c>
      <c r="P1223" s="16" t="s">
        <v>914</v>
      </c>
      <c r="Q1223" s="16" t="s">
        <v>946</v>
      </c>
      <c r="R1223" s="16" t="s">
        <v>915</v>
      </c>
      <c r="S1223" s="16" t="s">
        <v>915</v>
      </c>
      <c r="T1223" s="16" t="s">
        <v>1216</v>
      </c>
      <c r="U1223" s="16" t="s">
        <v>1217</v>
      </c>
      <c r="V1223" s="16" t="s">
        <v>916</v>
      </c>
      <c r="W1223" s="16" t="s">
        <v>1217</v>
      </c>
      <c r="X1223" s="16" t="s">
        <v>934</v>
      </c>
      <c r="Y1223" s="16" t="s">
        <v>934</v>
      </c>
      <c r="Z1223" s="16" t="s">
        <v>935</v>
      </c>
      <c r="DA1223" s="405" t="s">
        <v>5</v>
      </c>
      <c r="DB1223" s="405" t="s">
        <v>363</v>
      </c>
      <c r="DC1223" s="406" t="s">
        <v>85</v>
      </c>
      <c r="DD1223" s="405" t="s">
        <v>917</v>
      </c>
      <c r="DE1223" s="405" t="s">
        <v>5</v>
      </c>
      <c r="DF1223" s="406" t="s">
        <v>85</v>
      </c>
      <c r="DG1223" s="407">
        <v>45864</v>
      </c>
      <c r="DH1223" s="405" t="s">
        <v>2582</v>
      </c>
      <c r="DI1223" s="406">
        <v>465455</v>
      </c>
      <c r="DJ1223" s="408">
        <v>5</v>
      </c>
      <c r="DK1223" s="405">
        <v>1</v>
      </c>
      <c r="DL1223" s="82">
        <v>319.22000000000003</v>
      </c>
      <c r="DM1223" s="409">
        <v>1.5961000000000001</v>
      </c>
      <c r="DN1223" s="82" t="s">
        <v>85</v>
      </c>
      <c r="DO1223" s="82" t="s">
        <v>85</v>
      </c>
      <c r="DP1223" s="410" t="s">
        <v>85</v>
      </c>
    </row>
    <row r="1224" spans="1:120" x14ac:dyDescent="0.25">
      <c r="A1224" s="16" t="s">
        <v>2585</v>
      </c>
      <c r="B1224" s="16" t="s">
        <v>2586</v>
      </c>
      <c r="C1224" s="16" t="s">
        <v>2587</v>
      </c>
      <c r="D1224" s="16" t="s">
        <v>2343</v>
      </c>
      <c r="E1224" s="16" t="s">
        <v>2588</v>
      </c>
      <c r="F1224" s="16" t="s">
        <v>2589</v>
      </c>
      <c r="G1224" s="16" t="s">
        <v>2590</v>
      </c>
      <c r="H1224" s="16" t="s">
        <v>2591</v>
      </c>
      <c r="I1224" s="16" t="s">
        <v>1494</v>
      </c>
      <c r="J1224" s="16" t="s">
        <v>943</v>
      </c>
      <c r="K1224" s="16" t="s">
        <v>1495</v>
      </c>
      <c r="L1224" s="16" t="s">
        <v>85</v>
      </c>
      <c r="M1224" s="16" t="s">
        <v>984</v>
      </c>
      <c r="N1224" s="16" t="s">
        <v>914</v>
      </c>
      <c r="O1224" s="16" t="s">
        <v>985</v>
      </c>
      <c r="P1224" s="16" t="s">
        <v>914</v>
      </c>
      <c r="Q1224" s="16" t="s">
        <v>985</v>
      </c>
      <c r="R1224" s="16" t="s">
        <v>915</v>
      </c>
      <c r="S1224" s="16" t="s">
        <v>915</v>
      </c>
      <c r="T1224" s="16" t="s">
        <v>986</v>
      </c>
      <c r="U1224" s="16" t="s">
        <v>987</v>
      </c>
      <c r="V1224" s="16" t="s">
        <v>916</v>
      </c>
      <c r="W1224" s="16" t="s">
        <v>987</v>
      </c>
      <c r="X1224" s="16" t="s">
        <v>934</v>
      </c>
      <c r="Y1224" s="16" t="s">
        <v>934</v>
      </c>
      <c r="Z1224" s="16" t="s">
        <v>935</v>
      </c>
      <c r="DA1224" s="405" t="s">
        <v>5</v>
      </c>
      <c r="DB1224" s="405" t="s">
        <v>363</v>
      </c>
      <c r="DC1224" s="406" t="s">
        <v>85</v>
      </c>
      <c r="DD1224" s="405" t="s">
        <v>917</v>
      </c>
      <c r="DE1224" s="405" t="s">
        <v>5</v>
      </c>
      <c r="DF1224" s="406" t="s">
        <v>85</v>
      </c>
      <c r="DG1224" s="407">
        <v>45864</v>
      </c>
      <c r="DH1224" s="405" t="s">
        <v>2588</v>
      </c>
      <c r="DI1224" s="406">
        <v>465455</v>
      </c>
      <c r="DJ1224" s="408">
        <v>5</v>
      </c>
      <c r="DK1224" s="405">
        <v>1</v>
      </c>
      <c r="DL1224" s="82">
        <v>340.55</v>
      </c>
      <c r="DM1224" s="409">
        <v>1.70275</v>
      </c>
      <c r="DN1224" s="82" t="s">
        <v>85</v>
      </c>
      <c r="DO1224" s="82" t="s">
        <v>85</v>
      </c>
      <c r="DP1224" s="410" t="s">
        <v>85</v>
      </c>
    </row>
    <row r="1225" spans="1:120" x14ac:dyDescent="0.25">
      <c r="A1225" s="16" t="s">
        <v>1882</v>
      </c>
      <c r="B1225" s="16" t="s">
        <v>1883</v>
      </c>
      <c r="C1225" s="16" t="s">
        <v>1884</v>
      </c>
      <c r="D1225" s="16" t="s">
        <v>1885</v>
      </c>
      <c r="E1225" s="16" t="s">
        <v>1886</v>
      </c>
      <c r="F1225" s="16" t="s">
        <v>1887</v>
      </c>
      <c r="G1225" s="16" t="s">
        <v>1888</v>
      </c>
      <c r="H1225" s="16" t="s">
        <v>1887</v>
      </c>
      <c r="I1225" s="16" t="s">
        <v>1017</v>
      </c>
      <c r="J1225" s="16" t="s">
        <v>995</v>
      </c>
      <c r="K1225" s="16" t="s">
        <v>1018</v>
      </c>
      <c r="L1225" s="16" t="s">
        <v>85</v>
      </c>
      <c r="M1225" s="16" t="s">
        <v>1165</v>
      </c>
      <c r="N1225" s="16" t="s">
        <v>914</v>
      </c>
      <c r="O1225" s="16" t="s">
        <v>1166</v>
      </c>
      <c r="P1225" s="16" t="s">
        <v>914</v>
      </c>
      <c r="Q1225" s="16" t="s">
        <v>1166</v>
      </c>
      <c r="R1225" s="16" t="s">
        <v>915</v>
      </c>
      <c r="S1225" s="16" t="s">
        <v>915</v>
      </c>
      <c r="T1225" s="16" t="s">
        <v>1167</v>
      </c>
      <c r="U1225" s="16" t="s">
        <v>1168</v>
      </c>
      <c r="V1225" s="16" t="s">
        <v>916</v>
      </c>
      <c r="W1225" s="16" t="s">
        <v>1168</v>
      </c>
      <c r="X1225" s="16" t="s">
        <v>934</v>
      </c>
      <c r="Y1225" s="16" t="s">
        <v>934</v>
      </c>
      <c r="Z1225" s="16" t="s">
        <v>935</v>
      </c>
      <c r="DA1225" s="405" t="s">
        <v>5</v>
      </c>
      <c r="DB1225" s="405" t="s">
        <v>363</v>
      </c>
      <c r="DC1225" s="406" t="s">
        <v>85</v>
      </c>
      <c r="DD1225" s="405" t="s">
        <v>917</v>
      </c>
      <c r="DE1225" s="405" t="s">
        <v>5</v>
      </c>
      <c r="DF1225" s="406" t="s">
        <v>85</v>
      </c>
      <c r="DG1225" s="407">
        <v>45866</v>
      </c>
      <c r="DH1225" s="405" t="s">
        <v>1886</v>
      </c>
      <c r="DI1225" s="406">
        <v>465455</v>
      </c>
      <c r="DJ1225" s="408">
        <v>5</v>
      </c>
      <c r="DK1225" s="405">
        <v>1</v>
      </c>
      <c r="DL1225" s="82">
        <v>468.28</v>
      </c>
      <c r="DM1225" s="409">
        <v>2.3413999999999997</v>
      </c>
      <c r="DN1225" s="82" t="s">
        <v>85</v>
      </c>
      <c r="DO1225" s="82" t="s">
        <v>85</v>
      </c>
      <c r="DP1225" s="410" t="s">
        <v>85</v>
      </c>
    </row>
    <row r="1226" spans="1:120" x14ac:dyDescent="0.25">
      <c r="A1226" s="16" t="s">
        <v>1889</v>
      </c>
      <c r="B1226" s="16" t="s">
        <v>1890</v>
      </c>
      <c r="C1226" s="16" t="s">
        <v>1891</v>
      </c>
      <c r="D1226" s="16" t="s">
        <v>1885</v>
      </c>
      <c r="E1226" s="16" t="s">
        <v>1892</v>
      </c>
      <c r="F1226" s="16" t="s">
        <v>1893</v>
      </c>
      <c r="G1226" s="16" t="s">
        <v>1894</v>
      </c>
      <c r="H1226" s="16" t="s">
        <v>1895</v>
      </c>
      <c r="I1226" s="16" t="s">
        <v>1547</v>
      </c>
      <c r="J1226" s="16" t="s">
        <v>943</v>
      </c>
      <c r="K1226" s="16" t="s">
        <v>1548</v>
      </c>
      <c r="L1226" s="16" t="s">
        <v>85</v>
      </c>
      <c r="M1226" s="16" t="s">
        <v>984</v>
      </c>
      <c r="N1226" s="16" t="s">
        <v>914</v>
      </c>
      <c r="O1226" s="16" t="s">
        <v>985</v>
      </c>
      <c r="P1226" s="16" t="s">
        <v>914</v>
      </c>
      <c r="Q1226" s="16" t="s">
        <v>985</v>
      </c>
      <c r="R1226" s="16" t="s">
        <v>915</v>
      </c>
      <c r="S1226" s="16" t="s">
        <v>915</v>
      </c>
      <c r="T1226" s="16" t="s">
        <v>986</v>
      </c>
      <c r="U1226" s="16" t="s">
        <v>987</v>
      </c>
      <c r="V1226" s="16" t="s">
        <v>916</v>
      </c>
      <c r="W1226" s="16" t="s">
        <v>987</v>
      </c>
      <c r="X1226" s="16" t="s">
        <v>934</v>
      </c>
      <c r="Y1226" s="16" t="s">
        <v>934</v>
      </c>
      <c r="Z1226" s="16" t="s">
        <v>935</v>
      </c>
      <c r="DA1226" s="405" t="s">
        <v>5</v>
      </c>
      <c r="DB1226" s="405" t="s">
        <v>363</v>
      </c>
      <c r="DC1226" s="406" t="s">
        <v>85</v>
      </c>
      <c r="DD1226" s="405" t="s">
        <v>917</v>
      </c>
      <c r="DE1226" s="405" t="s">
        <v>5</v>
      </c>
      <c r="DF1226" s="406" t="s">
        <v>85</v>
      </c>
      <c r="DG1226" s="407">
        <v>45866</v>
      </c>
      <c r="DH1226" s="405" t="s">
        <v>1892</v>
      </c>
      <c r="DI1226" s="406">
        <v>465455</v>
      </c>
      <c r="DJ1226" s="408">
        <v>5</v>
      </c>
      <c r="DK1226" s="405">
        <v>1</v>
      </c>
      <c r="DL1226" s="82">
        <v>340.55</v>
      </c>
      <c r="DM1226" s="409">
        <v>1.70275</v>
      </c>
      <c r="DN1226" s="82" t="s">
        <v>85</v>
      </c>
      <c r="DO1226" s="82" t="s">
        <v>85</v>
      </c>
      <c r="DP1226" s="410" t="s">
        <v>85</v>
      </c>
    </row>
    <row r="1227" spans="1:120" x14ac:dyDescent="0.25">
      <c r="A1227" s="16" t="s">
        <v>1896</v>
      </c>
      <c r="B1227" s="16" t="s">
        <v>1897</v>
      </c>
      <c r="C1227" s="16" t="s">
        <v>1898</v>
      </c>
      <c r="D1227" s="16" t="s">
        <v>1885</v>
      </c>
      <c r="E1227" s="16" t="s">
        <v>1899</v>
      </c>
      <c r="F1227" s="16" t="s">
        <v>1900</v>
      </c>
      <c r="G1227" s="16" t="s">
        <v>1901</v>
      </c>
      <c r="H1227" s="16" t="s">
        <v>1902</v>
      </c>
      <c r="I1227" s="16" t="s">
        <v>1163</v>
      </c>
      <c r="J1227" s="16" t="s">
        <v>995</v>
      </c>
      <c r="K1227" s="16" t="s">
        <v>1164</v>
      </c>
      <c r="L1227" s="16" t="s">
        <v>85</v>
      </c>
      <c r="M1227" s="16" t="s">
        <v>1165</v>
      </c>
      <c r="N1227" s="16" t="s">
        <v>914</v>
      </c>
      <c r="O1227" s="16" t="s">
        <v>1166</v>
      </c>
      <c r="P1227" s="16" t="s">
        <v>914</v>
      </c>
      <c r="Q1227" s="16" t="s">
        <v>1166</v>
      </c>
      <c r="R1227" s="16" t="s">
        <v>915</v>
      </c>
      <c r="S1227" s="16" t="s">
        <v>915</v>
      </c>
      <c r="T1227" s="16" t="s">
        <v>1167</v>
      </c>
      <c r="U1227" s="16" t="s">
        <v>1168</v>
      </c>
      <c r="V1227" s="16" t="s">
        <v>916</v>
      </c>
      <c r="W1227" s="16" t="s">
        <v>1168</v>
      </c>
      <c r="X1227" s="16" t="s">
        <v>934</v>
      </c>
      <c r="Y1227" s="16" t="s">
        <v>934</v>
      </c>
      <c r="Z1227" s="16" t="s">
        <v>935</v>
      </c>
      <c r="DA1227" s="405" t="s">
        <v>5</v>
      </c>
      <c r="DB1227" s="405" t="s">
        <v>363</v>
      </c>
      <c r="DC1227" s="406" t="s">
        <v>85</v>
      </c>
      <c r="DD1227" s="405" t="s">
        <v>917</v>
      </c>
      <c r="DE1227" s="405" t="s">
        <v>5</v>
      </c>
      <c r="DF1227" s="406" t="s">
        <v>85</v>
      </c>
      <c r="DG1227" s="407">
        <v>45866</v>
      </c>
      <c r="DH1227" s="405" t="s">
        <v>1899</v>
      </c>
      <c r="DI1227" s="406">
        <v>465455</v>
      </c>
      <c r="DJ1227" s="408">
        <v>5</v>
      </c>
      <c r="DK1227" s="405">
        <v>1</v>
      </c>
      <c r="DL1227" s="82">
        <v>468.28</v>
      </c>
      <c r="DM1227" s="409">
        <v>2.3413999999999997</v>
      </c>
      <c r="DN1227" s="82" t="s">
        <v>85</v>
      </c>
      <c r="DO1227" s="82" t="s">
        <v>85</v>
      </c>
      <c r="DP1227" s="410" t="s">
        <v>85</v>
      </c>
    </row>
    <row r="1228" spans="1:120" x14ac:dyDescent="0.25">
      <c r="A1228" s="16" t="s">
        <v>1903</v>
      </c>
      <c r="B1228" s="16" t="s">
        <v>1904</v>
      </c>
      <c r="C1228" s="16" t="s">
        <v>1905</v>
      </c>
      <c r="D1228" s="16" t="s">
        <v>1885</v>
      </c>
      <c r="E1228" s="16" t="s">
        <v>1906</v>
      </c>
      <c r="F1228" s="16" t="s">
        <v>1907</v>
      </c>
      <c r="G1228" s="16" t="s">
        <v>1908</v>
      </c>
      <c r="H1228" s="16" t="s">
        <v>1909</v>
      </c>
      <c r="I1228" s="16" t="s">
        <v>1910</v>
      </c>
      <c r="J1228" s="16" t="s">
        <v>928</v>
      </c>
      <c r="K1228" s="16" t="s">
        <v>1911</v>
      </c>
      <c r="L1228" s="16" t="s">
        <v>85</v>
      </c>
      <c r="M1228" s="16" t="s">
        <v>1322</v>
      </c>
      <c r="N1228" s="16" t="s">
        <v>914</v>
      </c>
      <c r="O1228" s="16" t="s">
        <v>1323</v>
      </c>
      <c r="P1228" s="16" t="s">
        <v>914</v>
      </c>
      <c r="Q1228" s="16" t="s">
        <v>1323</v>
      </c>
      <c r="R1228" s="16" t="s">
        <v>915</v>
      </c>
      <c r="S1228" s="16" t="s">
        <v>915</v>
      </c>
      <c r="T1228" s="16" t="s">
        <v>1322</v>
      </c>
      <c r="U1228" s="16" t="s">
        <v>1324</v>
      </c>
      <c r="V1228" s="16" t="s">
        <v>916</v>
      </c>
      <c r="W1228" s="16" t="s">
        <v>1324</v>
      </c>
      <c r="X1228" s="16" t="s">
        <v>934</v>
      </c>
      <c r="Y1228" s="16" t="s">
        <v>934</v>
      </c>
      <c r="Z1228" s="16" t="s">
        <v>935</v>
      </c>
      <c r="DA1228" s="405" t="s">
        <v>5</v>
      </c>
      <c r="DB1228" s="405" t="s">
        <v>363</v>
      </c>
      <c r="DC1228" s="406" t="s">
        <v>85</v>
      </c>
      <c r="DD1228" s="405" t="s">
        <v>917</v>
      </c>
      <c r="DE1228" s="405" t="s">
        <v>5</v>
      </c>
      <c r="DF1228" s="406" t="s">
        <v>85</v>
      </c>
      <c r="DG1228" s="407">
        <v>45866</v>
      </c>
      <c r="DH1228" s="405" t="s">
        <v>1906</v>
      </c>
      <c r="DI1228" s="406">
        <v>465455</v>
      </c>
      <c r="DJ1228" s="408">
        <v>5</v>
      </c>
      <c r="DK1228" s="405">
        <v>1</v>
      </c>
      <c r="DL1228" s="82">
        <v>332.47</v>
      </c>
      <c r="DM1228" s="409">
        <v>1.6623500000000002</v>
      </c>
      <c r="DN1228" s="82" t="s">
        <v>85</v>
      </c>
      <c r="DO1228" s="82" t="s">
        <v>85</v>
      </c>
      <c r="DP1228" s="410" t="s">
        <v>85</v>
      </c>
    </row>
    <row r="1229" spans="1:120" x14ac:dyDescent="0.25">
      <c r="A1229" s="16" t="s">
        <v>1903</v>
      </c>
      <c r="B1229" s="16" t="s">
        <v>1904</v>
      </c>
      <c r="C1229" s="16" t="s">
        <v>1905</v>
      </c>
      <c r="D1229" s="16" t="s">
        <v>1885</v>
      </c>
      <c r="E1229" s="16" t="s">
        <v>1906</v>
      </c>
      <c r="F1229" s="16" t="s">
        <v>1907</v>
      </c>
      <c r="G1229" s="16" t="s">
        <v>1908</v>
      </c>
      <c r="H1229" s="16" t="s">
        <v>1909</v>
      </c>
      <c r="I1229" s="16" t="s">
        <v>1912</v>
      </c>
      <c r="J1229" s="16" t="s">
        <v>928</v>
      </c>
      <c r="K1229" s="16" t="s">
        <v>1913</v>
      </c>
      <c r="L1229" s="16" t="s">
        <v>85</v>
      </c>
      <c r="M1229" s="16" t="s">
        <v>1322</v>
      </c>
      <c r="N1229" s="16" t="s">
        <v>914</v>
      </c>
      <c r="O1229" s="16" t="s">
        <v>1323</v>
      </c>
      <c r="P1229" s="16" t="s">
        <v>914</v>
      </c>
      <c r="Q1229" s="16" t="s">
        <v>1323</v>
      </c>
      <c r="R1229" s="16" t="s">
        <v>915</v>
      </c>
      <c r="S1229" s="16" t="s">
        <v>915</v>
      </c>
      <c r="T1229" s="16" t="s">
        <v>1322</v>
      </c>
      <c r="U1229" s="16" t="s">
        <v>1324</v>
      </c>
      <c r="V1229" s="16" t="s">
        <v>916</v>
      </c>
      <c r="W1229" s="16" t="s">
        <v>1324</v>
      </c>
      <c r="X1229" s="16" t="s">
        <v>934</v>
      </c>
      <c r="Y1229" s="16" t="s">
        <v>934</v>
      </c>
      <c r="Z1229" s="16" t="s">
        <v>935</v>
      </c>
      <c r="DA1229" s="405" t="s">
        <v>5</v>
      </c>
      <c r="DB1229" s="405" t="s">
        <v>363</v>
      </c>
      <c r="DC1229" s="406" t="s">
        <v>85</v>
      </c>
      <c r="DD1229" s="405" t="s">
        <v>917</v>
      </c>
      <c r="DE1229" s="405" t="s">
        <v>5</v>
      </c>
      <c r="DF1229" s="406" t="s">
        <v>85</v>
      </c>
      <c r="DG1229" s="407">
        <v>45866</v>
      </c>
      <c r="DH1229" s="405" t="s">
        <v>1906</v>
      </c>
      <c r="DI1229" s="406">
        <v>465455</v>
      </c>
      <c r="DJ1229" s="408">
        <v>5</v>
      </c>
      <c r="DK1229" s="405">
        <v>1</v>
      </c>
      <c r="DL1229" s="82">
        <v>332.47</v>
      </c>
      <c r="DM1229" s="409">
        <v>1.6623500000000002</v>
      </c>
      <c r="DN1229" s="82" t="s">
        <v>85</v>
      </c>
      <c r="DO1229" s="82" t="s">
        <v>85</v>
      </c>
      <c r="DP1229" s="410" t="s">
        <v>85</v>
      </c>
    </row>
    <row r="1230" spans="1:120" x14ac:dyDescent="0.25">
      <c r="A1230" s="16" t="s">
        <v>1903</v>
      </c>
      <c r="B1230" s="16" t="s">
        <v>1904</v>
      </c>
      <c r="C1230" s="16" t="s">
        <v>1905</v>
      </c>
      <c r="D1230" s="16" t="s">
        <v>1885</v>
      </c>
      <c r="E1230" s="16" t="s">
        <v>1906</v>
      </c>
      <c r="F1230" s="16" t="s">
        <v>1907</v>
      </c>
      <c r="G1230" s="16" t="s">
        <v>1908</v>
      </c>
      <c r="H1230" s="16" t="s">
        <v>1909</v>
      </c>
      <c r="I1230" s="16" t="s">
        <v>1914</v>
      </c>
      <c r="J1230" s="16" t="s">
        <v>928</v>
      </c>
      <c r="K1230" s="16" t="s">
        <v>1915</v>
      </c>
      <c r="L1230" s="16" t="s">
        <v>85</v>
      </c>
      <c r="M1230" s="16" t="s">
        <v>1322</v>
      </c>
      <c r="N1230" s="16" t="s">
        <v>914</v>
      </c>
      <c r="O1230" s="16" t="s">
        <v>1323</v>
      </c>
      <c r="P1230" s="16" t="s">
        <v>914</v>
      </c>
      <c r="Q1230" s="16" t="s">
        <v>1323</v>
      </c>
      <c r="R1230" s="16" t="s">
        <v>915</v>
      </c>
      <c r="S1230" s="16" t="s">
        <v>915</v>
      </c>
      <c r="T1230" s="16" t="s">
        <v>1322</v>
      </c>
      <c r="U1230" s="16" t="s">
        <v>1324</v>
      </c>
      <c r="V1230" s="16" t="s">
        <v>916</v>
      </c>
      <c r="W1230" s="16" t="s">
        <v>1324</v>
      </c>
      <c r="X1230" s="16" t="s">
        <v>934</v>
      </c>
      <c r="Y1230" s="16" t="s">
        <v>934</v>
      </c>
      <c r="Z1230" s="16" t="s">
        <v>935</v>
      </c>
      <c r="DA1230" s="405" t="s">
        <v>5</v>
      </c>
      <c r="DB1230" s="405" t="s">
        <v>363</v>
      </c>
      <c r="DC1230" s="406" t="s">
        <v>85</v>
      </c>
      <c r="DD1230" s="405" t="s">
        <v>917</v>
      </c>
      <c r="DE1230" s="405" t="s">
        <v>5</v>
      </c>
      <c r="DF1230" s="406" t="s">
        <v>85</v>
      </c>
      <c r="DG1230" s="407">
        <v>45866</v>
      </c>
      <c r="DH1230" s="405" t="s">
        <v>1906</v>
      </c>
      <c r="DI1230" s="406">
        <v>465455</v>
      </c>
      <c r="DJ1230" s="408">
        <v>5</v>
      </c>
      <c r="DK1230" s="405">
        <v>1</v>
      </c>
      <c r="DL1230" s="82">
        <v>332.47</v>
      </c>
      <c r="DM1230" s="409">
        <v>1.6623500000000002</v>
      </c>
      <c r="DN1230" s="82" t="s">
        <v>85</v>
      </c>
      <c r="DO1230" s="82" t="s">
        <v>85</v>
      </c>
      <c r="DP1230" s="410" t="s">
        <v>85</v>
      </c>
    </row>
    <row r="1231" spans="1:120" x14ac:dyDescent="0.25">
      <c r="A1231" s="16" t="s">
        <v>1916</v>
      </c>
      <c r="B1231" s="16" t="s">
        <v>1917</v>
      </c>
      <c r="C1231" s="16" t="s">
        <v>1918</v>
      </c>
      <c r="D1231" s="16" t="s">
        <v>1885</v>
      </c>
      <c r="E1231" s="16" t="s">
        <v>1919</v>
      </c>
      <c r="F1231" s="16" t="s">
        <v>1920</v>
      </c>
      <c r="G1231" s="16" t="s">
        <v>1921</v>
      </c>
      <c r="H1231" s="16" t="s">
        <v>1922</v>
      </c>
      <c r="I1231" s="16" t="s">
        <v>1620</v>
      </c>
      <c r="J1231" s="16" t="s">
        <v>943</v>
      </c>
      <c r="K1231" s="16" t="s">
        <v>1621</v>
      </c>
      <c r="L1231" s="16" t="s">
        <v>85</v>
      </c>
      <c r="M1231" s="16" t="s">
        <v>984</v>
      </c>
      <c r="N1231" s="16" t="s">
        <v>914</v>
      </c>
      <c r="O1231" s="16" t="s">
        <v>985</v>
      </c>
      <c r="P1231" s="16" t="s">
        <v>914</v>
      </c>
      <c r="Q1231" s="16" t="s">
        <v>985</v>
      </c>
      <c r="R1231" s="16" t="s">
        <v>915</v>
      </c>
      <c r="S1231" s="16" t="s">
        <v>915</v>
      </c>
      <c r="T1231" s="16" t="s">
        <v>986</v>
      </c>
      <c r="U1231" s="16" t="s">
        <v>987</v>
      </c>
      <c r="V1231" s="16" t="s">
        <v>916</v>
      </c>
      <c r="W1231" s="16" t="s">
        <v>987</v>
      </c>
      <c r="X1231" s="16" t="s">
        <v>934</v>
      </c>
      <c r="Y1231" s="16" t="s">
        <v>934</v>
      </c>
      <c r="Z1231" s="16" t="s">
        <v>935</v>
      </c>
      <c r="DA1231" s="405" t="s">
        <v>5</v>
      </c>
      <c r="DB1231" s="405" t="s">
        <v>363</v>
      </c>
      <c r="DC1231" s="406" t="s">
        <v>85</v>
      </c>
      <c r="DD1231" s="405" t="s">
        <v>917</v>
      </c>
      <c r="DE1231" s="405" t="s">
        <v>5</v>
      </c>
      <c r="DF1231" s="406" t="s">
        <v>85</v>
      </c>
      <c r="DG1231" s="407">
        <v>45866</v>
      </c>
      <c r="DH1231" s="405" t="s">
        <v>1919</v>
      </c>
      <c r="DI1231" s="406">
        <v>465455</v>
      </c>
      <c r="DJ1231" s="408">
        <v>5</v>
      </c>
      <c r="DK1231" s="405">
        <v>1</v>
      </c>
      <c r="DL1231" s="82">
        <v>340.55</v>
      </c>
      <c r="DM1231" s="409">
        <v>1.70275</v>
      </c>
      <c r="DN1231" s="82" t="s">
        <v>85</v>
      </c>
      <c r="DO1231" s="82" t="s">
        <v>85</v>
      </c>
      <c r="DP1231" s="410" t="s">
        <v>85</v>
      </c>
    </row>
    <row r="1232" spans="1:120" x14ac:dyDescent="0.25">
      <c r="A1232" s="16" t="s">
        <v>1923</v>
      </c>
      <c r="B1232" s="16" t="s">
        <v>1924</v>
      </c>
      <c r="C1232" s="16" t="s">
        <v>1925</v>
      </c>
      <c r="D1232" s="16" t="s">
        <v>1885</v>
      </c>
      <c r="E1232" s="16" t="s">
        <v>1926</v>
      </c>
      <c r="F1232" s="16" t="s">
        <v>1927</v>
      </c>
      <c r="G1232" s="16" t="s">
        <v>1928</v>
      </c>
      <c r="H1232" s="16" t="s">
        <v>1927</v>
      </c>
      <c r="I1232" s="16" t="s">
        <v>1929</v>
      </c>
      <c r="J1232" s="16" t="s">
        <v>995</v>
      </c>
      <c r="K1232" s="16" t="s">
        <v>1930</v>
      </c>
      <c r="L1232" s="16" t="s">
        <v>85</v>
      </c>
      <c r="M1232" s="16" t="s">
        <v>1165</v>
      </c>
      <c r="N1232" s="16" t="s">
        <v>914</v>
      </c>
      <c r="O1232" s="16" t="s">
        <v>1166</v>
      </c>
      <c r="P1232" s="16" t="s">
        <v>914</v>
      </c>
      <c r="Q1232" s="16" t="s">
        <v>1166</v>
      </c>
      <c r="R1232" s="16" t="s">
        <v>915</v>
      </c>
      <c r="S1232" s="16" t="s">
        <v>915</v>
      </c>
      <c r="T1232" s="16" t="s">
        <v>1167</v>
      </c>
      <c r="U1232" s="16" t="s">
        <v>1168</v>
      </c>
      <c r="V1232" s="16" t="s">
        <v>916</v>
      </c>
      <c r="W1232" s="16" t="s">
        <v>1168</v>
      </c>
      <c r="X1232" s="16" t="s">
        <v>934</v>
      </c>
      <c r="Y1232" s="16" t="s">
        <v>934</v>
      </c>
      <c r="Z1232" s="16" t="s">
        <v>935</v>
      </c>
      <c r="DA1232" s="405" t="s">
        <v>5</v>
      </c>
      <c r="DB1232" s="405" t="s">
        <v>363</v>
      </c>
      <c r="DC1232" s="406" t="s">
        <v>85</v>
      </c>
      <c r="DD1232" s="405" t="s">
        <v>917</v>
      </c>
      <c r="DE1232" s="405" t="s">
        <v>5</v>
      </c>
      <c r="DF1232" s="406" t="s">
        <v>85</v>
      </c>
      <c r="DG1232" s="407">
        <v>45866</v>
      </c>
      <c r="DH1232" s="405" t="s">
        <v>1926</v>
      </c>
      <c r="DI1232" s="406">
        <v>465455</v>
      </c>
      <c r="DJ1232" s="408">
        <v>5</v>
      </c>
      <c r="DK1232" s="405">
        <v>1</v>
      </c>
      <c r="DL1232" s="82">
        <v>468.28</v>
      </c>
      <c r="DM1232" s="409">
        <v>2.3413999999999997</v>
      </c>
      <c r="DN1232" s="82" t="s">
        <v>85</v>
      </c>
      <c r="DO1232" s="82" t="s">
        <v>85</v>
      </c>
      <c r="DP1232" s="410" t="s">
        <v>85</v>
      </c>
    </row>
    <row r="1233" spans="1:120" x14ac:dyDescent="0.25">
      <c r="A1233" s="16" t="s">
        <v>1931</v>
      </c>
      <c r="B1233" s="16" t="s">
        <v>1932</v>
      </c>
      <c r="C1233" s="16" t="s">
        <v>1933</v>
      </c>
      <c r="D1233" s="16" t="s">
        <v>1885</v>
      </c>
      <c r="E1233" s="16" t="s">
        <v>1934</v>
      </c>
      <c r="F1233" s="16" t="s">
        <v>1935</v>
      </c>
      <c r="G1233" s="16" t="s">
        <v>1936</v>
      </c>
      <c r="H1233" s="16" t="s">
        <v>1935</v>
      </c>
      <c r="I1233" s="16" t="s">
        <v>1937</v>
      </c>
      <c r="J1233" s="16" t="s">
        <v>1036</v>
      </c>
      <c r="K1233" s="16" t="s">
        <v>1938</v>
      </c>
      <c r="L1233" s="16" t="s">
        <v>85</v>
      </c>
      <c r="M1233" s="16" t="s">
        <v>1216</v>
      </c>
      <c r="N1233" s="16" t="s">
        <v>914</v>
      </c>
      <c r="O1233" s="16" t="s">
        <v>946</v>
      </c>
      <c r="P1233" s="16" t="s">
        <v>914</v>
      </c>
      <c r="Q1233" s="16" t="s">
        <v>946</v>
      </c>
      <c r="R1233" s="16" t="s">
        <v>915</v>
      </c>
      <c r="S1233" s="16" t="s">
        <v>915</v>
      </c>
      <c r="T1233" s="16" t="s">
        <v>1216</v>
      </c>
      <c r="U1233" s="16" t="s">
        <v>1217</v>
      </c>
      <c r="V1233" s="16" t="s">
        <v>916</v>
      </c>
      <c r="W1233" s="16" t="s">
        <v>1217</v>
      </c>
      <c r="X1233" s="16" t="s">
        <v>934</v>
      </c>
      <c r="Y1233" s="16" t="s">
        <v>934</v>
      </c>
      <c r="Z1233" s="16" t="s">
        <v>935</v>
      </c>
      <c r="DA1233" s="405" t="s">
        <v>5</v>
      </c>
      <c r="DB1233" s="405" t="s">
        <v>363</v>
      </c>
      <c r="DC1233" s="406" t="s">
        <v>85</v>
      </c>
      <c r="DD1233" s="405" t="s">
        <v>917</v>
      </c>
      <c r="DE1233" s="405" t="s">
        <v>5</v>
      </c>
      <c r="DF1233" s="406" t="s">
        <v>85</v>
      </c>
      <c r="DG1233" s="407">
        <v>45866</v>
      </c>
      <c r="DH1233" s="405" t="s">
        <v>1934</v>
      </c>
      <c r="DI1233" s="406">
        <v>465455</v>
      </c>
      <c r="DJ1233" s="408">
        <v>5</v>
      </c>
      <c r="DK1233" s="405">
        <v>1</v>
      </c>
      <c r="DL1233" s="82">
        <v>319.22000000000003</v>
      </c>
      <c r="DM1233" s="409">
        <v>1.5961000000000001</v>
      </c>
      <c r="DN1233" s="82" t="s">
        <v>85</v>
      </c>
      <c r="DO1233" s="82" t="s">
        <v>85</v>
      </c>
      <c r="DP1233" s="410" t="s">
        <v>85</v>
      </c>
    </row>
    <row r="1234" spans="1:120" x14ac:dyDescent="0.25">
      <c r="A1234" s="16" t="s">
        <v>1939</v>
      </c>
      <c r="B1234" s="16" t="s">
        <v>1940</v>
      </c>
      <c r="C1234" s="16" t="s">
        <v>1941</v>
      </c>
      <c r="D1234" s="16" t="s">
        <v>1885</v>
      </c>
      <c r="E1234" s="16" t="s">
        <v>1942</v>
      </c>
      <c r="F1234" s="16" t="s">
        <v>1943</v>
      </c>
      <c r="G1234" s="16" t="s">
        <v>1944</v>
      </c>
      <c r="H1234" s="16" t="s">
        <v>1943</v>
      </c>
      <c r="I1234" s="16" t="s">
        <v>1309</v>
      </c>
      <c r="J1234" s="16" t="s">
        <v>1109</v>
      </c>
      <c r="K1234" s="16" t="s">
        <v>1310</v>
      </c>
      <c r="L1234" s="16" t="s">
        <v>85</v>
      </c>
      <c r="M1234" s="16" t="s">
        <v>1311</v>
      </c>
      <c r="N1234" s="16" t="s">
        <v>914</v>
      </c>
      <c r="O1234" s="16" t="s">
        <v>1312</v>
      </c>
      <c r="P1234" s="16" t="s">
        <v>914</v>
      </c>
      <c r="Q1234" s="16" t="s">
        <v>1312</v>
      </c>
      <c r="R1234" s="16" t="s">
        <v>915</v>
      </c>
      <c r="S1234" s="16" t="s">
        <v>915</v>
      </c>
      <c r="T1234" s="16" t="s">
        <v>1311</v>
      </c>
      <c r="U1234" s="16" t="s">
        <v>1313</v>
      </c>
      <c r="V1234" s="16" t="s">
        <v>916</v>
      </c>
      <c r="W1234" s="16" t="s">
        <v>1313</v>
      </c>
      <c r="X1234" s="16" t="s">
        <v>934</v>
      </c>
      <c r="Y1234" s="16" t="s">
        <v>934</v>
      </c>
      <c r="Z1234" s="16" t="s">
        <v>935</v>
      </c>
      <c r="DA1234" s="405" t="s">
        <v>5</v>
      </c>
      <c r="DB1234" s="405" t="s">
        <v>363</v>
      </c>
      <c r="DC1234" s="406" t="s">
        <v>85</v>
      </c>
      <c r="DD1234" s="405" t="s">
        <v>917</v>
      </c>
      <c r="DE1234" s="405" t="s">
        <v>5</v>
      </c>
      <c r="DF1234" s="406" t="s">
        <v>85</v>
      </c>
      <c r="DG1234" s="407">
        <v>45866</v>
      </c>
      <c r="DH1234" s="405" t="s">
        <v>1942</v>
      </c>
      <c r="DI1234" s="406">
        <v>465455</v>
      </c>
      <c r="DJ1234" s="408">
        <v>5</v>
      </c>
      <c r="DK1234" s="405">
        <v>1</v>
      </c>
      <c r="DL1234" s="82">
        <v>531.54</v>
      </c>
      <c r="DM1234" s="409">
        <v>2.6576999999999997</v>
      </c>
      <c r="DN1234" s="82" t="s">
        <v>85</v>
      </c>
      <c r="DO1234" s="82" t="s">
        <v>85</v>
      </c>
      <c r="DP1234" s="410" t="s">
        <v>85</v>
      </c>
    </row>
    <row r="1235" spans="1:120" x14ac:dyDescent="0.25">
      <c r="A1235" s="16" t="s">
        <v>1945</v>
      </c>
      <c r="B1235" s="16" t="s">
        <v>1946</v>
      </c>
      <c r="C1235" s="16" t="s">
        <v>1947</v>
      </c>
      <c r="D1235" s="16" t="s">
        <v>1885</v>
      </c>
      <c r="E1235" s="16" t="s">
        <v>1948</v>
      </c>
      <c r="F1235" s="16" t="s">
        <v>1949</v>
      </c>
      <c r="G1235" s="16" t="s">
        <v>1950</v>
      </c>
      <c r="H1235" s="16" t="s">
        <v>1951</v>
      </c>
      <c r="I1235" s="16" t="s">
        <v>1952</v>
      </c>
      <c r="J1235" s="16" t="s">
        <v>1953</v>
      </c>
      <c r="K1235" s="16" t="s">
        <v>1954</v>
      </c>
      <c r="L1235" s="16" t="s">
        <v>85</v>
      </c>
      <c r="M1235" s="16" t="s">
        <v>1955</v>
      </c>
      <c r="N1235" s="16" t="s">
        <v>914</v>
      </c>
      <c r="O1235" s="16" t="s">
        <v>1039</v>
      </c>
      <c r="P1235" s="16" t="s">
        <v>914</v>
      </c>
      <c r="Q1235" s="16" t="s">
        <v>1039</v>
      </c>
      <c r="R1235" s="16" t="s">
        <v>915</v>
      </c>
      <c r="S1235" s="16" t="s">
        <v>915</v>
      </c>
      <c r="T1235" s="16" t="s">
        <v>1955</v>
      </c>
      <c r="U1235" s="16" t="s">
        <v>1956</v>
      </c>
      <c r="V1235" s="16" t="s">
        <v>916</v>
      </c>
      <c r="W1235" s="16" t="s">
        <v>1956</v>
      </c>
      <c r="X1235" s="16" t="s">
        <v>934</v>
      </c>
      <c r="Y1235" s="16" t="s">
        <v>934</v>
      </c>
      <c r="Z1235" s="16" t="s">
        <v>935</v>
      </c>
      <c r="DA1235" s="405" t="s">
        <v>5</v>
      </c>
      <c r="DB1235" s="405" t="s">
        <v>363</v>
      </c>
      <c r="DC1235" s="406" t="s">
        <v>85</v>
      </c>
      <c r="DD1235" s="405" t="s">
        <v>917</v>
      </c>
      <c r="DE1235" s="405" t="s">
        <v>5</v>
      </c>
      <c r="DF1235" s="406" t="s">
        <v>85</v>
      </c>
      <c r="DG1235" s="407">
        <v>45866</v>
      </c>
      <c r="DH1235" s="405" t="s">
        <v>1948</v>
      </c>
      <c r="DI1235" s="406">
        <v>465455</v>
      </c>
      <c r="DJ1235" s="408">
        <v>5</v>
      </c>
      <c r="DK1235" s="405">
        <v>1</v>
      </c>
      <c r="DL1235" s="82">
        <v>311.2</v>
      </c>
      <c r="DM1235" s="409">
        <v>1.556</v>
      </c>
      <c r="DN1235" s="82" t="s">
        <v>85</v>
      </c>
      <c r="DO1235" s="82" t="s">
        <v>85</v>
      </c>
      <c r="DP1235" s="410" t="s">
        <v>85</v>
      </c>
    </row>
    <row r="1236" spans="1:120" x14ac:dyDescent="0.25">
      <c r="A1236" s="16" t="s">
        <v>1957</v>
      </c>
      <c r="B1236" s="16" t="s">
        <v>1958</v>
      </c>
      <c r="C1236" s="16" t="s">
        <v>1959</v>
      </c>
      <c r="D1236" s="16" t="s">
        <v>1885</v>
      </c>
      <c r="E1236" s="16" t="s">
        <v>1960</v>
      </c>
      <c r="F1236" s="16" t="s">
        <v>1961</v>
      </c>
      <c r="G1236" s="16" t="s">
        <v>1962</v>
      </c>
      <c r="H1236" s="16" t="s">
        <v>1961</v>
      </c>
      <c r="I1236" s="16" t="s">
        <v>1914</v>
      </c>
      <c r="J1236" s="16" t="s">
        <v>928</v>
      </c>
      <c r="K1236" s="16" t="s">
        <v>1915</v>
      </c>
      <c r="L1236" s="16" t="s">
        <v>85</v>
      </c>
      <c r="M1236" s="16" t="s">
        <v>1322</v>
      </c>
      <c r="N1236" s="16" t="s">
        <v>914</v>
      </c>
      <c r="O1236" s="16" t="s">
        <v>1323</v>
      </c>
      <c r="P1236" s="16" t="s">
        <v>914</v>
      </c>
      <c r="Q1236" s="16" t="s">
        <v>1323</v>
      </c>
      <c r="R1236" s="16" t="s">
        <v>915</v>
      </c>
      <c r="S1236" s="16" t="s">
        <v>915</v>
      </c>
      <c r="T1236" s="16" t="s">
        <v>1322</v>
      </c>
      <c r="U1236" s="16" t="s">
        <v>1324</v>
      </c>
      <c r="V1236" s="16" t="s">
        <v>916</v>
      </c>
      <c r="W1236" s="16" t="s">
        <v>1324</v>
      </c>
      <c r="X1236" s="16" t="s">
        <v>934</v>
      </c>
      <c r="Y1236" s="16" t="s">
        <v>934</v>
      </c>
      <c r="Z1236" s="16" t="s">
        <v>935</v>
      </c>
      <c r="DA1236" s="405" t="s">
        <v>5</v>
      </c>
      <c r="DB1236" s="405" t="s">
        <v>363</v>
      </c>
      <c r="DC1236" s="406" t="s">
        <v>85</v>
      </c>
      <c r="DD1236" s="405" t="s">
        <v>917</v>
      </c>
      <c r="DE1236" s="405" t="s">
        <v>5</v>
      </c>
      <c r="DF1236" s="406" t="s">
        <v>85</v>
      </c>
      <c r="DG1236" s="407">
        <v>45866</v>
      </c>
      <c r="DH1236" s="405" t="s">
        <v>1960</v>
      </c>
      <c r="DI1236" s="406">
        <v>465455</v>
      </c>
      <c r="DJ1236" s="408">
        <v>5</v>
      </c>
      <c r="DK1236" s="405">
        <v>1</v>
      </c>
      <c r="DL1236" s="82">
        <v>332.47</v>
      </c>
      <c r="DM1236" s="409">
        <v>1.6623500000000002</v>
      </c>
      <c r="DN1236" s="82" t="s">
        <v>85</v>
      </c>
      <c r="DO1236" s="82" t="s">
        <v>85</v>
      </c>
      <c r="DP1236" s="410" t="s">
        <v>85</v>
      </c>
    </row>
    <row r="1237" spans="1:120" x14ac:dyDescent="0.25">
      <c r="A1237" s="16" t="s">
        <v>1963</v>
      </c>
      <c r="B1237" s="16" t="s">
        <v>1964</v>
      </c>
      <c r="C1237" s="16" t="s">
        <v>1965</v>
      </c>
      <c r="D1237" s="16" t="s">
        <v>1885</v>
      </c>
      <c r="E1237" s="16" t="s">
        <v>1966</v>
      </c>
      <c r="F1237" s="16" t="s">
        <v>1967</v>
      </c>
      <c r="G1237" s="16" t="s">
        <v>1968</v>
      </c>
      <c r="H1237" s="16" t="s">
        <v>1969</v>
      </c>
      <c r="I1237" s="16" t="s">
        <v>1970</v>
      </c>
      <c r="J1237" s="16" t="s">
        <v>995</v>
      </c>
      <c r="K1237" s="16" t="s">
        <v>1971</v>
      </c>
      <c r="L1237" s="16" t="s">
        <v>85</v>
      </c>
      <c r="M1237" s="16" t="s">
        <v>1165</v>
      </c>
      <c r="N1237" s="16" t="s">
        <v>914</v>
      </c>
      <c r="O1237" s="16" t="s">
        <v>1166</v>
      </c>
      <c r="P1237" s="16" t="s">
        <v>914</v>
      </c>
      <c r="Q1237" s="16" t="s">
        <v>1166</v>
      </c>
      <c r="R1237" s="16" t="s">
        <v>915</v>
      </c>
      <c r="S1237" s="16" t="s">
        <v>915</v>
      </c>
      <c r="T1237" s="16" t="s">
        <v>1167</v>
      </c>
      <c r="U1237" s="16" t="s">
        <v>1168</v>
      </c>
      <c r="V1237" s="16" t="s">
        <v>916</v>
      </c>
      <c r="W1237" s="16" t="s">
        <v>1168</v>
      </c>
      <c r="X1237" s="16" t="s">
        <v>934</v>
      </c>
      <c r="Y1237" s="16" t="s">
        <v>934</v>
      </c>
      <c r="Z1237" s="16" t="s">
        <v>935</v>
      </c>
      <c r="DA1237" s="405" t="s">
        <v>5</v>
      </c>
      <c r="DB1237" s="405" t="s">
        <v>363</v>
      </c>
      <c r="DC1237" s="406" t="s">
        <v>85</v>
      </c>
      <c r="DD1237" s="405" t="s">
        <v>917</v>
      </c>
      <c r="DE1237" s="405" t="s">
        <v>5</v>
      </c>
      <c r="DF1237" s="406" t="s">
        <v>85</v>
      </c>
      <c r="DG1237" s="407">
        <v>45866</v>
      </c>
      <c r="DH1237" s="405" t="s">
        <v>1966</v>
      </c>
      <c r="DI1237" s="406">
        <v>465455</v>
      </c>
      <c r="DJ1237" s="408">
        <v>5</v>
      </c>
      <c r="DK1237" s="405">
        <v>1</v>
      </c>
      <c r="DL1237" s="82">
        <v>468.28</v>
      </c>
      <c r="DM1237" s="409">
        <v>2.3413999999999997</v>
      </c>
      <c r="DN1237" s="82" t="s">
        <v>85</v>
      </c>
      <c r="DO1237" s="82" t="s">
        <v>85</v>
      </c>
      <c r="DP1237" s="410" t="s">
        <v>85</v>
      </c>
    </row>
    <row r="1238" spans="1:120" x14ac:dyDescent="0.25">
      <c r="A1238" s="16" t="s">
        <v>1972</v>
      </c>
      <c r="B1238" s="16" t="s">
        <v>1973</v>
      </c>
      <c r="C1238" s="16" t="s">
        <v>1974</v>
      </c>
      <c r="D1238" s="16" t="s">
        <v>1885</v>
      </c>
      <c r="E1238" s="16" t="s">
        <v>1975</v>
      </c>
      <c r="F1238" s="16" t="s">
        <v>1976</v>
      </c>
      <c r="G1238" s="16" t="s">
        <v>1977</v>
      </c>
      <c r="H1238" s="16" t="s">
        <v>1978</v>
      </c>
      <c r="I1238" s="16" t="s">
        <v>1979</v>
      </c>
      <c r="J1238" s="16" t="s">
        <v>1123</v>
      </c>
      <c r="K1238" s="16" t="s">
        <v>1980</v>
      </c>
      <c r="L1238" s="16" t="s">
        <v>85</v>
      </c>
      <c r="M1238" s="16" t="s">
        <v>1238</v>
      </c>
      <c r="N1238" s="16" t="s">
        <v>914</v>
      </c>
      <c r="O1238" s="16" t="s">
        <v>1239</v>
      </c>
      <c r="P1238" s="16" t="s">
        <v>914</v>
      </c>
      <c r="Q1238" s="16" t="s">
        <v>1239</v>
      </c>
      <c r="R1238" s="16" t="s">
        <v>915</v>
      </c>
      <c r="S1238" s="16" t="s">
        <v>915</v>
      </c>
      <c r="T1238" s="16" t="s">
        <v>1238</v>
      </c>
      <c r="U1238" s="16" t="s">
        <v>1240</v>
      </c>
      <c r="V1238" s="16" t="s">
        <v>916</v>
      </c>
      <c r="W1238" s="16" t="s">
        <v>1240</v>
      </c>
      <c r="X1238" s="16" t="s">
        <v>934</v>
      </c>
      <c r="Y1238" s="16" t="s">
        <v>934</v>
      </c>
      <c r="Z1238" s="16" t="s">
        <v>935</v>
      </c>
      <c r="DA1238" s="405" t="s">
        <v>5</v>
      </c>
      <c r="DB1238" s="405" t="s">
        <v>363</v>
      </c>
      <c r="DC1238" s="406" t="s">
        <v>85</v>
      </c>
      <c r="DD1238" s="405" t="s">
        <v>917</v>
      </c>
      <c r="DE1238" s="405" t="s">
        <v>5</v>
      </c>
      <c r="DF1238" s="406" t="s">
        <v>85</v>
      </c>
      <c r="DG1238" s="407">
        <v>45866</v>
      </c>
      <c r="DH1238" s="405" t="s">
        <v>1975</v>
      </c>
      <c r="DI1238" s="406">
        <v>465455</v>
      </c>
      <c r="DJ1238" s="408">
        <v>5</v>
      </c>
      <c r="DK1238" s="405">
        <v>1</v>
      </c>
      <c r="DL1238" s="82">
        <v>383.16</v>
      </c>
      <c r="DM1238" s="409">
        <v>1.9158000000000002</v>
      </c>
      <c r="DN1238" s="82" t="s">
        <v>85</v>
      </c>
      <c r="DO1238" s="82" t="s">
        <v>85</v>
      </c>
      <c r="DP1238" s="410" t="s">
        <v>85</v>
      </c>
    </row>
    <row r="1239" spans="1:120" x14ac:dyDescent="0.25">
      <c r="A1239" s="16" t="s">
        <v>1981</v>
      </c>
      <c r="B1239" s="16" t="s">
        <v>1982</v>
      </c>
      <c r="C1239" s="16" t="s">
        <v>1983</v>
      </c>
      <c r="D1239" s="16" t="s">
        <v>1885</v>
      </c>
      <c r="E1239" s="16" t="s">
        <v>1984</v>
      </c>
      <c r="F1239" s="16" t="s">
        <v>1985</v>
      </c>
      <c r="G1239" s="16" t="s">
        <v>1986</v>
      </c>
      <c r="H1239" s="16" t="s">
        <v>1985</v>
      </c>
      <c r="I1239" s="16" t="s">
        <v>1987</v>
      </c>
      <c r="J1239" s="16" t="s">
        <v>1988</v>
      </c>
      <c r="K1239" s="16" t="s">
        <v>1989</v>
      </c>
      <c r="L1239" s="16" t="s">
        <v>85</v>
      </c>
      <c r="M1239" s="16" t="s">
        <v>1955</v>
      </c>
      <c r="N1239" s="16" t="s">
        <v>914</v>
      </c>
      <c r="O1239" s="16" t="s">
        <v>1039</v>
      </c>
      <c r="P1239" s="16" t="s">
        <v>914</v>
      </c>
      <c r="Q1239" s="16" t="s">
        <v>1039</v>
      </c>
      <c r="R1239" s="16" t="s">
        <v>915</v>
      </c>
      <c r="S1239" s="16" t="s">
        <v>915</v>
      </c>
      <c r="T1239" s="16" t="s">
        <v>1955</v>
      </c>
      <c r="U1239" s="16" t="s">
        <v>1956</v>
      </c>
      <c r="V1239" s="16" t="s">
        <v>916</v>
      </c>
      <c r="W1239" s="16" t="s">
        <v>1956</v>
      </c>
      <c r="X1239" s="16" t="s">
        <v>934</v>
      </c>
      <c r="Y1239" s="16" t="s">
        <v>934</v>
      </c>
      <c r="Z1239" s="16" t="s">
        <v>935</v>
      </c>
      <c r="DA1239" s="405" t="s">
        <v>5</v>
      </c>
      <c r="DB1239" s="405" t="s">
        <v>363</v>
      </c>
      <c r="DC1239" s="406" t="s">
        <v>85</v>
      </c>
      <c r="DD1239" s="405" t="s">
        <v>917</v>
      </c>
      <c r="DE1239" s="405" t="s">
        <v>5</v>
      </c>
      <c r="DF1239" s="406" t="s">
        <v>85</v>
      </c>
      <c r="DG1239" s="407">
        <v>45866</v>
      </c>
      <c r="DH1239" s="405" t="s">
        <v>1984</v>
      </c>
      <c r="DI1239" s="406">
        <v>465455</v>
      </c>
      <c r="DJ1239" s="408">
        <v>5</v>
      </c>
      <c r="DK1239" s="405">
        <v>1</v>
      </c>
      <c r="DL1239" s="82">
        <v>311.2</v>
      </c>
      <c r="DM1239" s="409">
        <v>1.556</v>
      </c>
      <c r="DN1239" s="82" t="s">
        <v>85</v>
      </c>
      <c r="DO1239" s="82" t="s">
        <v>85</v>
      </c>
      <c r="DP1239" s="410" t="s">
        <v>85</v>
      </c>
    </row>
    <row r="1240" spans="1:120" x14ac:dyDescent="0.25">
      <c r="A1240" s="16" t="s">
        <v>1990</v>
      </c>
      <c r="B1240" s="16" t="s">
        <v>1991</v>
      </c>
      <c r="C1240" s="16" t="s">
        <v>1992</v>
      </c>
      <c r="D1240" s="16" t="s">
        <v>1885</v>
      </c>
      <c r="E1240" s="16" t="s">
        <v>1993</v>
      </c>
      <c r="F1240" s="16" t="s">
        <v>1994</v>
      </c>
      <c r="G1240" s="16" t="s">
        <v>1995</v>
      </c>
      <c r="H1240" s="16" t="s">
        <v>1996</v>
      </c>
      <c r="I1240" s="16" t="s">
        <v>1997</v>
      </c>
      <c r="J1240" s="16" t="s">
        <v>1359</v>
      </c>
      <c r="K1240" s="16" t="s">
        <v>1998</v>
      </c>
      <c r="L1240" s="16" t="s">
        <v>85</v>
      </c>
      <c r="M1240" s="16" t="s">
        <v>1350</v>
      </c>
      <c r="N1240" s="16" t="s">
        <v>914</v>
      </c>
      <c r="O1240" s="16" t="s">
        <v>1351</v>
      </c>
      <c r="P1240" s="16" t="s">
        <v>914</v>
      </c>
      <c r="Q1240" s="16" t="s">
        <v>1351</v>
      </c>
      <c r="R1240" s="16" t="s">
        <v>915</v>
      </c>
      <c r="S1240" s="16" t="s">
        <v>915</v>
      </c>
      <c r="T1240" s="16" t="s">
        <v>1352</v>
      </c>
      <c r="U1240" s="16" t="s">
        <v>1353</v>
      </c>
      <c r="V1240" s="16" t="s">
        <v>916</v>
      </c>
      <c r="W1240" s="16" t="s">
        <v>1353</v>
      </c>
      <c r="X1240" s="16" t="s">
        <v>934</v>
      </c>
      <c r="Y1240" s="16" t="s">
        <v>934</v>
      </c>
      <c r="Z1240" s="16" t="s">
        <v>935</v>
      </c>
      <c r="DA1240" s="405" t="s">
        <v>5</v>
      </c>
      <c r="DB1240" s="405" t="s">
        <v>363</v>
      </c>
      <c r="DC1240" s="406" t="s">
        <v>85</v>
      </c>
      <c r="DD1240" s="405" t="s">
        <v>917</v>
      </c>
      <c r="DE1240" s="405" t="s">
        <v>5</v>
      </c>
      <c r="DF1240" s="406" t="s">
        <v>85</v>
      </c>
      <c r="DG1240" s="407">
        <v>45866</v>
      </c>
      <c r="DH1240" s="405" t="s">
        <v>1993</v>
      </c>
      <c r="DI1240" s="406">
        <v>465455</v>
      </c>
      <c r="DJ1240" s="408">
        <v>5</v>
      </c>
      <c r="DK1240" s="405">
        <v>1</v>
      </c>
      <c r="DL1240" s="82">
        <v>303.3</v>
      </c>
      <c r="DM1240" s="409">
        <v>1.5165000000000002</v>
      </c>
      <c r="DN1240" s="82" t="s">
        <v>85</v>
      </c>
      <c r="DO1240" s="82" t="s">
        <v>85</v>
      </c>
      <c r="DP1240" s="410" t="s">
        <v>85</v>
      </c>
    </row>
    <row r="1241" spans="1:120" x14ac:dyDescent="0.25">
      <c r="A1241" s="16" t="s">
        <v>1999</v>
      </c>
      <c r="B1241" s="16" t="s">
        <v>2000</v>
      </c>
      <c r="C1241" s="16" t="s">
        <v>2001</v>
      </c>
      <c r="D1241" s="16" t="s">
        <v>1885</v>
      </c>
      <c r="E1241" s="16" t="s">
        <v>2002</v>
      </c>
      <c r="F1241" s="16" t="s">
        <v>2003</v>
      </c>
      <c r="G1241" s="16" t="s">
        <v>2004</v>
      </c>
      <c r="H1241" s="16" t="s">
        <v>2005</v>
      </c>
      <c r="I1241" s="16" t="s">
        <v>976</v>
      </c>
      <c r="J1241" s="16" t="s">
        <v>956</v>
      </c>
      <c r="K1241" s="16" t="s">
        <v>977</v>
      </c>
      <c r="L1241" s="16" t="s">
        <v>85</v>
      </c>
      <c r="M1241" s="16" t="s">
        <v>1396</v>
      </c>
      <c r="N1241" s="16" t="s">
        <v>914</v>
      </c>
      <c r="O1241" s="16" t="s">
        <v>1397</v>
      </c>
      <c r="P1241" s="16" t="s">
        <v>914</v>
      </c>
      <c r="Q1241" s="16" t="s">
        <v>1397</v>
      </c>
      <c r="R1241" s="16" t="s">
        <v>915</v>
      </c>
      <c r="S1241" s="16" t="s">
        <v>915</v>
      </c>
      <c r="T1241" s="16" t="s">
        <v>1396</v>
      </c>
      <c r="U1241" s="16" t="s">
        <v>1398</v>
      </c>
      <c r="V1241" s="16" t="s">
        <v>916</v>
      </c>
      <c r="W1241" s="16" t="s">
        <v>1398</v>
      </c>
      <c r="X1241" s="16" t="s">
        <v>934</v>
      </c>
      <c r="Y1241" s="16" t="s">
        <v>934</v>
      </c>
      <c r="Z1241" s="16" t="s">
        <v>935</v>
      </c>
      <c r="DA1241" s="405" t="s">
        <v>5</v>
      </c>
      <c r="DB1241" s="405" t="s">
        <v>363</v>
      </c>
      <c r="DC1241" s="406" t="s">
        <v>85</v>
      </c>
      <c r="DD1241" s="405" t="s">
        <v>917</v>
      </c>
      <c r="DE1241" s="405" t="s">
        <v>5</v>
      </c>
      <c r="DF1241" s="406" t="s">
        <v>85</v>
      </c>
      <c r="DG1241" s="407">
        <v>45866</v>
      </c>
      <c r="DH1241" s="405" t="s">
        <v>2002</v>
      </c>
      <c r="DI1241" s="406">
        <v>465455</v>
      </c>
      <c r="DJ1241" s="408">
        <v>5</v>
      </c>
      <c r="DK1241" s="405">
        <v>1</v>
      </c>
      <c r="DL1241" s="82">
        <v>265.92</v>
      </c>
      <c r="DM1241" s="409">
        <v>1.3296000000000001</v>
      </c>
      <c r="DN1241" s="82" t="s">
        <v>85</v>
      </c>
      <c r="DO1241" s="82" t="s">
        <v>85</v>
      </c>
      <c r="DP1241" s="410" t="s">
        <v>85</v>
      </c>
    </row>
    <row r="1242" spans="1:120" x14ac:dyDescent="0.25">
      <c r="A1242" s="16" t="s">
        <v>2006</v>
      </c>
      <c r="B1242" s="16" t="s">
        <v>2007</v>
      </c>
      <c r="C1242" s="16" t="s">
        <v>2008</v>
      </c>
      <c r="D1242" s="16" t="s">
        <v>1885</v>
      </c>
      <c r="E1242" s="16" t="s">
        <v>2009</v>
      </c>
      <c r="F1242" s="16" t="s">
        <v>2010</v>
      </c>
      <c r="G1242" s="16" t="s">
        <v>2011</v>
      </c>
      <c r="H1242" s="16" t="s">
        <v>2010</v>
      </c>
      <c r="I1242" s="16" t="s">
        <v>2012</v>
      </c>
      <c r="J1242" s="16" t="s">
        <v>1036</v>
      </c>
      <c r="K1242" s="16" t="s">
        <v>2013</v>
      </c>
      <c r="L1242" s="16" t="s">
        <v>85</v>
      </c>
      <c r="M1242" s="16" t="s">
        <v>1216</v>
      </c>
      <c r="N1242" s="16" t="s">
        <v>914</v>
      </c>
      <c r="O1242" s="16" t="s">
        <v>946</v>
      </c>
      <c r="P1242" s="16" t="s">
        <v>914</v>
      </c>
      <c r="Q1242" s="16" t="s">
        <v>946</v>
      </c>
      <c r="R1242" s="16" t="s">
        <v>915</v>
      </c>
      <c r="S1242" s="16" t="s">
        <v>915</v>
      </c>
      <c r="T1242" s="16" t="s">
        <v>1216</v>
      </c>
      <c r="U1242" s="16" t="s">
        <v>1217</v>
      </c>
      <c r="V1242" s="16" t="s">
        <v>916</v>
      </c>
      <c r="W1242" s="16" t="s">
        <v>1217</v>
      </c>
      <c r="X1242" s="16" t="s">
        <v>934</v>
      </c>
      <c r="Y1242" s="16" t="s">
        <v>934</v>
      </c>
      <c r="Z1242" s="16" t="s">
        <v>935</v>
      </c>
      <c r="DA1242" s="405" t="s">
        <v>5</v>
      </c>
      <c r="DB1242" s="405" t="s">
        <v>363</v>
      </c>
      <c r="DC1242" s="406" t="s">
        <v>85</v>
      </c>
      <c r="DD1242" s="405" t="s">
        <v>917</v>
      </c>
      <c r="DE1242" s="405" t="s">
        <v>5</v>
      </c>
      <c r="DF1242" s="406" t="s">
        <v>85</v>
      </c>
      <c r="DG1242" s="407">
        <v>45866</v>
      </c>
      <c r="DH1242" s="405" t="s">
        <v>2009</v>
      </c>
      <c r="DI1242" s="406">
        <v>465455</v>
      </c>
      <c r="DJ1242" s="408">
        <v>5</v>
      </c>
      <c r="DK1242" s="405">
        <v>1</v>
      </c>
      <c r="DL1242" s="82">
        <v>319.22000000000003</v>
      </c>
      <c r="DM1242" s="409">
        <v>1.5961000000000001</v>
      </c>
      <c r="DN1242" s="82" t="s">
        <v>85</v>
      </c>
      <c r="DO1242" s="82" t="s">
        <v>85</v>
      </c>
      <c r="DP1242" s="410" t="s">
        <v>85</v>
      </c>
    </row>
    <row r="1243" spans="1:120" x14ac:dyDescent="0.25">
      <c r="A1243" s="16" t="s">
        <v>2014</v>
      </c>
      <c r="B1243" s="16" t="s">
        <v>2015</v>
      </c>
      <c r="C1243" s="16" t="s">
        <v>2016</v>
      </c>
      <c r="D1243" s="16" t="s">
        <v>1885</v>
      </c>
      <c r="E1243" s="16" t="s">
        <v>2017</v>
      </c>
      <c r="F1243" s="16" t="s">
        <v>2018</v>
      </c>
      <c r="G1243" s="16" t="s">
        <v>2019</v>
      </c>
      <c r="H1243" s="16" t="s">
        <v>2018</v>
      </c>
      <c r="I1243" s="16" t="s">
        <v>1248</v>
      </c>
      <c r="J1243" s="16" t="s">
        <v>995</v>
      </c>
      <c r="K1243" s="16" t="s">
        <v>1249</v>
      </c>
      <c r="L1243" s="16" t="s">
        <v>85</v>
      </c>
      <c r="M1243" s="16" t="s">
        <v>1165</v>
      </c>
      <c r="N1243" s="16" t="s">
        <v>914</v>
      </c>
      <c r="O1243" s="16" t="s">
        <v>1166</v>
      </c>
      <c r="P1243" s="16" t="s">
        <v>914</v>
      </c>
      <c r="Q1243" s="16" t="s">
        <v>1166</v>
      </c>
      <c r="R1243" s="16" t="s">
        <v>915</v>
      </c>
      <c r="S1243" s="16" t="s">
        <v>915</v>
      </c>
      <c r="T1243" s="16" t="s">
        <v>1167</v>
      </c>
      <c r="U1243" s="16" t="s">
        <v>1168</v>
      </c>
      <c r="V1243" s="16" t="s">
        <v>916</v>
      </c>
      <c r="W1243" s="16" t="s">
        <v>1168</v>
      </c>
      <c r="X1243" s="16" t="s">
        <v>934</v>
      </c>
      <c r="Y1243" s="16" t="s">
        <v>934</v>
      </c>
      <c r="Z1243" s="16" t="s">
        <v>935</v>
      </c>
      <c r="DA1243" s="405" t="s">
        <v>5</v>
      </c>
      <c r="DB1243" s="405" t="s">
        <v>363</v>
      </c>
      <c r="DC1243" s="406" t="s">
        <v>85</v>
      </c>
      <c r="DD1243" s="405" t="s">
        <v>917</v>
      </c>
      <c r="DE1243" s="405" t="s">
        <v>5</v>
      </c>
      <c r="DF1243" s="406" t="s">
        <v>85</v>
      </c>
      <c r="DG1243" s="407">
        <v>45866</v>
      </c>
      <c r="DH1243" s="405" t="s">
        <v>2017</v>
      </c>
      <c r="DI1243" s="406">
        <v>465455</v>
      </c>
      <c r="DJ1243" s="408">
        <v>5</v>
      </c>
      <c r="DK1243" s="405">
        <v>1</v>
      </c>
      <c r="DL1243" s="82">
        <v>468.28</v>
      </c>
      <c r="DM1243" s="409">
        <v>2.3413999999999997</v>
      </c>
      <c r="DN1243" s="82" t="s">
        <v>85</v>
      </c>
      <c r="DO1243" s="82" t="s">
        <v>85</v>
      </c>
      <c r="DP1243" s="410" t="s">
        <v>85</v>
      </c>
    </row>
    <row r="1244" spans="1:120" x14ac:dyDescent="0.25">
      <c r="A1244" s="16" t="s">
        <v>2020</v>
      </c>
      <c r="B1244" s="16" t="s">
        <v>2021</v>
      </c>
      <c r="C1244" s="16" t="s">
        <v>2022</v>
      </c>
      <c r="D1244" s="16" t="s">
        <v>1885</v>
      </c>
      <c r="E1244" s="16" t="s">
        <v>2023</v>
      </c>
      <c r="F1244" s="16" t="s">
        <v>2024</v>
      </c>
      <c r="G1244" s="16" t="s">
        <v>2025</v>
      </c>
      <c r="H1244" s="16" t="s">
        <v>2026</v>
      </c>
      <c r="I1244" s="16" t="s">
        <v>1432</v>
      </c>
      <c r="J1244" s="16" t="s">
        <v>956</v>
      </c>
      <c r="K1244" s="16" t="s">
        <v>1433</v>
      </c>
      <c r="L1244" s="16" t="s">
        <v>85</v>
      </c>
      <c r="M1244" s="16" t="s">
        <v>1396</v>
      </c>
      <c r="N1244" s="16" t="s">
        <v>914</v>
      </c>
      <c r="O1244" s="16" t="s">
        <v>1397</v>
      </c>
      <c r="P1244" s="16" t="s">
        <v>914</v>
      </c>
      <c r="Q1244" s="16" t="s">
        <v>1397</v>
      </c>
      <c r="R1244" s="16" t="s">
        <v>915</v>
      </c>
      <c r="S1244" s="16" t="s">
        <v>915</v>
      </c>
      <c r="T1244" s="16" t="s">
        <v>1396</v>
      </c>
      <c r="U1244" s="16" t="s">
        <v>1398</v>
      </c>
      <c r="V1244" s="16" t="s">
        <v>916</v>
      </c>
      <c r="W1244" s="16" t="s">
        <v>1398</v>
      </c>
      <c r="X1244" s="16" t="s">
        <v>934</v>
      </c>
      <c r="Y1244" s="16" t="s">
        <v>934</v>
      </c>
      <c r="Z1244" s="16" t="s">
        <v>935</v>
      </c>
      <c r="DA1244" s="405" t="s">
        <v>5</v>
      </c>
      <c r="DB1244" s="405" t="s">
        <v>363</v>
      </c>
      <c r="DC1244" s="406" t="s">
        <v>85</v>
      </c>
      <c r="DD1244" s="405" t="s">
        <v>917</v>
      </c>
      <c r="DE1244" s="405" t="s">
        <v>5</v>
      </c>
      <c r="DF1244" s="406" t="s">
        <v>85</v>
      </c>
      <c r="DG1244" s="407">
        <v>45866</v>
      </c>
      <c r="DH1244" s="405" t="s">
        <v>2023</v>
      </c>
      <c r="DI1244" s="406">
        <v>465455</v>
      </c>
      <c r="DJ1244" s="408">
        <v>5</v>
      </c>
      <c r="DK1244" s="405">
        <v>1</v>
      </c>
      <c r="DL1244" s="82">
        <v>265.92</v>
      </c>
      <c r="DM1244" s="409">
        <v>1.3296000000000001</v>
      </c>
      <c r="DN1244" s="82" t="s">
        <v>85</v>
      </c>
      <c r="DO1244" s="82" t="s">
        <v>85</v>
      </c>
      <c r="DP1244" s="410" t="s">
        <v>85</v>
      </c>
    </row>
    <row r="1245" spans="1:120" x14ac:dyDescent="0.25">
      <c r="A1245" s="16" t="s">
        <v>2027</v>
      </c>
      <c r="B1245" s="16" t="s">
        <v>2028</v>
      </c>
      <c r="C1245" s="16" t="s">
        <v>2029</v>
      </c>
      <c r="D1245" s="16" t="s">
        <v>1885</v>
      </c>
      <c r="E1245" s="16" t="s">
        <v>2030</v>
      </c>
      <c r="F1245" s="16" t="s">
        <v>2031</v>
      </c>
      <c r="G1245" s="16" t="s">
        <v>2032</v>
      </c>
      <c r="H1245" s="16" t="s">
        <v>2031</v>
      </c>
      <c r="I1245" s="16" t="s">
        <v>2033</v>
      </c>
      <c r="J1245" s="16" t="s">
        <v>928</v>
      </c>
      <c r="K1245" s="16" t="s">
        <v>2034</v>
      </c>
      <c r="L1245" s="16" t="s">
        <v>85</v>
      </c>
      <c r="M1245" s="16" t="s">
        <v>2035</v>
      </c>
      <c r="N1245" s="16" t="s">
        <v>914</v>
      </c>
      <c r="O1245" s="16" t="s">
        <v>1323</v>
      </c>
      <c r="P1245" s="16" t="s">
        <v>914</v>
      </c>
      <c r="Q1245" s="16" t="s">
        <v>1323</v>
      </c>
      <c r="R1245" s="16" t="s">
        <v>915</v>
      </c>
      <c r="S1245" s="16" t="s">
        <v>915</v>
      </c>
      <c r="T1245" s="16" t="s">
        <v>1322</v>
      </c>
      <c r="U1245" s="16" t="s">
        <v>1324</v>
      </c>
      <c r="V1245" s="16" t="s">
        <v>1763</v>
      </c>
      <c r="W1245" s="16" t="s">
        <v>2036</v>
      </c>
      <c r="X1245" s="16" t="s">
        <v>934</v>
      </c>
      <c r="Y1245" s="16" t="s">
        <v>934</v>
      </c>
      <c r="Z1245" s="16" t="s">
        <v>935</v>
      </c>
      <c r="DA1245" s="405" t="s">
        <v>5</v>
      </c>
      <c r="DB1245" s="405" t="s">
        <v>363</v>
      </c>
      <c r="DC1245" s="406" t="s">
        <v>85</v>
      </c>
      <c r="DD1245" s="405" t="s">
        <v>917</v>
      </c>
      <c r="DE1245" s="405" t="s">
        <v>5</v>
      </c>
      <c r="DF1245" s="406" t="s">
        <v>85</v>
      </c>
      <c r="DG1245" s="407">
        <v>45866</v>
      </c>
      <c r="DH1245" s="405" t="s">
        <v>2030</v>
      </c>
      <c r="DI1245" s="406">
        <v>465455</v>
      </c>
      <c r="DJ1245" s="408">
        <v>5</v>
      </c>
      <c r="DK1245" s="405">
        <v>2</v>
      </c>
      <c r="DL1245" s="82">
        <v>332.47</v>
      </c>
      <c r="DM1245" s="409">
        <v>1.6623500000000002</v>
      </c>
      <c r="DN1245" s="82" t="s">
        <v>85</v>
      </c>
      <c r="DO1245" s="82" t="s">
        <v>85</v>
      </c>
      <c r="DP1245" s="410" t="s">
        <v>85</v>
      </c>
    </row>
    <row r="1246" spans="1:120" x14ac:dyDescent="0.25">
      <c r="A1246" s="16" t="s">
        <v>2037</v>
      </c>
      <c r="B1246" s="16" t="s">
        <v>2038</v>
      </c>
      <c r="C1246" s="16" t="s">
        <v>2039</v>
      </c>
      <c r="D1246" s="16" t="s">
        <v>1885</v>
      </c>
      <c r="E1246" s="16" t="s">
        <v>2040</v>
      </c>
      <c r="F1246" s="16" t="s">
        <v>2041</v>
      </c>
      <c r="G1246" s="16" t="s">
        <v>2042</v>
      </c>
      <c r="H1246" s="16" t="s">
        <v>2041</v>
      </c>
      <c r="I1246" s="16" t="s">
        <v>2043</v>
      </c>
      <c r="J1246" s="16" t="s">
        <v>2044</v>
      </c>
      <c r="K1246" s="16" t="s">
        <v>2045</v>
      </c>
      <c r="L1246" s="16" t="s">
        <v>85</v>
      </c>
      <c r="M1246" s="16" t="s">
        <v>2046</v>
      </c>
      <c r="N1246" s="16" t="s">
        <v>914</v>
      </c>
      <c r="O1246" s="16" t="s">
        <v>1239</v>
      </c>
      <c r="P1246" s="16" t="s">
        <v>914</v>
      </c>
      <c r="Q1246" s="16" t="s">
        <v>1239</v>
      </c>
      <c r="R1246" s="16" t="s">
        <v>915</v>
      </c>
      <c r="S1246" s="16" t="s">
        <v>915</v>
      </c>
      <c r="T1246" s="16" t="s">
        <v>2047</v>
      </c>
      <c r="U1246" s="16" t="s">
        <v>2048</v>
      </c>
      <c r="V1246" s="16" t="s">
        <v>916</v>
      </c>
      <c r="W1246" s="16" t="s">
        <v>2048</v>
      </c>
      <c r="X1246" s="16" t="s">
        <v>934</v>
      </c>
      <c r="Y1246" s="16" t="s">
        <v>934</v>
      </c>
      <c r="Z1246" s="16" t="s">
        <v>935</v>
      </c>
      <c r="DA1246" s="405" t="s">
        <v>5</v>
      </c>
      <c r="DB1246" s="405" t="s">
        <v>363</v>
      </c>
      <c r="DC1246" s="406" t="s">
        <v>85</v>
      </c>
      <c r="DD1246" s="405" t="s">
        <v>917</v>
      </c>
      <c r="DE1246" s="405" t="s">
        <v>5</v>
      </c>
      <c r="DF1246" s="406" t="s">
        <v>85</v>
      </c>
      <c r="DG1246" s="407">
        <v>45866</v>
      </c>
      <c r="DH1246" s="405" t="s">
        <v>2040</v>
      </c>
      <c r="DI1246" s="406">
        <v>465455</v>
      </c>
      <c r="DJ1246" s="408">
        <v>5</v>
      </c>
      <c r="DK1246" s="405">
        <v>1</v>
      </c>
      <c r="DL1246" s="82">
        <v>383.08</v>
      </c>
      <c r="DM1246" s="409">
        <v>1.9154</v>
      </c>
      <c r="DN1246" s="82" t="s">
        <v>85</v>
      </c>
      <c r="DO1246" s="82" t="s">
        <v>85</v>
      </c>
      <c r="DP1246" s="410" t="s">
        <v>85</v>
      </c>
    </row>
    <row r="1247" spans="1:120" x14ac:dyDescent="0.25">
      <c r="A1247" s="16" t="s">
        <v>2049</v>
      </c>
      <c r="B1247" s="16" t="s">
        <v>2050</v>
      </c>
      <c r="C1247" s="16" t="s">
        <v>2051</v>
      </c>
      <c r="D1247" s="16" t="s">
        <v>1885</v>
      </c>
      <c r="E1247" s="16" t="s">
        <v>2052</v>
      </c>
      <c r="F1247" s="16" t="s">
        <v>2053</v>
      </c>
      <c r="G1247" s="16" t="s">
        <v>2054</v>
      </c>
      <c r="H1247" s="16" t="s">
        <v>2055</v>
      </c>
      <c r="I1247" s="16" t="s">
        <v>2056</v>
      </c>
      <c r="J1247" s="16" t="s">
        <v>943</v>
      </c>
      <c r="K1247" s="16" t="s">
        <v>2057</v>
      </c>
      <c r="L1247" s="16" t="s">
        <v>85</v>
      </c>
      <c r="M1247" s="16" t="s">
        <v>984</v>
      </c>
      <c r="N1247" s="16" t="s">
        <v>914</v>
      </c>
      <c r="O1247" s="16" t="s">
        <v>985</v>
      </c>
      <c r="P1247" s="16" t="s">
        <v>914</v>
      </c>
      <c r="Q1247" s="16" t="s">
        <v>985</v>
      </c>
      <c r="R1247" s="16" t="s">
        <v>915</v>
      </c>
      <c r="S1247" s="16" t="s">
        <v>915</v>
      </c>
      <c r="T1247" s="16" t="s">
        <v>986</v>
      </c>
      <c r="U1247" s="16" t="s">
        <v>987</v>
      </c>
      <c r="V1247" s="16" t="s">
        <v>916</v>
      </c>
      <c r="W1247" s="16" t="s">
        <v>987</v>
      </c>
      <c r="X1247" s="16" t="s">
        <v>934</v>
      </c>
      <c r="Y1247" s="16" t="s">
        <v>934</v>
      </c>
      <c r="Z1247" s="16" t="s">
        <v>935</v>
      </c>
      <c r="DA1247" s="405" t="s">
        <v>5</v>
      </c>
      <c r="DB1247" s="405" t="s">
        <v>363</v>
      </c>
      <c r="DC1247" s="406" t="s">
        <v>85</v>
      </c>
      <c r="DD1247" s="405" t="s">
        <v>917</v>
      </c>
      <c r="DE1247" s="405" t="s">
        <v>5</v>
      </c>
      <c r="DF1247" s="406" t="s">
        <v>85</v>
      </c>
      <c r="DG1247" s="407">
        <v>45866</v>
      </c>
      <c r="DH1247" s="405" t="s">
        <v>2052</v>
      </c>
      <c r="DI1247" s="406">
        <v>465455</v>
      </c>
      <c r="DJ1247" s="408">
        <v>5</v>
      </c>
      <c r="DK1247" s="405">
        <v>1</v>
      </c>
      <c r="DL1247" s="82">
        <v>340.55</v>
      </c>
      <c r="DM1247" s="409">
        <v>1.70275</v>
      </c>
      <c r="DN1247" s="82" t="s">
        <v>85</v>
      </c>
      <c r="DO1247" s="82" t="s">
        <v>85</v>
      </c>
      <c r="DP1247" s="410" t="s">
        <v>85</v>
      </c>
    </row>
    <row r="1248" spans="1:120" x14ac:dyDescent="0.25">
      <c r="A1248" s="16" t="s">
        <v>2058</v>
      </c>
      <c r="B1248" s="16" t="s">
        <v>2059</v>
      </c>
      <c r="C1248" s="16" t="s">
        <v>2060</v>
      </c>
      <c r="D1248" s="16" t="s">
        <v>1885</v>
      </c>
      <c r="E1248" s="16" t="s">
        <v>2061</v>
      </c>
      <c r="F1248" s="16" t="s">
        <v>2062</v>
      </c>
      <c r="G1248" s="16" t="s">
        <v>2063</v>
      </c>
      <c r="H1248" s="16" t="s">
        <v>2062</v>
      </c>
      <c r="I1248" s="16" t="s">
        <v>1547</v>
      </c>
      <c r="J1248" s="16" t="s">
        <v>943</v>
      </c>
      <c r="K1248" s="16" t="s">
        <v>1548</v>
      </c>
      <c r="L1248" s="16" t="s">
        <v>85</v>
      </c>
      <c r="M1248" s="16" t="s">
        <v>984</v>
      </c>
      <c r="N1248" s="16" t="s">
        <v>914</v>
      </c>
      <c r="O1248" s="16" t="s">
        <v>985</v>
      </c>
      <c r="P1248" s="16" t="s">
        <v>914</v>
      </c>
      <c r="Q1248" s="16" t="s">
        <v>985</v>
      </c>
      <c r="R1248" s="16" t="s">
        <v>915</v>
      </c>
      <c r="S1248" s="16" t="s">
        <v>915</v>
      </c>
      <c r="T1248" s="16" t="s">
        <v>986</v>
      </c>
      <c r="U1248" s="16" t="s">
        <v>987</v>
      </c>
      <c r="V1248" s="16" t="s">
        <v>916</v>
      </c>
      <c r="W1248" s="16" t="s">
        <v>987</v>
      </c>
      <c r="X1248" s="16" t="s">
        <v>934</v>
      </c>
      <c r="Y1248" s="16" t="s">
        <v>934</v>
      </c>
      <c r="Z1248" s="16" t="s">
        <v>935</v>
      </c>
      <c r="DA1248" s="405" t="s">
        <v>5</v>
      </c>
      <c r="DB1248" s="405" t="s">
        <v>363</v>
      </c>
      <c r="DC1248" s="406" t="s">
        <v>85</v>
      </c>
      <c r="DD1248" s="405" t="s">
        <v>917</v>
      </c>
      <c r="DE1248" s="405" t="s">
        <v>5</v>
      </c>
      <c r="DF1248" s="406" t="s">
        <v>85</v>
      </c>
      <c r="DG1248" s="407">
        <v>45866</v>
      </c>
      <c r="DH1248" s="405" t="s">
        <v>2061</v>
      </c>
      <c r="DI1248" s="406">
        <v>465455</v>
      </c>
      <c r="DJ1248" s="408">
        <v>5</v>
      </c>
      <c r="DK1248" s="405">
        <v>1</v>
      </c>
      <c r="DL1248" s="82">
        <v>340.55</v>
      </c>
      <c r="DM1248" s="409">
        <v>1.70275</v>
      </c>
      <c r="DN1248" s="82" t="s">
        <v>85</v>
      </c>
      <c r="DO1248" s="82" t="s">
        <v>85</v>
      </c>
      <c r="DP1248" s="410" t="s">
        <v>85</v>
      </c>
    </row>
    <row r="1249" spans="1:120" x14ac:dyDescent="0.25">
      <c r="A1249" s="16" t="s">
        <v>2064</v>
      </c>
      <c r="B1249" s="16" t="s">
        <v>2065</v>
      </c>
      <c r="C1249" s="16" t="s">
        <v>2066</v>
      </c>
      <c r="D1249" s="16" t="s">
        <v>1885</v>
      </c>
      <c r="E1249" s="16" t="s">
        <v>2067</v>
      </c>
      <c r="F1249" s="16" t="s">
        <v>2068</v>
      </c>
      <c r="G1249" s="16" t="s">
        <v>2069</v>
      </c>
      <c r="H1249" s="16" t="s">
        <v>2070</v>
      </c>
      <c r="I1249" s="16" t="s">
        <v>1598</v>
      </c>
      <c r="J1249" s="16" t="s">
        <v>995</v>
      </c>
      <c r="K1249" s="16" t="s">
        <v>1599</v>
      </c>
      <c r="L1249" s="16" t="s">
        <v>85</v>
      </c>
      <c r="M1249" s="16" t="s">
        <v>1165</v>
      </c>
      <c r="N1249" s="16" t="s">
        <v>914</v>
      </c>
      <c r="O1249" s="16" t="s">
        <v>1166</v>
      </c>
      <c r="P1249" s="16" t="s">
        <v>914</v>
      </c>
      <c r="Q1249" s="16" t="s">
        <v>1166</v>
      </c>
      <c r="R1249" s="16" t="s">
        <v>915</v>
      </c>
      <c r="S1249" s="16" t="s">
        <v>915</v>
      </c>
      <c r="T1249" s="16" t="s">
        <v>1167</v>
      </c>
      <c r="U1249" s="16" t="s">
        <v>1168</v>
      </c>
      <c r="V1249" s="16" t="s">
        <v>916</v>
      </c>
      <c r="W1249" s="16" t="s">
        <v>1168</v>
      </c>
      <c r="X1249" s="16" t="s">
        <v>934</v>
      </c>
      <c r="Y1249" s="16" t="s">
        <v>934</v>
      </c>
      <c r="Z1249" s="16" t="s">
        <v>935</v>
      </c>
      <c r="DA1249" s="405" t="s">
        <v>5</v>
      </c>
      <c r="DB1249" s="405" t="s">
        <v>363</v>
      </c>
      <c r="DC1249" s="406" t="s">
        <v>85</v>
      </c>
      <c r="DD1249" s="405" t="s">
        <v>917</v>
      </c>
      <c r="DE1249" s="405" t="s">
        <v>5</v>
      </c>
      <c r="DF1249" s="406" t="s">
        <v>85</v>
      </c>
      <c r="DG1249" s="407">
        <v>45866</v>
      </c>
      <c r="DH1249" s="405" t="s">
        <v>2067</v>
      </c>
      <c r="DI1249" s="406">
        <v>465455</v>
      </c>
      <c r="DJ1249" s="408">
        <v>5</v>
      </c>
      <c r="DK1249" s="405">
        <v>1</v>
      </c>
      <c r="DL1249" s="82">
        <v>468.28</v>
      </c>
      <c r="DM1249" s="409">
        <v>2.3413999999999997</v>
      </c>
      <c r="DN1249" s="82" t="s">
        <v>85</v>
      </c>
      <c r="DO1249" s="82" t="s">
        <v>85</v>
      </c>
      <c r="DP1249" s="410" t="s">
        <v>85</v>
      </c>
    </row>
    <row r="1250" spans="1:120" x14ac:dyDescent="0.25">
      <c r="A1250" s="16" t="s">
        <v>2071</v>
      </c>
      <c r="B1250" s="16" t="s">
        <v>2072</v>
      </c>
      <c r="C1250" s="16" t="s">
        <v>2073</v>
      </c>
      <c r="D1250" s="16" t="s">
        <v>1885</v>
      </c>
      <c r="E1250" s="16" t="s">
        <v>2074</v>
      </c>
      <c r="F1250" s="16" t="s">
        <v>2075</v>
      </c>
      <c r="G1250" s="16" t="s">
        <v>2076</v>
      </c>
      <c r="H1250" s="16" t="s">
        <v>2075</v>
      </c>
      <c r="I1250" s="16" t="s">
        <v>1386</v>
      </c>
      <c r="J1250" s="16" t="s">
        <v>1109</v>
      </c>
      <c r="K1250" s="16" t="s">
        <v>1387</v>
      </c>
      <c r="L1250" s="16" t="s">
        <v>85</v>
      </c>
      <c r="M1250" s="16" t="s">
        <v>1311</v>
      </c>
      <c r="N1250" s="16" t="s">
        <v>914</v>
      </c>
      <c r="O1250" s="16" t="s">
        <v>1312</v>
      </c>
      <c r="P1250" s="16" t="s">
        <v>914</v>
      </c>
      <c r="Q1250" s="16" t="s">
        <v>1312</v>
      </c>
      <c r="R1250" s="16" t="s">
        <v>915</v>
      </c>
      <c r="S1250" s="16" t="s">
        <v>915</v>
      </c>
      <c r="T1250" s="16" t="s">
        <v>1311</v>
      </c>
      <c r="U1250" s="16" t="s">
        <v>1313</v>
      </c>
      <c r="V1250" s="16" t="s">
        <v>916</v>
      </c>
      <c r="W1250" s="16" t="s">
        <v>1313</v>
      </c>
      <c r="X1250" s="16" t="s">
        <v>934</v>
      </c>
      <c r="Y1250" s="16" t="s">
        <v>934</v>
      </c>
      <c r="Z1250" s="16" t="s">
        <v>935</v>
      </c>
      <c r="DA1250" s="405" t="s">
        <v>5</v>
      </c>
      <c r="DB1250" s="405" t="s">
        <v>363</v>
      </c>
      <c r="DC1250" s="406" t="s">
        <v>85</v>
      </c>
      <c r="DD1250" s="405" t="s">
        <v>917</v>
      </c>
      <c r="DE1250" s="405" t="s">
        <v>5</v>
      </c>
      <c r="DF1250" s="406" t="s">
        <v>85</v>
      </c>
      <c r="DG1250" s="407">
        <v>45866</v>
      </c>
      <c r="DH1250" s="405" t="s">
        <v>2074</v>
      </c>
      <c r="DI1250" s="406">
        <v>465455</v>
      </c>
      <c r="DJ1250" s="408">
        <v>5</v>
      </c>
      <c r="DK1250" s="405">
        <v>1</v>
      </c>
      <c r="DL1250" s="82">
        <v>531.54</v>
      </c>
      <c r="DM1250" s="409">
        <v>2.6576999999999997</v>
      </c>
      <c r="DN1250" s="82" t="s">
        <v>85</v>
      </c>
      <c r="DO1250" s="82" t="s">
        <v>85</v>
      </c>
      <c r="DP1250" s="410" t="s">
        <v>85</v>
      </c>
    </row>
    <row r="1251" spans="1:120" x14ac:dyDescent="0.25">
      <c r="A1251" s="16" t="s">
        <v>2077</v>
      </c>
      <c r="B1251" s="16" t="s">
        <v>2078</v>
      </c>
      <c r="C1251" s="16" t="s">
        <v>2079</v>
      </c>
      <c r="D1251" s="16" t="s">
        <v>1885</v>
      </c>
      <c r="E1251" s="16" t="s">
        <v>2080</v>
      </c>
      <c r="F1251" s="16" t="s">
        <v>2081</v>
      </c>
      <c r="G1251" s="16" t="s">
        <v>2082</v>
      </c>
      <c r="H1251" s="16" t="s">
        <v>2083</v>
      </c>
      <c r="I1251" s="16" t="s">
        <v>1818</v>
      </c>
      <c r="J1251" s="16" t="s">
        <v>928</v>
      </c>
      <c r="K1251" s="16" t="s">
        <v>1819</v>
      </c>
      <c r="L1251" s="16" t="s">
        <v>85</v>
      </c>
      <c r="M1251" s="16" t="s">
        <v>1322</v>
      </c>
      <c r="N1251" s="16" t="s">
        <v>914</v>
      </c>
      <c r="O1251" s="16" t="s">
        <v>1323</v>
      </c>
      <c r="P1251" s="16" t="s">
        <v>914</v>
      </c>
      <c r="Q1251" s="16" t="s">
        <v>1323</v>
      </c>
      <c r="R1251" s="16" t="s">
        <v>915</v>
      </c>
      <c r="S1251" s="16" t="s">
        <v>915</v>
      </c>
      <c r="T1251" s="16" t="s">
        <v>1322</v>
      </c>
      <c r="U1251" s="16" t="s">
        <v>1324</v>
      </c>
      <c r="V1251" s="16" t="s">
        <v>916</v>
      </c>
      <c r="W1251" s="16" t="s">
        <v>1324</v>
      </c>
      <c r="X1251" s="16" t="s">
        <v>934</v>
      </c>
      <c r="Y1251" s="16" t="s">
        <v>934</v>
      </c>
      <c r="Z1251" s="16" t="s">
        <v>935</v>
      </c>
      <c r="DA1251" s="405" t="s">
        <v>5</v>
      </c>
      <c r="DB1251" s="405" t="s">
        <v>363</v>
      </c>
      <c r="DC1251" s="406" t="s">
        <v>85</v>
      </c>
      <c r="DD1251" s="405" t="s">
        <v>917</v>
      </c>
      <c r="DE1251" s="405" t="s">
        <v>5</v>
      </c>
      <c r="DF1251" s="406" t="s">
        <v>85</v>
      </c>
      <c r="DG1251" s="407">
        <v>45866</v>
      </c>
      <c r="DH1251" s="405" t="s">
        <v>2080</v>
      </c>
      <c r="DI1251" s="406">
        <v>465455</v>
      </c>
      <c r="DJ1251" s="408">
        <v>5</v>
      </c>
      <c r="DK1251" s="405">
        <v>1</v>
      </c>
      <c r="DL1251" s="82">
        <v>332.47</v>
      </c>
      <c r="DM1251" s="409">
        <v>1.6623500000000002</v>
      </c>
      <c r="DN1251" s="82" t="s">
        <v>85</v>
      </c>
      <c r="DO1251" s="82" t="s">
        <v>85</v>
      </c>
      <c r="DP1251" s="410" t="s">
        <v>85</v>
      </c>
    </row>
    <row r="1252" spans="1:120" x14ac:dyDescent="0.25">
      <c r="A1252" s="16" t="s">
        <v>2084</v>
      </c>
      <c r="B1252" s="16" t="s">
        <v>2085</v>
      </c>
      <c r="C1252" s="16" t="s">
        <v>2086</v>
      </c>
      <c r="D1252" s="16" t="s">
        <v>1885</v>
      </c>
      <c r="E1252" s="16" t="s">
        <v>2087</v>
      </c>
      <c r="F1252" s="16" t="s">
        <v>2088</v>
      </c>
      <c r="G1252" s="16" t="s">
        <v>2089</v>
      </c>
      <c r="H1252" s="16" t="s">
        <v>2090</v>
      </c>
      <c r="I1252" s="16" t="s">
        <v>2091</v>
      </c>
      <c r="J1252" s="16" t="s">
        <v>928</v>
      </c>
      <c r="K1252" s="16" t="s">
        <v>2092</v>
      </c>
      <c r="L1252" s="16" t="s">
        <v>85</v>
      </c>
      <c r="M1252" s="16" t="s">
        <v>1322</v>
      </c>
      <c r="N1252" s="16" t="s">
        <v>914</v>
      </c>
      <c r="O1252" s="16" t="s">
        <v>1323</v>
      </c>
      <c r="P1252" s="16" t="s">
        <v>914</v>
      </c>
      <c r="Q1252" s="16" t="s">
        <v>1323</v>
      </c>
      <c r="R1252" s="16" t="s">
        <v>915</v>
      </c>
      <c r="S1252" s="16" t="s">
        <v>915</v>
      </c>
      <c r="T1252" s="16" t="s">
        <v>1322</v>
      </c>
      <c r="U1252" s="16" t="s">
        <v>1324</v>
      </c>
      <c r="V1252" s="16" t="s">
        <v>916</v>
      </c>
      <c r="W1252" s="16" t="s">
        <v>1324</v>
      </c>
      <c r="X1252" s="16" t="s">
        <v>934</v>
      </c>
      <c r="Y1252" s="16" t="s">
        <v>934</v>
      </c>
      <c r="Z1252" s="16" t="s">
        <v>935</v>
      </c>
      <c r="DA1252" s="405" t="s">
        <v>5</v>
      </c>
      <c r="DB1252" s="405" t="s">
        <v>363</v>
      </c>
      <c r="DC1252" s="406" t="s">
        <v>85</v>
      </c>
      <c r="DD1252" s="405" t="s">
        <v>917</v>
      </c>
      <c r="DE1252" s="405" t="s">
        <v>5</v>
      </c>
      <c r="DF1252" s="406" t="s">
        <v>85</v>
      </c>
      <c r="DG1252" s="407">
        <v>45866</v>
      </c>
      <c r="DH1252" s="405" t="s">
        <v>2087</v>
      </c>
      <c r="DI1252" s="406">
        <v>465455</v>
      </c>
      <c r="DJ1252" s="408">
        <v>5</v>
      </c>
      <c r="DK1252" s="405">
        <v>1</v>
      </c>
      <c r="DL1252" s="82">
        <v>332.47</v>
      </c>
      <c r="DM1252" s="409">
        <v>1.6623500000000002</v>
      </c>
      <c r="DN1252" s="82" t="s">
        <v>85</v>
      </c>
      <c r="DO1252" s="82" t="s">
        <v>85</v>
      </c>
      <c r="DP1252" s="410" t="s">
        <v>85</v>
      </c>
    </row>
    <row r="1253" spans="1:120" x14ac:dyDescent="0.25">
      <c r="A1253" s="16" t="s">
        <v>2084</v>
      </c>
      <c r="B1253" s="16" t="s">
        <v>2085</v>
      </c>
      <c r="C1253" s="16" t="s">
        <v>2086</v>
      </c>
      <c r="D1253" s="16" t="s">
        <v>1885</v>
      </c>
      <c r="E1253" s="16" t="s">
        <v>2087</v>
      </c>
      <c r="F1253" s="16" t="s">
        <v>2088</v>
      </c>
      <c r="G1253" s="16" t="s">
        <v>2089</v>
      </c>
      <c r="H1253" s="16" t="s">
        <v>2090</v>
      </c>
      <c r="I1253" s="16" t="s">
        <v>2093</v>
      </c>
      <c r="J1253" s="16" t="s">
        <v>928</v>
      </c>
      <c r="K1253" s="16" t="s">
        <v>2094</v>
      </c>
      <c r="L1253" s="16" t="s">
        <v>85</v>
      </c>
      <c r="M1253" s="16" t="s">
        <v>1322</v>
      </c>
      <c r="N1253" s="16" t="s">
        <v>914</v>
      </c>
      <c r="O1253" s="16" t="s">
        <v>1323</v>
      </c>
      <c r="P1253" s="16" t="s">
        <v>914</v>
      </c>
      <c r="Q1253" s="16" t="s">
        <v>1323</v>
      </c>
      <c r="R1253" s="16" t="s">
        <v>915</v>
      </c>
      <c r="S1253" s="16" t="s">
        <v>915</v>
      </c>
      <c r="T1253" s="16" t="s">
        <v>1322</v>
      </c>
      <c r="U1253" s="16" t="s">
        <v>1324</v>
      </c>
      <c r="V1253" s="16" t="s">
        <v>916</v>
      </c>
      <c r="W1253" s="16" t="s">
        <v>1324</v>
      </c>
      <c r="X1253" s="16" t="s">
        <v>934</v>
      </c>
      <c r="Y1253" s="16" t="s">
        <v>934</v>
      </c>
      <c r="Z1253" s="16" t="s">
        <v>935</v>
      </c>
      <c r="DA1253" s="405" t="s">
        <v>5</v>
      </c>
      <c r="DB1253" s="405" t="s">
        <v>363</v>
      </c>
      <c r="DC1253" s="406" t="s">
        <v>85</v>
      </c>
      <c r="DD1253" s="405" t="s">
        <v>917</v>
      </c>
      <c r="DE1253" s="405" t="s">
        <v>5</v>
      </c>
      <c r="DF1253" s="406" t="s">
        <v>85</v>
      </c>
      <c r="DG1253" s="407">
        <v>45866</v>
      </c>
      <c r="DH1253" s="405" t="s">
        <v>2087</v>
      </c>
      <c r="DI1253" s="406">
        <v>465455</v>
      </c>
      <c r="DJ1253" s="408">
        <v>5</v>
      </c>
      <c r="DK1253" s="405">
        <v>1</v>
      </c>
      <c r="DL1253" s="82">
        <v>332.47</v>
      </c>
      <c r="DM1253" s="409">
        <v>1.6623500000000002</v>
      </c>
      <c r="DN1253" s="82" t="s">
        <v>85</v>
      </c>
      <c r="DO1253" s="82" t="s">
        <v>85</v>
      </c>
      <c r="DP1253" s="410" t="s">
        <v>85</v>
      </c>
    </row>
    <row r="1254" spans="1:120" x14ac:dyDescent="0.25">
      <c r="A1254" s="16" t="s">
        <v>2084</v>
      </c>
      <c r="B1254" s="16" t="s">
        <v>2085</v>
      </c>
      <c r="C1254" s="16" t="s">
        <v>2086</v>
      </c>
      <c r="D1254" s="16" t="s">
        <v>1885</v>
      </c>
      <c r="E1254" s="16" t="s">
        <v>2087</v>
      </c>
      <c r="F1254" s="16" t="s">
        <v>2088</v>
      </c>
      <c r="G1254" s="16" t="s">
        <v>2089</v>
      </c>
      <c r="H1254" s="16" t="s">
        <v>2090</v>
      </c>
      <c r="I1254" s="16" t="s">
        <v>1809</v>
      </c>
      <c r="J1254" s="16" t="s">
        <v>928</v>
      </c>
      <c r="K1254" s="16" t="s">
        <v>1810</v>
      </c>
      <c r="L1254" s="16" t="s">
        <v>85</v>
      </c>
      <c r="M1254" s="16" t="s">
        <v>1322</v>
      </c>
      <c r="N1254" s="16" t="s">
        <v>914</v>
      </c>
      <c r="O1254" s="16" t="s">
        <v>1323</v>
      </c>
      <c r="P1254" s="16" t="s">
        <v>914</v>
      </c>
      <c r="Q1254" s="16" t="s">
        <v>1323</v>
      </c>
      <c r="R1254" s="16" t="s">
        <v>915</v>
      </c>
      <c r="S1254" s="16" t="s">
        <v>915</v>
      </c>
      <c r="T1254" s="16" t="s">
        <v>1322</v>
      </c>
      <c r="U1254" s="16" t="s">
        <v>1324</v>
      </c>
      <c r="V1254" s="16" t="s">
        <v>916</v>
      </c>
      <c r="W1254" s="16" t="s">
        <v>1324</v>
      </c>
      <c r="X1254" s="16" t="s">
        <v>934</v>
      </c>
      <c r="Y1254" s="16" t="s">
        <v>934</v>
      </c>
      <c r="Z1254" s="16" t="s">
        <v>935</v>
      </c>
      <c r="DA1254" s="405" t="s">
        <v>5</v>
      </c>
      <c r="DB1254" s="405" t="s">
        <v>363</v>
      </c>
      <c r="DC1254" s="406" t="s">
        <v>85</v>
      </c>
      <c r="DD1254" s="405" t="s">
        <v>917</v>
      </c>
      <c r="DE1254" s="405" t="s">
        <v>5</v>
      </c>
      <c r="DF1254" s="406" t="s">
        <v>85</v>
      </c>
      <c r="DG1254" s="407">
        <v>45866</v>
      </c>
      <c r="DH1254" s="405" t="s">
        <v>2087</v>
      </c>
      <c r="DI1254" s="406">
        <v>465455</v>
      </c>
      <c r="DJ1254" s="408">
        <v>5</v>
      </c>
      <c r="DK1254" s="405">
        <v>1</v>
      </c>
      <c r="DL1254" s="82">
        <v>332.47</v>
      </c>
      <c r="DM1254" s="409">
        <v>1.6623500000000002</v>
      </c>
      <c r="DN1254" s="82" t="s">
        <v>85</v>
      </c>
      <c r="DO1254" s="82" t="s">
        <v>85</v>
      </c>
      <c r="DP1254" s="410" t="s">
        <v>85</v>
      </c>
    </row>
    <row r="1255" spans="1:120" x14ac:dyDescent="0.25">
      <c r="A1255" s="16" t="s">
        <v>2095</v>
      </c>
      <c r="B1255" s="16" t="s">
        <v>2096</v>
      </c>
      <c r="C1255" s="16" t="s">
        <v>2097</v>
      </c>
      <c r="D1255" s="16" t="s">
        <v>1885</v>
      </c>
      <c r="E1255" s="16" t="s">
        <v>2098</v>
      </c>
      <c r="F1255" s="16" t="s">
        <v>2099</v>
      </c>
      <c r="G1255" s="16" t="s">
        <v>2100</v>
      </c>
      <c r="H1255" s="16" t="s">
        <v>2101</v>
      </c>
      <c r="I1255" s="16" t="s">
        <v>1189</v>
      </c>
      <c r="J1255" s="16" t="s">
        <v>928</v>
      </c>
      <c r="K1255" s="16" t="s">
        <v>1190</v>
      </c>
      <c r="L1255" s="16" t="s">
        <v>85</v>
      </c>
      <c r="M1255" s="16" t="s">
        <v>1322</v>
      </c>
      <c r="N1255" s="16" t="s">
        <v>914</v>
      </c>
      <c r="O1255" s="16" t="s">
        <v>1323</v>
      </c>
      <c r="P1255" s="16" t="s">
        <v>914</v>
      </c>
      <c r="Q1255" s="16" t="s">
        <v>1323</v>
      </c>
      <c r="R1255" s="16" t="s">
        <v>915</v>
      </c>
      <c r="S1255" s="16" t="s">
        <v>915</v>
      </c>
      <c r="T1255" s="16" t="s">
        <v>1322</v>
      </c>
      <c r="U1255" s="16" t="s">
        <v>1324</v>
      </c>
      <c r="V1255" s="16" t="s">
        <v>916</v>
      </c>
      <c r="W1255" s="16" t="s">
        <v>1324</v>
      </c>
      <c r="X1255" s="16" t="s">
        <v>934</v>
      </c>
      <c r="Y1255" s="16" t="s">
        <v>934</v>
      </c>
      <c r="Z1255" s="16" t="s">
        <v>935</v>
      </c>
      <c r="DA1255" s="405" t="s">
        <v>5</v>
      </c>
      <c r="DB1255" s="405" t="s">
        <v>363</v>
      </c>
      <c r="DC1255" s="406" t="s">
        <v>85</v>
      </c>
      <c r="DD1255" s="405" t="s">
        <v>917</v>
      </c>
      <c r="DE1255" s="405" t="s">
        <v>5</v>
      </c>
      <c r="DF1255" s="406" t="s">
        <v>85</v>
      </c>
      <c r="DG1255" s="407">
        <v>45866</v>
      </c>
      <c r="DH1255" s="405" t="s">
        <v>2098</v>
      </c>
      <c r="DI1255" s="406">
        <v>465455</v>
      </c>
      <c r="DJ1255" s="408">
        <v>5</v>
      </c>
      <c r="DK1255" s="405">
        <v>1</v>
      </c>
      <c r="DL1255" s="82">
        <v>332.47</v>
      </c>
      <c r="DM1255" s="409">
        <v>1.6623500000000002</v>
      </c>
      <c r="DN1255" s="82" t="s">
        <v>85</v>
      </c>
      <c r="DO1255" s="82" t="s">
        <v>85</v>
      </c>
      <c r="DP1255" s="410" t="s">
        <v>85</v>
      </c>
    </row>
    <row r="1256" spans="1:120" x14ac:dyDescent="0.25">
      <c r="A1256" s="16" t="s">
        <v>2102</v>
      </c>
      <c r="B1256" s="16" t="s">
        <v>2103</v>
      </c>
      <c r="C1256" s="16" t="s">
        <v>2104</v>
      </c>
      <c r="D1256" s="16" t="s">
        <v>1885</v>
      </c>
      <c r="E1256" s="16" t="s">
        <v>2105</v>
      </c>
      <c r="F1256" s="16" t="s">
        <v>2106</v>
      </c>
      <c r="G1256" s="16" t="s">
        <v>2107</v>
      </c>
      <c r="H1256" s="16" t="s">
        <v>2108</v>
      </c>
      <c r="I1256" s="16" t="s">
        <v>2109</v>
      </c>
      <c r="J1256" s="16" t="s">
        <v>928</v>
      </c>
      <c r="K1256" s="16" t="s">
        <v>2110</v>
      </c>
      <c r="L1256" s="16" t="s">
        <v>85</v>
      </c>
      <c r="M1256" s="16" t="s">
        <v>1322</v>
      </c>
      <c r="N1256" s="16" t="s">
        <v>914</v>
      </c>
      <c r="O1256" s="16" t="s">
        <v>1323</v>
      </c>
      <c r="P1256" s="16" t="s">
        <v>914</v>
      </c>
      <c r="Q1256" s="16" t="s">
        <v>1323</v>
      </c>
      <c r="R1256" s="16" t="s">
        <v>915</v>
      </c>
      <c r="S1256" s="16" t="s">
        <v>915</v>
      </c>
      <c r="T1256" s="16" t="s">
        <v>1322</v>
      </c>
      <c r="U1256" s="16" t="s">
        <v>1324</v>
      </c>
      <c r="V1256" s="16" t="s">
        <v>916</v>
      </c>
      <c r="W1256" s="16" t="s">
        <v>1324</v>
      </c>
      <c r="X1256" s="16" t="s">
        <v>934</v>
      </c>
      <c r="Y1256" s="16" t="s">
        <v>934</v>
      </c>
      <c r="Z1256" s="16" t="s">
        <v>935</v>
      </c>
      <c r="DA1256" s="405" t="s">
        <v>5</v>
      </c>
      <c r="DB1256" s="405" t="s">
        <v>363</v>
      </c>
      <c r="DC1256" s="406" t="s">
        <v>85</v>
      </c>
      <c r="DD1256" s="405" t="s">
        <v>917</v>
      </c>
      <c r="DE1256" s="405" t="s">
        <v>5</v>
      </c>
      <c r="DF1256" s="406" t="s">
        <v>85</v>
      </c>
      <c r="DG1256" s="407">
        <v>45866</v>
      </c>
      <c r="DH1256" s="405" t="s">
        <v>2105</v>
      </c>
      <c r="DI1256" s="406">
        <v>465455</v>
      </c>
      <c r="DJ1256" s="408">
        <v>5</v>
      </c>
      <c r="DK1256" s="405">
        <v>1</v>
      </c>
      <c r="DL1256" s="82">
        <v>332.47</v>
      </c>
      <c r="DM1256" s="409">
        <v>1.6623500000000002</v>
      </c>
      <c r="DN1256" s="82" t="s">
        <v>85</v>
      </c>
      <c r="DO1256" s="82" t="s">
        <v>85</v>
      </c>
      <c r="DP1256" s="410" t="s">
        <v>85</v>
      </c>
    </row>
    <row r="1257" spans="1:120" x14ac:dyDescent="0.25">
      <c r="A1257" s="16" t="s">
        <v>2111</v>
      </c>
      <c r="B1257" s="16" t="s">
        <v>2112</v>
      </c>
      <c r="C1257" s="16" t="s">
        <v>2113</v>
      </c>
      <c r="D1257" s="16" t="s">
        <v>1885</v>
      </c>
      <c r="E1257" s="16" t="s">
        <v>2114</v>
      </c>
      <c r="F1257" s="16" t="s">
        <v>2115</v>
      </c>
      <c r="G1257" s="16" t="s">
        <v>2116</v>
      </c>
      <c r="H1257" s="16" t="s">
        <v>2117</v>
      </c>
      <c r="I1257" s="16" t="s">
        <v>1423</v>
      </c>
      <c r="J1257" s="16" t="s">
        <v>928</v>
      </c>
      <c r="K1257" s="16" t="s">
        <v>1424</v>
      </c>
      <c r="L1257" s="16" t="s">
        <v>85</v>
      </c>
      <c r="M1257" s="16" t="s">
        <v>1322</v>
      </c>
      <c r="N1257" s="16" t="s">
        <v>914</v>
      </c>
      <c r="O1257" s="16" t="s">
        <v>1323</v>
      </c>
      <c r="P1257" s="16" t="s">
        <v>914</v>
      </c>
      <c r="Q1257" s="16" t="s">
        <v>1323</v>
      </c>
      <c r="R1257" s="16" t="s">
        <v>915</v>
      </c>
      <c r="S1257" s="16" t="s">
        <v>915</v>
      </c>
      <c r="T1257" s="16" t="s">
        <v>1322</v>
      </c>
      <c r="U1257" s="16" t="s">
        <v>1324</v>
      </c>
      <c r="V1257" s="16" t="s">
        <v>916</v>
      </c>
      <c r="W1257" s="16" t="s">
        <v>1324</v>
      </c>
      <c r="X1257" s="16" t="s">
        <v>934</v>
      </c>
      <c r="Y1257" s="16" t="s">
        <v>934</v>
      </c>
      <c r="Z1257" s="16" t="s">
        <v>935</v>
      </c>
      <c r="DA1257" s="405" t="s">
        <v>5</v>
      </c>
      <c r="DB1257" s="405" t="s">
        <v>363</v>
      </c>
      <c r="DC1257" s="406" t="s">
        <v>85</v>
      </c>
      <c r="DD1257" s="405" t="s">
        <v>917</v>
      </c>
      <c r="DE1257" s="405" t="s">
        <v>5</v>
      </c>
      <c r="DF1257" s="406" t="s">
        <v>85</v>
      </c>
      <c r="DG1257" s="407">
        <v>45866</v>
      </c>
      <c r="DH1257" s="405" t="s">
        <v>2114</v>
      </c>
      <c r="DI1257" s="406">
        <v>465455</v>
      </c>
      <c r="DJ1257" s="408">
        <v>5</v>
      </c>
      <c r="DK1257" s="405">
        <v>1</v>
      </c>
      <c r="DL1257" s="82">
        <v>332.47</v>
      </c>
      <c r="DM1257" s="409">
        <v>1.6623500000000002</v>
      </c>
      <c r="DN1257" s="82" t="s">
        <v>85</v>
      </c>
      <c r="DO1257" s="82" t="s">
        <v>85</v>
      </c>
      <c r="DP1257" s="410" t="s">
        <v>85</v>
      </c>
    </row>
    <row r="1258" spans="1:120" x14ac:dyDescent="0.25">
      <c r="A1258" s="16" t="s">
        <v>2111</v>
      </c>
      <c r="B1258" s="16" t="s">
        <v>2112</v>
      </c>
      <c r="C1258" s="16" t="s">
        <v>2113</v>
      </c>
      <c r="D1258" s="16" t="s">
        <v>1885</v>
      </c>
      <c r="E1258" s="16" t="s">
        <v>2114</v>
      </c>
      <c r="F1258" s="16" t="s">
        <v>2115</v>
      </c>
      <c r="G1258" s="16" t="s">
        <v>2116</v>
      </c>
      <c r="H1258" s="16" t="s">
        <v>2117</v>
      </c>
      <c r="I1258" s="16" t="s">
        <v>2118</v>
      </c>
      <c r="J1258" s="16" t="s">
        <v>928</v>
      </c>
      <c r="K1258" s="16" t="s">
        <v>2119</v>
      </c>
      <c r="L1258" s="16" t="s">
        <v>85</v>
      </c>
      <c r="M1258" s="16" t="s">
        <v>1322</v>
      </c>
      <c r="N1258" s="16" t="s">
        <v>914</v>
      </c>
      <c r="O1258" s="16" t="s">
        <v>1323</v>
      </c>
      <c r="P1258" s="16" t="s">
        <v>914</v>
      </c>
      <c r="Q1258" s="16" t="s">
        <v>1323</v>
      </c>
      <c r="R1258" s="16" t="s">
        <v>915</v>
      </c>
      <c r="S1258" s="16" t="s">
        <v>915</v>
      </c>
      <c r="T1258" s="16" t="s">
        <v>1322</v>
      </c>
      <c r="U1258" s="16" t="s">
        <v>1324</v>
      </c>
      <c r="V1258" s="16" t="s">
        <v>916</v>
      </c>
      <c r="W1258" s="16" t="s">
        <v>1324</v>
      </c>
      <c r="X1258" s="16" t="s">
        <v>934</v>
      </c>
      <c r="Y1258" s="16" t="s">
        <v>934</v>
      </c>
      <c r="Z1258" s="16" t="s">
        <v>935</v>
      </c>
      <c r="DA1258" s="405" t="s">
        <v>5</v>
      </c>
      <c r="DB1258" s="405" t="s">
        <v>363</v>
      </c>
      <c r="DC1258" s="406" t="s">
        <v>85</v>
      </c>
      <c r="DD1258" s="405" t="s">
        <v>917</v>
      </c>
      <c r="DE1258" s="405" t="s">
        <v>5</v>
      </c>
      <c r="DF1258" s="406" t="s">
        <v>85</v>
      </c>
      <c r="DG1258" s="407">
        <v>45866</v>
      </c>
      <c r="DH1258" s="405" t="s">
        <v>2114</v>
      </c>
      <c r="DI1258" s="406">
        <v>465455</v>
      </c>
      <c r="DJ1258" s="408">
        <v>5</v>
      </c>
      <c r="DK1258" s="405">
        <v>1</v>
      </c>
      <c r="DL1258" s="82">
        <v>332.47</v>
      </c>
      <c r="DM1258" s="409">
        <v>1.6623500000000002</v>
      </c>
      <c r="DN1258" s="82" t="s">
        <v>85</v>
      </c>
      <c r="DO1258" s="82" t="s">
        <v>85</v>
      </c>
      <c r="DP1258" s="410" t="s">
        <v>85</v>
      </c>
    </row>
    <row r="1259" spans="1:120" x14ac:dyDescent="0.25">
      <c r="A1259" s="16" t="s">
        <v>2120</v>
      </c>
      <c r="B1259" s="16" t="s">
        <v>2121</v>
      </c>
      <c r="C1259" s="16" t="s">
        <v>2122</v>
      </c>
      <c r="D1259" s="16" t="s">
        <v>1885</v>
      </c>
      <c r="E1259" s="16" t="s">
        <v>2123</v>
      </c>
      <c r="F1259" s="16" t="s">
        <v>2124</v>
      </c>
      <c r="G1259" s="16" t="s">
        <v>2125</v>
      </c>
      <c r="H1259" s="16" t="s">
        <v>2126</v>
      </c>
      <c r="I1259" s="16" t="s">
        <v>2127</v>
      </c>
      <c r="J1259" s="16" t="s">
        <v>956</v>
      </c>
      <c r="K1259" s="16" t="s">
        <v>2128</v>
      </c>
      <c r="L1259" s="16" t="s">
        <v>85</v>
      </c>
      <c r="M1259" s="16" t="s">
        <v>1396</v>
      </c>
      <c r="N1259" s="16" t="s">
        <v>914</v>
      </c>
      <c r="O1259" s="16" t="s">
        <v>1397</v>
      </c>
      <c r="P1259" s="16" t="s">
        <v>914</v>
      </c>
      <c r="Q1259" s="16" t="s">
        <v>1397</v>
      </c>
      <c r="R1259" s="16" t="s">
        <v>915</v>
      </c>
      <c r="S1259" s="16" t="s">
        <v>915</v>
      </c>
      <c r="T1259" s="16" t="s">
        <v>1396</v>
      </c>
      <c r="U1259" s="16" t="s">
        <v>1398</v>
      </c>
      <c r="V1259" s="16" t="s">
        <v>916</v>
      </c>
      <c r="W1259" s="16" t="s">
        <v>1398</v>
      </c>
      <c r="X1259" s="16" t="s">
        <v>934</v>
      </c>
      <c r="Y1259" s="16" t="s">
        <v>934</v>
      </c>
      <c r="Z1259" s="16" t="s">
        <v>935</v>
      </c>
      <c r="DA1259" s="405" t="s">
        <v>5</v>
      </c>
      <c r="DB1259" s="405" t="s">
        <v>363</v>
      </c>
      <c r="DC1259" s="406" t="s">
        <v>85</v>
      </c>
      <c r="DD1259" s="405" t="s">
        <v>917</v>
      </c>
      <c r="DE1259" s="405" t="s">
        <v>5</v>
      </c>
      <c r="DF1259" s="406" t="s">
        <v>85</v>
      </c>
      <c r="DG1259" s="407">
        <v>45866</v>
      </c>
      <c r="DH1259" s="405" t="s">
        <v>2123</v>
      </c>
      <c r="DI1259" s="406">
        <v>465455</v>
      </c>
      <c r="DJ1259" s="408">
        <v>5</v>
      </c>
      <c r="DK1259" s="405">
        <v>1</v>
      </c>
      <c r="DL1259" s="82">
        <v>265.92</v>
      </c>
      <c r="DM1259" s="409">
        <v>1.3296000000000001</v>
      </c>
      <c r="DN1259" s="82" t="s">
        <v>85</v>
      </c>
      <c r="DO1259" s="82" t="s">
        <v>85</v>
      </c>
      <c r="DP1259" s="410" t="s">
        <v>85</v>
      </c>
    </row>
    <row r="1260" spans="1:120" x14ac:dyDescent="0.25">
      <c r="A1260" s="16" t="s">
        <v>2129</v>
      </c>
      <c r="B1260" s="16" t="s">
        <v>2130</v>
      </c>
      <c r="C1260" s="16" t="s">
        <v>2131</v>
      </c>
      <c r="D1260" s="16" t="s">
        <v>1885</v>
      </c>
      <c r="E1260" s="16" t="s">
        <v>2132</v>
      </c>
      <c r="F1260" s="16" t="s">
        <v>2133</v>
      </c>
      <c r="G1260" s="16" t="s">
        <v>2134</v>
      </c>
      <c r="H1260" s="16" t="s">
        <v>2135</v>
      </c>
      <c r="I1260" s="16" t="s">
        <v>2136</v>
      </c>
      <c r="J1260" s="16" t="s">
        <v>943</v>
      </c>
      <c r="K1260" s="16" t="s">
        <v>2137</v>
      </c>
      <c r="L1260" s="16" t="s">
        <v>85</v>
      </c>
      <c r="M1260" s="16" t="s">
        <v>984</v>
      </c>
      <c r="N1260" s="16" t="s">
        <v>914</v>
      </c>
      <c r="O1260" s="16" t="s">
        <v>985</v>
      </c>
      <c r="P1260" s="16" t="s">
        <v>914</v>
      </c>
      <c r="Q1260" s="16" t="s">
        <v>985</v>
      </c>
      <c r="R1260" s="16" t="s">
        <v>915</v>
      </c>
      <c r="S1260" s="16" t="s">
        <v>915</v>
      </c>
      <c r="T1260" s="16" t="s">
        <v>986</v>
      </c>
      <c r="U1260" s="16" t="s">
        <v>987</v>
      </c>
      <c r="V1260" s="16" t="s">
        <v>916</v>
      </c>
      <c r="W1260" s="16" t="s">
        <v>987</v>
      </c>
      <c r="X1260" s="16" t="s">
        <v>934</v>
      </c>
      <c r="Y1260" s="16" t="s">
        <v>934</v>
      </c>
      <c r="Z1260" s="16" t="s">
        <v>935</v>
      </c>
      <c r="DA1260" s="405" t="s">
        <v>5</v>
      </c>
      <c r="DB1260" s="405" t="s">
        <v>363</v>
      </c>
      <c r="DC1260" s="406" t="s">
        <v>85</v>
      </c>
      <c r="DD1260" s="405" t="s">
        <v>917</v>
      </c>
      <c r="DE1260" s="405" t="s">
        <v>5</v>
      </c>
      <c r="DF1260" s="406" t="s">
        <v>85</v>
      </c>
      <c r="DG1260" s="407">
        <v>45866</v>
      </c>
      <c r="DH1260" s="405" t="s">
        <v>2132</v>
      </c>
      <c r="DI1260" s="406">
        <v>465455</v>
      </c>
      <c r="DJ1260" s="408">
        <v>5</v>
      </c>
      <c r="DK1260" s="405">
        <v>1</v>
      </c>
      <c r="DL1260" s="82">
        <v>340.55</v>
      </c>
      <c r="DM1260" s="409">
        <v>1.70275</v>
      </c>
      <c r="DN1260" s="82" t="s">
        <v>85</v>
      </c>
      <c r="DO1260" s="82" t="s">
        <v>85</v>
      </c>
      <c r="DP1260" s="410" t="s">
        <v>85</v>
      </c>
    </row>
    <row r="1261" spans="1:120" x14ac:dyDescent="0.25">
      <c r="A1261" s="16" t="s">
        <v>2129</v>
      </c>
      <c r="B1261" s="16" t="s">
        <v>2130</v>
      </c>
      <c r="C1261" s="16" t="s">
        <v>2131</v>
      </c>
      <c r="D1261" s="16" t="s">
        <v>1885</v>
      </c>
      <c r="E1261" s="16" t="s">
        <v>2132</v>
      </c>
      <c r="F1261" s="16" t="s">
        <v>2133</v>
      </c>
      <c r="G1261" s="16" t="s">
        <v>2134</v>
      </c>
      <c r="H1261" s="16" t="s">
        <v>2135</v>
      </c>
      <c r="I1261" s="16" t="s">
        <v>1728</v>
      </c>
      <c r="J1261" s="16" t="s">
        <v>943</v>
      </c>
      <c r="K1261" s="16" t="s">
        <v>1729</v>
      </c>
      <c r="L1261" s="16" t="s">
        <v>85</v>
      </c>
      <c r="M1261" s="16" t="s">
        <v>984</v>
      </c>
      <c r="N1261" s="16" t="s">
        <v>914</v>
      </c>
      <c r="O1261" s="16" t="s">
        <v>985</v>
      </c>
      <c r="P1261" s="16" t="s">
        <v>914</v>
      </c>
      <c r="Q1261" s="16" t="s">
        <v>985</v>
      </c>
      <c r="R1261" s="16" t="s">
        <v>915</v>
      </c>
      <c r="S1261" s="16" t="s">
        <v>915</v>
      </c>
      <c r="T1261" s="16" t="s">
        <v>986</v>
      </c>
      <c r="U1261" s="16" t="s">
        <v>987</v>
      </c>
      <c r="V1261" s="16" t="s">
        <v>916</v>
      </c>
      <c r="W1261" s="16" t="s">
        <v>987</v>
      </c>
      <c r="X1261" s="16" t="s">
        <v>934</v>
      </c>
      <c r="Y1261" s="16" t="s">
        <v>934</v>
      </c>
      <c r="Z1261" s="16" t="s">
        <v>935</v>
      </c>
      <c r="DA1261" s="405" t="s">
        <v>5</v>
      </c>
      <c r="DB1261" s="405" t="s">
        <v>363</v>
      </c>
      <c r="DC1261" s="406" t="s">
        <v>85</v>
      </c>
      <c r="DD1261" s="405" t="s">
        <v>917</v>
      </c>
      <c r="DE1261" s="405" t="s">
        <v>5</v>
      </c>
      <c r="DF1261" s="406" t="s">
        <v>85</v>
      </c>
      <c r="DG1261" s="407">
        <v>45866</v>
      </c>
      <c r="DH1261" s="405" t="s">
        <v>2132</v>
      </c>
      <c r="DI1261" s="406">
        <v>465455</v>
      </c>
      <c r="DJ1261" s="408">
        <v>5</v>
      </c>
      <c r="DK1261" s="405">
        <v>1</v>
      </c>
      <c r="DL1261" s="82">
        <v>340.55</v>
      </c>
      <c r="DM1261" s="409">
        <v>1.70275</v>
      </c>
      <c r="DN1261" s="82" t="s">
        <v>85</v>
      </c>
      <c r="DO1261" s="82" t="s">
        <v>85</v>
      </c>
      <c r="DP1261" s="410" t="s">
        <v>85</v>
      </c>
    </row>
    <row r="1262" spans="1:120" x14ac:dyDescent="0.25">
      <c r="A1262" s="16" t="s">
        <v>2138</v>
      </c>
      <c r="B1262" s="16" t="s">
        <v>2139</v>
      </c>
      <c r="C1262" s="16" t="s">
        <v>2140</v>
      </c>
      <c r="D1262" s="16" t="s">
        <v>1885</v>
      </c>
      <c r="E1262" s="16" t="s">
        <v>2141</v>
      </c>
      <c r="F1262" s="16" t="s">
        <v>2142</v>
      </c>
      <c r="G1262" s="16" t="s">
        <v>2143</v>
      </c>
      <c r="H1262" s="16" t="s">
        <v>2144</v>
      </c>
      <c r="I1262" s="16" t="s">
        <v>2145</v>
      </c>
      <c r="J1262" s="16" t="s">
        <v>928</v>
      </c>
      <c r="K1262" s="16" t="s">
        <v>2146</v>
      </c>
      <c r="L1262" s="16" t="s">
        <v>85</v>
      </c>
      <c r="M1262" s="16" t="s">
        <v>1322</v>
      </c>
      <c r="N1262" s="16" t="s">
        <v>914</v>
      </c>
      <c r="O1262" s="16" t="s">
        <v>1323</v>
      </c>
      <c r="P1262" s="16" t="s">
        <v>914</v>
      </c>
      <c r="Q1262" s="16" t="s">
        <v>1323</v>
      </c>
      <c r="R1262" s="16" t="s">
        <v>915</v>
      </c>
      <c r="S1262" s="16" t="s">
        <v>915</v>
      </c>
      <c r="T1262" s="16" t="s">
        <v>1322</v>
      </c>
      <c r="U1262" s="16" t="s">
        <v>1324</v>
      </c>
      <c r="V1262" s="16" t="s">
        <v>916</v>
      </c>
      <c r="W1262" s="16" t="s">
        <v>1324</v>
      </c>
      <c r="X1262" s="16" t="s">
        <v>934</v>
      </c>
      <c r="Y1262" s="16" t="s">
        <v>934</v>
      </c>
      <c r="Z1262" s="16" t="s">
        <v>935</v>
      </c>
      <c r="DA1262" s="405" t="s">
        <v>5</v>
      </c>
      <c r="DB1262" s="405" t="s">
        <v>363</v>
      </c>
      <c r="DC1262" s="406" t="s">
        <v>85</v>
      </c>
      <c r="DD1262" s="405" t="s">
        <v>917</v>
      </c>
      <c r="DE1262" s="405" t="s">
        <v>5</v>
      </c>
      <c r="DF1262" s="406" t="s">
        <v>85</v>
      </c>
      <c r="DG1262" s="407">
        <v>45866</v>
      </c>
      <c r="DH1262" s="405" t="s">
        <v>2141</v>
      </c>
      <c r="DI1262" s="406">
        <v>465455</v>
      </c>
      <c r="DJ1262" s="408">
        <v>5</v>
      </c>
      <c r="DK1262" s="405">
        <v>1</v>
      </c>
      <c r="DL1262" s="82">
        <v>332.47</v>
      </c>
      <c r="DM1262" s="409">
        <v>1.6623500000000002</v>
      </c>
      <c r="DN1262" s="82" t="s">
        <v>85</v>
      </c>
      <c r="DO1262" s="82" t="s">
        <v>85</v>
      </c>
      <c r="DP1262" s="410" t="s">
        <v>85</v>
      </c>
    </row>
    <row r="1263" spans="1:120" x14ac:dyDescent="0.25">
      <c r="A1263" s="16" t="s">
        <v>2147</v>
      </c>
      <c r="B1263" s="16" t="s">
        <v>2148</v>
      </c>
      <c r="C1263" s="16" t="s">
        <v>2149</v>
      </c>
      <c r="D1263" s="16" t="s">
        <v>1885</v>
      </c>
      <c r="E1263" s="16" t="s">
        <v>2150</v>
      </c>
      <c r="F1263" s="16" t="s">
        <v>2151</v>
      </c>
      <c r="G1263" s="16" t="s">
        <v>2152</v>
      </c>
      <c r="H1263" s="16" t="s">
        <v>2153</v>
      </c>
      <c r="I1263" s="16" t="s">
        <v>927</v>
      </c>
      <c r="J1263" s="16" t="s">
        <v>928</v>
      </c>
      <c r="K1263" s="16" t="s">
        <v>929</v>
      </c>
      <c r="L1263" s="16" t="s">
        <v>85</v>
      </c>
      <c r="M1263" s="16" t="s">
        <v>1322</v>
      </c>
      <c r="N1263" s="16" t="s">
        <v>914</v>
      </c>
      <c r="O1263" s="16" t="s">
        <v>1323</v>
      </c>
      <c r="P1263" s="16" t="s">
        <v>914</v>
      </c>
      <c r="Q1263" s="16" t="s">
        <v>1323</v>
      </c>
      <c r="R1263" s="16" t="s">
        <v>915</v>
      </c>
      <c r="S1263" s="16" t="s">
        <v>915</v>
      </c>
      <c r="T1263" s="16" t="s">
        <v>1322</v>
      </c>
      <c r="U1263" s="16" t="s">
        <v>1324</v>
      </c>
      <c r="V1263" s="16" t="s">
        <v>916</v>
      </c>
      <c r="W1263" s="16" t="s">
        <v>1324</v>
      </c>
      <c r="X1263" s="16" t="s">
        <v>934</v>
      </c>
      <c r="Y1263" s="16" t="s">
        <v>934</v>
      </c>
      <c r="Z1263" s="16" t="s">
        <v>935</v>
      </c>
      <c r="DA1263" s="405" t="s">
        <v>5</v>
      </c>
      <c r="DB1263" s="405" t="s">
        <v>363</v>
      </c>
      <c r="DC1263" s="406" t="s">
        <v>85</v>
      </c>
      <c r="DD1263" s="405" t="s">
        <v>917</v>
      </c>
      <c r="DE1263" s="405" t="s">
        <v>5</v>
      </c>
      <c r="DF1263" s="406" t="s">
        <v>85</v>
      </c>
      <c r="DG1263" s="407">
        <v>45866</v>
      </c>
      <c r="DH1263" s="405" t="s">
        <v>2150</v>
      </c>
      <c r="DI1263" s="406">
        <v>465455</v>
      </c>
      <c r="DJ1263" s="408">
        <v>5</v>
      </c>
      <c r="DK1263" s="405">
        <v>1</v>
      </c>
      <c r="DL1263" s="82">
        <v>332.47</v>
      </c>
      <c r="DM1263" s="409">
        <v>1.6623500000000002</v>
      </c>
      <c r="DN1263" s="82" t="s">
        <v>85</v>
      </c>
      <c r="DO1263" s="82" t="s">
        <v>85</v>
      </c>
      <c r="DP1263" s="410" t="s">
        <v>85</v>
      </c>
    </row>
    <row r="1264" spans="1:120" x14ac:dyDescent="0.25">
      <c r="A1264" s="16" t="s">
        <v>2154</v>
      </c>
      <c r="B1264" s="16" t="s">
        <v>2155</v>
      </c>
      <c r="C1264" s="16" t="s">
        <v>2156</v>
      </c>
      <c r="D1264" s="16" t="s">
        <v>1885</v>
      </c>
      <c r="E1264" s="16" t="s">
        <v>2157</v>
      </c>
      <c r="F1264" s="16" t="s">
        <v>2158</v>
      </c>
      <c r="G1264" s="16" t="s">
        <v>2159</v>
      </c>
      <c r="H1264" s="16" t="s">
        <v>2158</v>
      </c>
      <c r="I1264" s="16" t="s">
        <v>2160</v>
      </c>
      <c r="J1264" s="16" t="s">
        <v>1354</v>
      </c>
      <c r="K1264" s="16" t="s">
        <v>2161</v>
      </c>
      <c r="L1264" s="16" t="s">
        <v>85</v>
      </c>
      <c r="M1264" s="16" t="s">
        <v>945</v>
      </c>
      <c r="N1264" s="16" t="s">
        <v>914</v>
      </c>
      <c r="O1264" s="16" t="s">
        <v>946</v>
      </c>
      <c r="P1264" s="16" t="s">
        <v>914</v>
      </c>
      <c r="Q1264" s="16" t="s">
        <v>946</v>
      </c>
      <c r="R1264" s="16" t="s">
        <v>915</v>
      </c>
      <c r="S1264" s="16" t="s">
        <v>915</v>
      </c>
      <c r="T1264" s="16" t="s">
        <v>945</v>
      </c>
      <c r="U1264" s="16" t="s">
        <v>947</v>
      </c>
      <c r="V1264" s="16" t="s">
        <v>916</v>
      </c>
      <c r="W1264" s="16" t="s">
        <v>947</v>
      </c>
      <c r="X1264" s="16" t="s">
        <v>934</v>
      </c>
      <c r="Y1264" s="16" t="s">
        <v>934</v>
      </c>
      <c r="Z1264" s="16" t="s">
        <v>935</v>
      </c>
      <c r="DA1264" s="405" t="s">
        <v>5</v>
      </c>
      <c r="DB1264" s="405" t="s">
        <v>363</v>
      </c>
      <c r="DC1264" s="406" t="s">
        <v>85</v>
      </c>
      <c r="DD1264" s="405" t="s">
        <v>917</v>
      </c>
      <c r="DE1264" s="405" t="s">
        <v>5</v>
      </c>
      <c r="DF1264" s="406" t="s">
        <v>85</v>
      </c>
      <c r="DG1264" s="407">
        <v>45866</v>
      </c>
      <c r="DH1264" s="405" t="s">
        <v>2157</v>
      </c>
      <c r="DI1264" s="406">
        <v>465455</v>
      </c>
      <c r="DJ1264" s="408">
        <v>5</v>
      </c>
      <c r="DK1264" s="405">
        <v>1</v>
      </c>
      <c r="DL1264" s="82">
        <v>319.27</v>
      </c>
      <c r="DM1264" s="409">
        <v>1.5963499999999999</v>
      </c>
      <c r="DN1264" s="82" t="s">
        <v>85</v>
      </c>
      <c r="DO1264" s="82" t="s">
        <v>85</v>
      </c>
      <c r="DP1264" s="410" t="s">
        <v>85</v>
      </c>
    </row>
    <row r="1265" spans="1:120" x14ac:dyDescent="0.25">
      <c r="A1265" s="16" t="s">
        <v>2162</v>
      </c>
      <c r="B1265" s="16" t="s">
        <v>2163</v>
      </c>
      <c r="C1265" s="16" t="s">
        <v>2164</v>
      </c>
      <c r="D1265" s="16" t="s">
        <v>1885</v>
      </c>
      <c r="E1265" s="16" t="s">
        <v>2165</v>
      </c>
      <c r="F1265" s="16" t="s">
        <v>2166</v>
      </c>
      <c r="G1265" s="16" t="s">
        <v>2167</v>
      </c>
      <c r="H1265" s="16" t="s">
        <v>2168</v>
      </c>
      <c r="I1265" s="16" t="s">
        <v>1547</v>
      </c>
      <c r="J1265" s="16" t="s">
        <v>943</v>
      </c>
      <c r="K1265" s="16" t="s">
        <v>1548</v>
      </c>
      <c r="L1265" s="16" t="s">
        <v>85</v>
      </c>
      <c r="M1265" s="16" t="s">
        <v>984</v>
      </c>
      <c r="N1265" s="16" t="s">
        <v>914</v>
      </c>
      <c r="O1265" s="16" t="s">
        <v>985</v>
      </c>
      <c r="P1265" s="16" t="s">
        <v>914</v>
      </c>
      <c r="Q1265" s="16" t="s">
        <v>985</v>
      </c>
      <c r="R1265" s="16" t="s">
        <v>915</v>
      </c>
      <c r="S1265" s="16" t="s">
        <v>915</v>
      </c>
      <c r="T1265" s="16" t="s">
        <v>986</v>
      </c>
      <c r="U1265" s="16" t="s">
        <v>987</v>
      </c>
      <c r="V1265" s="16" t="s">
        <v>916</v>
      </c>
      <c r="W1265" s="16" t="s">
        <v>987</v>
      </c>
      <c r="X1265" s="16" t="s">
        <v>934</v>
      </c>
      <c r="Y1265" s="16" t="s">
        <v>934</v>
      </c>
      <c r="Z1265" s="16" t="s">
        <v>935</v>
      </c>
      <c r="DA1265" s="405" t="s">
        <v>5</v>
      </c>
      <c r="DB1265" s="405" t="s">
        <v>363</v>
      </c>
      <c r="DC1265" s="406" t="s">
        <v>85</v>
      </c>
      <c r="DD1265" s="405" t="s">
        <v>917</v>
      </c>
      <c r="DE1265" s="405" t="s">
        <v>5</v>
      </c>
      <c r="DF1265" s="406" t="s">
        <v>85</v>
      </c>
      <c r="DG1265" s="407">
        <v>45866</v>
      </c>
      <c r="DH1265" s="405" t="s">
        <v>2165</v>
      </c>
      <c r="DI1265" s="406">
        <v>465455</v>
      </c>
      <c r="DJ1265" s="408">
        <v>5</v>
      </c>
      <c r="DK1265" s="405">
        <v>1</v>
      </c>
      <c r="DL1265" s="82">
        <v>340.55</v>
      </c>
      <c r="DM1265" s="409">
        <v>1.70275</v>
      </c>
      <c r="DN1265" s="82" t="s">
        <v>85</v>
      </c>
      <c r="DO1265" s="82" t="s">
        <v>85</v>
      </c>
      <c r="DP1265" s="410" t="s">
        <v>85</v>
      </c>
    </row>
    <row r="1266" spans="1:120" x14ac:dyDescent="0.25">
      <c r="A1266" s="16" t="s">
        <v>2169</v>
      </c>
      <c r="B1266" s="16" t="s">
        <v>2170</v>
      </c>
      <c r="C1266" s="16" t="s">
        <v>2171</v>
      </c>
      <c r="D1266" s="16" t="s">
        <v>1885</v>
      </c>
      <c r="E1266" s="16" t="s">
        <v>2172</v>
      </c>
      <c r="F1266" s="16" t="s">
        <v>2173</v>
      </c>
      <c r="G1266" s="16" t="s">
        <v>2174</v>
      </c>
      <c r="H1266" s="16" t="s">
        <v>2173</v>
      </c>
      <c r="I1266" s="16" t="s">
        <v>1737</v>
      </c>
      <c r="J1266" s="16" t="s">
        <v>1123</v>
      </c>
      <c r="K1266" s="16" t="s">
        <v>1738</v>
      </c>
      <c r="L1266" s="16" t="s">
        <v>85</v>
      </c>
      <c r="M1266" s="16" t="s">
        <v>1238</v>
      </c>
      <c r="N1266" s="16" t="s">
        <v>914</v>
      </c>
      <c r="O1266" s="16" t="s">
        <v>1239</v>
      </c>
      <c r="P1266" s="16" t="s">
        <v>914</v>
      </c>
      <c r="Q1266" s="16" t="s">
        <v>1239</v>
      </c>
      <c r="R1266" s="16" t="s">
        <v>915</v>
      </c>
      <c r="S1266" s="16" t="s">
        <v>915</v>
      </c>
      <c r="T1266" s="16" t="s">
        <v>1238</v>
      </c>
      <c r="U1266" s="16" t="s">
        <v>1240</v>
      </c>
      <c r="V1266" s="16" t="s">
        <v>916</v>
      </c>
      <c r="W1266" s="16" t="s">
        <v>1240</v>
      </c>
      <c r="X1266" s="16" t="s">
        <v>934</v>
      </c>
      <c r="Y1266" s="16" t="s">
        <v>934</v>
      </c>
      <c r="Z1266" s="16" t="s">
        <v>935</v>
      </c>
      <c r="DA1266" s="405" t="s">
        <v>5</v>
      </c>
      <c r="DB1266" s="405" t="s">
        <v>363</v>
      </c>
      <c r="DC1266" s="406" t="s">
        <v>85</v>
      </c>
      <c r="DD1266" s="405" t="s">
        <v>917</v>
      </c>
      <c r="DE1266" s="405" t="s">
        <v>5</v>
      </c>
      <c r="DF1266" s="406" t="s">
        <v>85</v>
      </c>
      <c r="DG1266" s="407">
        <v>45866</v>
      </c>
      <c r="DH1266" s="405" t="s">
        <v>2172</v>
      </c>
      <c r="DI1266" s="406">
        <v>465455</v>
      </c>
      <c r="DJ1266" s="408">
        <v>5</v>
      </c>
      <c r="DK1266" s="405">
        <v>1</v>
      </c>
      <c r="DL1266" s="82">
        <v>383.16</v>
      </c>
      <c r="DM1266" s="409">
        <v>1.9158000000000002</v>
      </c>
      <c r="DN1266" s="82" t="s">
        <v>85</v>
      </c>
      <c r="DO1266" s="82" t="s">
        <v>85</v>
      </c>
      <c r="DP1266" s="410" t="s">
        <v>85</v>
      </c>
    </row>
    <row r="1267" spans="1:120" x14ac:dyDescent="0.25">
      <c r="A1267" s="16" t="s">
        <v>2175</v>
      </c>
      <c r="B1267" s="16" t="s">
        <v>2176</v>
      </c>
      <c r="C1267" s="16" t="s">
        <v>2177</v>
      </c>
      <c r="D1267" s="16" t="s">
        <v>1885</v>
      </c>
      <c r="E1267" s="16" t="s">
        <v>2178</v>
      </c>
      <c r="F1267" s="16" t="s">
        <v>2179</v>
      </c>
      <c r="G1267" s="16" t="s">
        <v>2180</v>
      </c>
      <c r="H1267" s="16" t="s">
        <v>2181</v>
      </c>
      <c r="I1267" s="16" t="s">
        <v>1765</v>
      </c>
      <c r="J1267" s="16" t="s">
        <v>943</v>
      </c>
      <c r="K1267" s="16" t="s">
        <v>1766</v>
      </c>
      <c r="L1267" s="16" t="s">
        <v>85</v>
      </c>
      <c r="M1267" s="16" t="s">
        <v>984</v>
      </c>
      <c r="N1267" s="16" t="s">
        <v>914</v>
      </c>
      <c r="O1267" s="16" t="s">
        <v>985</v>
      </c>
      <c r="P1267" s="16" t="s">
        <v>914</v>
      </c>
      <c r="Q1267" s="16" t="s">
        <v>985</v>
      </c>
      <c r="R1267" s="16" t="s">
        <v>915</v>
      </c>
      <c r="S1267" s="16" t="s">
        <v>915</v>
      </c>
      <c r="T1267" s="16" t="s">
        <v>986</v>
      </c>
      <c r="U1267" s="16" t="s">
        <v>987</v>
      </c>
      <c r="V1267" s="16" t="s">
        <v>916</v>
      </c>
      <c r="W1267" s="16" t="s">
        <v>987</v>
      </c>
      <c r="X1267" s="16" t="s">
        <v>934</v>
      </c>
      <c r="Y1267" s="16" t="s">
        <v>934</v>
      </c>
      <c r="Z1267" s="16" t="s">
        <v>935</v>
      </c>
      <c r="DA1267" s="405" t="s">
        <v>5</v>
      </c>
      <c r="DB1267" s="405" t="s">
        <v>363</v>
      </c>
      <c r="DC1267" s="406" t="s">
        <v>85</v>
      </c>
      <c r="DD1267" s="405" t="s">
        <v>917</v>
      </c>
      <c r="DE1267" s="405" t="s">
        <v>5</v>
      </c>
      <c r="DF1267" s="406" t="s">
        <v>85</v>
      </c>
      <c r="DG1267" s="407">
        <v>45866</v>
      </c>
      <c r="DH1267" s="405" t="s">
        <v>2178</v>
      </c>
      <c r="DI1267" s="406">
        <v>465455</v>
      </c>
      <c r="DJ1267" s="408">
        <v>5</v>
      </c>
      <c r="DK1267" s="405">
        <v>1</v>
      </c>
      <c r="DL1267" s="82">
        <v>340.55</v>
      </c>
      <c r="DM1267" s="409">
        <v>1.70275</v>
      </c>
      <c r="DN1267" s="82" t="s">
        <v>85</v>
      </c>
      <c r="DO1267" s="82" t="s">
        <v>85</v>
      </c>
      <c r="DP1267" s="410" t="s">
        <v>85</v>
      </c>
    </row>
    <row r="1268" spans="1:120" x14ac:dyDescent="0.25">
      <c r="A1268" s="16" t="s">
        <v>2182</v>
      </c>
      <c r="B1268" s="16" t="s">
        <v>2183</v>
      </c>
      <c r="C1268" s="16" t="s">
        <v>2184</v>
      </c>
      <c r="D1268" s="16" t="s">
        <v>1885</v>
      </c>
      <c r="E1268" s="16" t="s">
        <v>2185</v>
      </c>
      <c r="F1268" s="16" t="s">
        <v>2186</v>
      </c>
      <c r="G1268" s="16" t="s">
        <v>2187</v>
      </c>
      <c r="H1268" s="16" t="s">
        <v>2188</v>
      </c>
      <c r="I1268" s="16" t="s">
        <v>2189</v>
      </c>
      <c r="J1268" s="16" t="s">
        <v>956</v>
      </c>
      <c r="K1268" s="16" t="s">
        <v>2190</v>
      </c>
      <c r="L1268" s="16" t="s">
        <v>85</v>
      </c>
      <c r="M1268" s="16" t="s">
        <v>1396</v>
      </c>
      <c r="N1268" s="16" t="s">
        <v>914</v>
      </c>
      <c r="O1268" s="16" t="s">
        <v>1397</v>
      </c>
      <c r="P1268" s="16" t="s">
        <v>914</v>
      </c>
      <c r="Q1268" s="16" t="s">
        <v>1397</v>
      </c>
      <c r="R1268" s="16" t="s">
        <v>915</v>
      </c>
      <c r="S1268" s="16" t="s">
        <v>915</v>
      </c>
      <c r="T1268" s="16" t="s">
        <v>1396</v>
      </c>
      <c r="U1268" s="16" t="s">
        <v>1398</v>
      </c>
      <c r="V1268" s="16" t="s">
        <v>916</v>
      </c>
      <c r="W1268" s="16" t="s">
        <v>1398</v>
      </c>
      <c r="X1268" s="16" t="s">
        <v>934</v>
      </c>
      <c r="Y1268" s="16" t="s">
        <v>934</v>
      </c>
      <c r="Z1268" s="16" t="s">
        <v>935</v>
      </c>
      <c r="DA1268" s="405" t="s">
        <v>5</v>
      </c>
      <c r="DB1268" s="405" t="s">
        <v>363</v>
      </c>
      <c r="DC1268" s="406" t="s">
        <v>85</v>
      </c>
      <c r="DD1268" s="405" t="s">
        <v>917</v>
      </c>
      <c r="DE1268" s="405" t="s">
        <v>5</v>
      </c>
      <c r="DF1268" s="406" t="s">
        <v>85</v>
      </c>
      <c r="DG1268" s="407">
        <v>45866</v>
      </c>
      <c r="DH1268" s="405" t="s">
        <v>2185</v>
      </c>
      <c r="DI1268" s="406">
        <v>465455</v>
      </c>
      <c r="DJ1268" s="408">
        <v>5</v>
      </c>
      <c r="DK1268" s="405">
        <v>1</v>
      </c>
      <c r="DL1268" s="82">
        <v>265.92</v>
      </c>
      <c r="DM1268" s="409">
        <v>1.3296000000000001</v>
      </c>
      <c r="DN1268" s="82" t="s">
        <v>85</v>
      </c>
      <c r="DO1268" s="82" t="s">
        <v>85</v>
      </c>
      <c r="DP1268" s="410" t="s">
        <v>85</v>
      </c>
    </row>
    <row r="1269" spans="1:120" x14ac:dyDescent="0.25">
      <c r="A1269" s="16" t="s">
        <v>2191</v>
      </c>
      <c r="B1269" s="16" t="s">
        <v>2192</v>
      </c>
      <c r="C1269" s="16" t="s">
        <v>2193</v>
      </c>
      <c r="D1269" s="16" t="s">
        <v>1885</v>
      </c>
      <c r="E1269" s="16" t="s">
        <v>2194</v>
      </c>
      <c r="F1269" s="16" t="s">
        <v>2195</v>
      </c>
      <c r="G1269" s="16" t="s">
        <v>2196</v>
      </c>
      <c r="H1269" s="16" t="s">
        <v>2197</v>
      </c>
      <c r="I1269" s="16" t="s">
        <v>1929</v>
      </c>
      <c r="J1269" s="16" t="s">
        <v>995</v>
      </c>
      <c r="K1269" s="16" t="s">
        <v>1930</v>
      </c>
      <c r="L1269" s="16" t="s">
        <v>85</v>
      </c>
      <c r="M1269" s="16" t="s">
        <v>1165</v>
      </c>
      <c r="N1269" s="16" t="s">
        <v>914</v>
      </c>
      <c r="O1269" s="16" t="s">
        <v>1166</v>
      </c>
      <c r="P1269" s="16" t="s">
        <v>914</v>
      </c>
      <c r="Q1269" s="16" t="s">
        <v>1166</v>
      </c>
      <c r="R1269" s="16" t="s">
        <v>915</v>
      </c>
      <c r="S1269" s="16" t="s">
        <v>915</v>
      </c>
      <c r="T1269" s="16" t="s">
        <v>1167</v>
      </c>
      <c r="U1269" s="16" t="s">
        <v>1168</v>
      </c>
      <c r="V1269" s="16" t="s">
        <v>916</v>
      </c>
      <c r="W1269" s="16" t="s">
        <v>1168</v>
      </c>
      <c r="X1269" s="16" t="s">
        <v>934</v>
      </c>
      <c r="Y1269" s="16" t="s">
        <v>934</v>
      </c>
      <c r="Z1269" s="16" t="s">
        <v>935</v>
      </c>
      <c r="DA1269" s="405" t="s">
        <v>5</v>
      </c>
      <c r="DB1269" s="405" t="s">
        <v>363</v>
      </c>
      <c r="DC1269" s="406" t="s">
        <v>85</v>
      </c>
      <c r="DD1269" s="405" t="s">
        <v>917</v>
      </c>
      <c r="DE1269" s="405" t="s">
        <v>5</v>
      </c>
      <c r="DF1269" s="406" t="s">
        <v>85</v>
      </c>
      <c r="DG1269" s="407">
        <v>45866</v>
      </c>
      <c r="DH1269" s="405" t="s">
        <v>2194</v>
      </c>
      <c r="DI1269" s="406">
        <v>465455</v>
      </c>
      <c r="DJ1269" s="408">
        <v>5</v>
      </c>
      <c r="DK1269" s="405">
        <v>1</v>
      </c>
      <c r="DL1269" s="82">
        <v>468.28</v>
      </c>
      <c r="DM1269" s="409">
        <v>2.3413999999999997</v>
      </c>
      <c r="DN1269" s="82" t="s">
        <v>85</v>
      </c>
      <c r="DO1269" s="82" t="s">
        <v>85</v>
      </c>
      <c r="DP1269" s="410" t="s">
        <v>85</v>
      </c>
    </row>
    <row r="1270" spans="1:120" x14ac:dyDescent="0.25">
      <c r="A1270" s="16" t="s">
        <v>2198</v>
      </c>
      <c r="B1270" s="16" t="s">
        <v>2199</v>
      </c>
      <c r="C1270" s="16" t="s">
        <v>2200</v>
      </c>
      <c r="D1270" s="16" t="s">
        <v>1885</v>
      </c>
      <c r="E1270" s="16" t="s">
        <v>2201</v>
      </c>
      <c r="F1270" s="16" t="s">
        <v>2202</v>
      </c>
      <c r="G1270" s="16" t="s">
        <v>2203</v>
      </c>
      <c r="H1270" s="16" t="s">
        <v>2204</v>
      </c>
      <c r="I1270" s="16" t="s">
        <v>1007</v>
      </c>
      <c r="J1270" s="16" t="s">
        <v>928</v>
      </c>
      <c r="K1270" s="16" t="s">
        <v>1008</v>
      </c>
      <c r="L1270" s="16" t="s">
        <v>85</v>
      </c>
      <c r="M1270" s="16" t="s">
        <v>1322</v>
      </c>
      <c r="N1270" s="16" t="s">
        <v>914</v>
      </c>
      <c r="O1270" s="16" t="s">
        <v>1323</v>
      </c>
      <c r="P1270" s="16" t="s">
        <v>914</v>
      </c>
      <c r="Q1270" s="16" t="s">
        <v>1323</v>
      </c>
      <c r="R1270" s="16" t="s">
        <v>915</v>
      </c>
      <c r="S1270" s="16" t="s">
        <v>915</v>
      </c>
      <c r="T1270" s="16" t="s">
        <v>1322</v>
      </c>
      <c r="U1270" s="16" t="s">
        <v>1324</v>
      </c>
      <c r="V1270" s="16" t="s">
        <v>916</v>
      </c>
      <c r="W1270" s="16" t="s">
        <v>1324</v>
      </c>
      <c r="X1270" s="16" t="s">
        <v>934</v>
      </c>
      <c r="Y1270" s="16" t="s">
        <v>934</v>
      </c>
      <c r="Z1270" s="16" t="s">
        <v>935</v>
      </c>
      <c r="DA1270" s="405" t="s">
        <v>5</v>
      </c>
      <c r="DB1270" s="405" t="s">
        <v>363</v>
      </c>
      <c r="DC1270" s="406" t="s">
        <v>85</v>
      </c>
      <c r="DD1270" s="405" t="s">
        <v>917</v>
      </c>
      <c r="DE1270" s="405" t="s">
        <v>5</v>
      </c>
      <c r="DF1270" s="406" t="s">
        <v>85</v>
      </c>
      <c r="DG1270" s="407">
        <v>45866</v>
      </c>
      <c r="DH1270" s="405" t="s">
        <v>2201</v>
      </c>
      <c r="DI1270" s="406">
        <v>465455</v>
      </c>
      <c r="DJ1270" s="408">
        <v>5</v>
      </c>
      <c r="DK1270" s="405">
        <v>1</v>
      </c>
      <c r="DL1270" s="82">
        <v>332.47</v>
      </c>
      <c r="DM1270" s="409">
        <v>1.6623500000000002</v>
      </c>
      <c r="DN1270" s="82" t="s">
        <v>85</v>
      </c>
      <c r="DO1270" s="82" t="s">
        <v>85</v>
      </c>
      <c r="DP1270" s="410" t="s">
        <v>85</v>
      </c>
    </row>
    <row r="1271" spans="1:120" x14ac:dyDescent="0.25">
      <c r="A1271" s="16" t="s">
        <v>2205</v>
      </c>
      <c r="B1271" s="16" t="s">
        <v>2206</v>
      </c>
      <c r="C1271" s="16" t="s">
        <v>2207</v>
      </c>
      <c r="D1271" s="16" t="s">
        <v>1885</v>
      </c>
      <c r="E1271" s="16" t="s">
        <v>2208</v>
      </c>
      <c r="F1271" s="16" t="s">
        <v>2209</v>
      </c>
      <c r="G1271" s="16" t="s">
        <v>2210</v>
      </c>
      <c r="H1271" s="16" t="s">
        <v>2209</v>
      </c>
      <c r="I1271" s="16" t="s">
        <v>1218</v>
      </c>
      <c r="J1271" s="16" t="s">
        <v>1036</v>
      </c>
      <c r="K1271" s="16" t="s">
        <v>1219</v>
      </c>
      <c r="L1271" s="16" t="s">
        <v>85</v>
      </c>
      <c r="M1271" s="16" t="s">
        <v>1216</v>
      </c>
      <c r="N1271" s="16" t="s">
        <v>914</v>
      </c>
      <c r="O1271" s="16" t="s">
        <v>946</v>
      </c>
      <c r="P1271" s="16" t="s">
        <v>914</v>
      </c>
      <c r="Q1271" s="16" t="s">
        <v>946</v>
      </c>
      <c r="R1271" s="16" t="s">
        <v>915</v>
      </c>
      <c r="S1271" s="16" t="s">
        <v>915</v>
      </c>
      <c r="T1271" s="16" t="s">
        <v>1216</v>
      </c>
      <c r="U1271" s="16" t="s">
        <v>1217</v>
      </c>
      <c r="V1271" s="16" t="s">
        <v>916</v>
      </c>
      <c r="W1271" s="16" t="s">
        <v>1217</v>
      </c>
      <c r="X1271" s="16" t="s">
        <v>934</v>
      </c>
      <c r="Y1271" s="16" t="s">
        <v>934</v>
      </c>
      <c r="Z1271" s="16" t="s">
        <v>935</v>
      </c>
      <c r="DA1271" s="405" t="s">
        <v>5</v>
      </c>
      <c r="DB1271" s="405" t="s">
        <v>363</v>
      </c>
      <c r="DC1271" s="406" t="s">
        <v>85</v>
      </c>
      <c r="DD1271" s="405" t="s">
        <v>917</v>
      </c>
      <c r="DE1271" s="405" t="s">
        <v>5</v>
      </c>
      <c r="DF1271" s="406" t="s">
        <v>85</v>
      </c>
      <c r="DG1271" s="407">
        <v>45866</v>
      </c>
      <c r="DH1271" s="405" t="s">
        <v>2208</v>
      </c>
      <c r="DI1271" s="406">
        <v>465455</v>
      </c>
      <c r="DJ1271" s="408">
        <v>5</v>
      </c>
      <c r="DK1271" s="405">
        <v>1</v>
      </c>
      <c r="DL1271" s="82">
        <v>319.22000000000003</v>
      </c>
      <c r="DM1271" s="409">
        <v>1.5961000000000001</v>
      </c>
      <c r="DN1271" s="82" t="s">
        <v>85</v>
      </c>
      <c r="DO1271" s="82" t="s">
        <v>85</v>
      </c>
      <c r="DP1271" s="410" t="s">
        <v>85</v>
      </c>
    </row>
    <row r="1272" spans="1:120" x14ac:dyDescent="0.25">
      <c r="A1272" s="16" t="s">
        <v>2211</v>
      </c>
      <c r="B1272" s="16" t="s">
        <v>2212</v>
      </c>
      <c r="C1272" s="16" t="s">
        <v>2213</v>
      </c>
      <c r="D1272" s="16" t="s">
        <v>1885</v>
      </c>
      <c r="E1272" s="16" t="s">
        <v>2214</v>
      </c>
      <c r="F1272" s="16" t="s">
        <v>2215</v>
      </c>
      <c r="G1272" s="16" t="s">
        <v>2216</v>
      </c>
      <c r="H1272" s="16" t="s">
        <v>2215</v>
      </c>
      <c r="I1272" s="16" t="s">
        <v>1218</v>
      </c>
      <c r="J1272" s="16" t="s">
        <v>1036</v>
      </c>
      <c r="K1272" s="16" t="s">
        <v>1219</v>
      </c>
      <c r="L1272" s="16" t="s">
        <v>85</v>
      </c>
      <c r="M1272" s="16" t="s">
        <v>1216</v>
      </c>
      <c r="N1272" s="16" t="s">
        <v>914</v>
      </c>
      <c r="O1272" s="16" t="s">
        <v>946</v>
      </c>
      <c r="P1272" s="16" t="s">
        <v>914</v>
      </c>
      <c r="Q1272" s="16" t="s">
        <v>946</v>
      </c>
      <c r="R1272" s="16" t="s">
        <v>915</v>
      </c>
      <c r="S1272" s="16" t="s">
        <v>915</v>
      </c>
      <c r="T1272" s="16" t="s">
        <v>1216</v>
      </c>
      <c r="U1272" s="16" t="s">
        <v>1217</v>
      </c>
      <c r="V1272" s="16" t="s">
        <v>916</v>
      </c>
      <c r="W1272" s="16" t="s">
        <v>1217</v>
      </c>
      <c r="X1272" s="16" t="s">
        <v>934</v>
      </c>
      <c r="Y1272" s="16" t="s">
        <v>934</v>
      </c>
      <c r="Z1272" s="16" t="s">
        <v>935</v>
      </c>
      <c r="DA1272" s="405" t="s">
        <v>5</v>
      </c>
      <c r="DB1272" s="405" t="s">
        <v>363</v>
      </c>
      <c r="DC1272" s="406" t="s">
        <v>85</v>
      </c>
      <c r="DD1272" s="405" t="s">
        <v>917</v>
      </c>
      <c r="DE1272" s="405" t="s">
        <v>5</v>
      </c>
      <c r="DF1272" s="406" t="s">
        <v>85</v>
      </c>
      <c r="DG1272" s="407">
        <v>45866</v>
      </c>
      <c r="DH1272" s="405" t="s">
        <v>2214</v>
      </c>
      <c r="DI1272" s="406">
        <v>465455</v>
      </c>
      <c r="DJ1272" s="408">
        <v>5</v>
      </c>
      <c r="DK1272" s="405">
        <v>1</v>
      </c>
      <c r="DL1272" s="82">
        <v>319.22000000000003</v>
      </c>
      <c r="DM1272" s="409">
        <v>1.5961000000000001</v>
      </c>
      <c r="DN1272" s="82" t="s">
        <v>85</v>
      </c>
      <c r="DO1272" s="82" t="s">
        <v>85</v>
      </c>
      <c r="DP1272" s="410" t="s">
        <v>85</v>
      </c>
    </row>
    <row r="1273" spans="1:120" x14ac:dyDescent="0.25">
      <c r="A1273" s="16" t="s">
        <v>2217</v>
      </c>
      <c r="B1273" s="16" t="s">
        <v>2218</v>
      </c>
      <c r="C1273" s="16" t="s">
        <v>2219</v>
      </c>
      <c r="D1273" s="16" t="s">
        <v>1885</v>
      </c>
      <c r="E1273" s="16" t="s">
        <v>2220</v>
      </c>
      <c r="F1273" s="16" t="s">
        <v>2221</v>
      </c>
      <c r="G1273" s="16" t="s">
        <v>2222</v>
      </c>
      <c r="H1273" s="16" t="s">
        <v>2223</v>
      </c>
      <c r="I1273" s="16" t="s">
        <v>1929</v>
      </c>
      <c r="J1273" s="16" t="s">
        <v>995</v>
      </c>
      <c r="K1273" s="16" t="s">
        <v>1930</v>
      </c>
      <c r="L1273" s="16" t="s">
        <v>85</v>
      </c>
      <c r="M1273" s="16" t="s">
        <v>1165</v>
      </c>
      <c r="N1273" s="16" t="s">
        <v>914</v>
      </c>
      <c r="O1273" s="16" t="s">
        <v>1166</v>
      </c>
      <c r="P1273" s="16" t="s">
        <v>914</v>
      </c>
      <c r="Q1273" s="16" t="s">
        <v>1166</v>
      </c>
      <c r="R1273" s="16" t="s">
        <v>915</v>
      </c>
      <c r="S1273" s="16" t="s">
        <v>915</v>
      </c>
      <c r="T1273" s="16" t="s">
        <v>1167</v>
      </c>
      <c r="U1273" s="16" t="s">
        <v>1168</v>
      </c>
      <c r="V1273" s="16" t="s">
        <v>916</v>
      </c>
      <c r="W1273" s="16" t="s">
        <v>1168</v>
      </c>
      <c r="X1273" s="16" t="s">
        <v>934</v>
      </c>
      <c r="Y1273" s="16" t="s">
        <v>934</v>
      </c>
      <c r="Z1273" s="16" t="s">
        <v>935</v>
      </c>
      <c r="DA1273" s="405" t="s">
        <v>5</v>
      </c>
      <c r="DB1273" s="405" t="s">
        <v>363</v>
      </c>
      <c r="DC1273" s="406" t="s">
        <v>85</v>
      </c>
      <c r="DD1273" s="405" t="s">
        <v>917</v>
      </c>
      <c r="DE1273" s="405" t="s">
        <v>5</v>
      </c>
      <c r="DF1273" s="406" t="s">
        <v>85</v>
      </c>
      <c r="DG1273" s="407">
        <v>45866</v>
      </c>
      <c r="DH1273" s="405" t="s">
        <v>2220</v>
      </c>
      <c r="DI1273" s="406">
        <v>465455</v>
      </c>
      <c r="DJ1273" s="408">
        <v>5</v>
      </c>
      <c r="DK1273" s="405">
        <v>1</v>
      </c>
      <c r="DL1273" s="82">
        <v>468.28</v>
      </c>
      <c r="DM1273" s="409">
        <v>2.3413999999999997</v>
      </c>
      <c r="DN1273" s="82" t="s">
        <v>85</v>
      </c>
      <c r="DO1273" s="82" t="s">
        <v>85</v>
      </c>
      <c r="DP1273" s="410" t="s">
        <v>85</v>
      </c>
    </row>
    <row r="1274" spans="1:120" x14ac:dyDescent="0.25">
      <c r="A1274" s="16" t="s">
        <v>2224</v>
      </c>
      <c r="B1274" s="16" t="s">
        <v>2225</v>
      </c>
      <c r="C1274" s="16" t="s">
        <v>2226</v>
      </c>
      <c r="D1274" s="16" t="s">
        <v>1885</v>
      </c>
      <c r="E1274" s="16" t="s">
        <v>2227</v>
      </c>
      <c r="F1274" s="16" t="s">
        <v>2228</v>
      </c>
      <c r="G1274" s="16" t="s">
        <v>2229</v>
      </c>
      <c r="H1274" s="16" t="s">
        <v>2228</v>
      </c>
      <c r="I1274" s="16" t="s">
        <v>2230</v>
      </c>
      <c r="J1274" s="16" t="s">
        <v>1123</v>
      </c>
      <c r="K1274" s="16" t="s">
        <v>2231</v>
      </c>
      <c r="L1274" s="16" t="s">
        <v>85</v>
      </c>
      <c r="M1274" s="16" t="s">
        <v>1238</v>
      </c>
      <c r="N1274" s="16" t="s">
        <v>914</v>
      </c>
      <c r="O1274" s="16" t="s">
        <v>1239</v>
      </c>
      <c r="P1274" s="16" t="s">
        <v>914</v>
      </c>
      <c r="Q1274" s="16" t="s">
        <v>1239</v>
      </c>
      <c r="R1274" s="16" t="s">
        <v>915</v>
      </c>
      <c r="S1274" s="16" t="s">
        <v>915</v>
      </c>
      <c r="T1274" s="16" t="s">
        <v>1238</v>
      </c>
      <c r="U1274" s="16" t="s">
        <v>1240</v>
      </c>
      <c r="V1274" s="16" t="s">
        <v>916</v>
      </c>
      <c r="W1274" s="16" t="s">
        <v>1240</v>
      </c>
      <c r="X1274" s="16" t="s">
        <v>934</v>
      </c>
      <c r="Y1274" s="16" t="s">
        <v>934</v>
      </c>
      <c r="Z1274" s="16" t="s">
        <v>935</v>
      </c>
      <c r="DA1274" s="405" t="s">
        <v>5</v>
      </c>
      <c r="DB1274" s="405" t="s">
        <v>363</v>
      </c>
      <c r="DC1274" s="406" t="s">
        <v>85</v>
      </c>
      <c r="DD1274" s="405" t="s">
        <v>917</v>
      </c>
      <c r="DE1274" s="405" t="s">
        <v>5</v>
      </c>
      <c r="DF1274" s="406" t="s">
        <v>85</v>
      </c>
      <c r="DG1274" s="407">
        <v>45866</v>
      </c>
      <c r="DH1274" s="405" t="s">
        <v>2227</v>
      </c>
      <c r="DI1274" s="406">
        <v>465455</v>
      </c>
      <c r="DJ1274" s="408">
        <v>5</v>
      </c>
      <c r="DK1274" s="405">
        <v>1</v>
      </c>
      <c r="DL1274" s="82">
        <v>383.16</v>
      </c>
      <c r="DM1274" s="409">
        <v>1.9158000000000002</v>
      </c>
      <c r="DN1274" s="82" t="s">
        <v>85</v>
      </c>
      <c r="DO1274" s="82" t="s">
        <v>85</v>
      </c>
      <c r="DP1274" s="410" t="s">
        <v>85</v>
      </c>
    </row>
    <row r="1275" spans="1:120" x14ac:dyDescent="0.25">
      <c r="A1275" s="16" t="s">
        <v>2224</v>
      </c>
      <c r="B1275" s="16" t="s">
        <v>2225</v>
      </c>
      <c r="C1275" s="16" t="s">
        <v>2226</v>
      </c>
      <c r="D1275" s="16" t="s">
        <v>1885</v>
      </c>
      <c r="E1275" s="16" t="s">
        <v>2227</v>
      </c>
      <c r="F1275" s="16" t="s">
        <v>2228</v>
      </c>
      <c r="G1275" s="16" t="s">
        <v>2229</v>
      </c>
      <c r="H1275" s="16" t="s">
        <v>2228</v>
      </c>
      <c r="I1275" s="16" t="s">
        <v>2232</v>
      </c>
      <c r="J1275" s="16" t="s">
        <v>1123</v>
      </c>
      <c r="K1275" s="16" t="s">
        <v>2233</v>
      </c>
      <c r="L1275" s="16" t="s">
        <v>85</v>
      </c>
      <c r="M1275" s="16" t="s">
        <v>1238</v>
      </c>
      <c r="N1275" s="16" t="s">
        <v>914</v>
      </c>
      <c r="O1275" s="16" t="s">
        <v>1239</v>
      </c>
      <c r="P1275" s="16" t="s">
        <v>914</v>
      </c>
      <c r="Q1275" s="16" t="s">
        <v>1239</v>
      </c>
      <c r="R1275" s="16" t="s">
        <v>915</v>
      </c>
      <c r="S1275" s="16" t="s">
        <v>915</v>
      </c>
      <c r="T1275" s="16" t="s">
        <v>1238</v>
      </c>
      <c r="U1275" s="16" t="s">
        <v>1240</v>
      </c>
      <c r="V1275" s="16" t="s">
        <v>916</v>
      </c>
      <c r="W1275" s="16" t="s">
        <v>1240</v>
      </c>
      <c r="X1275" s="16" t="s">
        <v>934</v>
      </c>
      <c r="Y1275" s="16" t="s">
        <v>934</v>
      </c>
      <c r="Z1275" s="16" t="s">
        <v>935</v>
      </c>
      <c r="DA1275" s="405" t="s">
        <v>5</v>
      </c>
      <c r="DB1275" s="405" t="s">
        <v>363</v>
      </c>
      <c r="DC1275" s="406" t="s">
        <v>85</v>
      </c>
      <c r="DD1275" s="405" t="s">
        <v>917</v>
      </c>
      <c r="DE1275" s="405" t="s">
        <v>5</v>
      </c>
      <c r="DF1275" s="406" t="s">
        <v>85</v>
      </c>
      <c r="DG1275" s="407">
        <v>45866</v>
      </c>
      <c r="DH1275" s="405" t="s">
        <v>2227</v>
      </c>
      <c r="DI1275" s="406">
        <v>465455</v>
      </c>
      <c r="DJ1275" s="408">
        <v>5</v>
      </c>
      <c r="DK1275" s="405">
        <v>1</v>
      </c>
      <c r="DL1275" s="82">
        <v>383.16</v>
      </c>
      <c r="DM1275" s="409">
        <v>1.9158000000000002</v>
      </c>
      <c r="DN1275" s="82" t="s">
        <v>85</v>
      </c>
      <c r="DO1275" s="82" t="s">
        <v>85</v>
      </c>
      <c r="DP1275" s="410" t="s">
        <v>85</v>
      </c>
    </row>
    <row r="1276" spans="1:120" x14ac:dyDescent="0.25">
      <c r="A1276" s="16" t="s">
        <v>2234</v>
      </c>
      <c r="B1276" s="16" t="s">
        <v>2235</v>
      </c>
      <c r="C1276" s="16" t="s">
        <v>2236</v>
      </c>
      <c r="D1276" s="16" t="s">
        <v>1885</v>
      </c>
      <c r="E1276" s="16" t="s">
        <v>2237</v>
      </c>
      <c r="F1276" s="16" t="s">
        <v>2238</v>
      </c>
      <c r="G1276" s="16" t="s">
        <v>2239</v>
      </c>
      <c r="H1276" s="16" t="s">
        <v>2240</v>
      </c>
      <c r="I1276" s="16" t="s">
        <v>2241</v>
      </c>
      <c r="J1276" s="16" t="s">
        <v>1123</v>
      </c>
      <c r="K1276" s="16" t="s">
        <v>2242</v>
      </c>
      <c r="L1276" s="16" t="s">
        <v>85</v>
      </c>
      <c r="M1276" s="16" t="s">
        <v>1238</v>
      </c>
      <c r="N1276" s="16" t="s">
        <v>914</v>
      </c>
      <c r="O1276" s="16" t="s">
        <v>1239</v>
      </c>
      <c r="P1276" s="16" t="s">
        <v>914</v>
      </c>
      <c r="Q1276" s="16" t="s">
        <v>1239</v>
      </c>
      <c r="R1276" s="16" t="s">
        <v>915</v>
      </c>
      <c r="S1276" s="16" t="s">
        <v>915</v>
      </c>
      <c r="T1276" s="16" t="s">
        <v>1238</v>
      </c>
      <c r="U1276" s="16" t="s">
        <v>1240</v>
      </c>
      <c r="V1276" s="16" t="s">
        <v>916</v>
      </c>
      <c r="W1276" s="16" t="s">
        <v>1240</v>
      </c>
      <c r="X1276" s="16" t="s">
        <v>934</v>
      </c>
      <c r="Y1276" s="16" t="s">
        <v>934</v>
      </c>
      <c r="Z1276" s="16" t="s">
        <v>935</v>
      </c>
      <c r="DA1276" s="405" t="s">
        <v>5</v>
      </c>
      <c r="DB1276" s="405" t="s">
        <v>363</v>
      </c>
      <c r="DC1276" s="406" t="s">
        <v>85</v>
      </c>
      <c r="DD1276" s="405" t="s">
        <v>917</v>
      </c>
      <c r="DE1276" s="405" t="s">
        <v>5</v>
      </c>
      <c r="DF1276" s="406" t="s">
        <v>85</v>
      </c>
      <c r="DG1276" s="407">
        <v>45866</v>
      </c>
      <c r="DH1276" s="405" t="s">
        <v>2237</v>
      </c>
      <c r="DI1276" s="406">
        <v>465455</v>
      </c>
      <c r="DJ1276" s="408">
        <v>5</v>
      </c>
      <c r="DK1276" s="405">
        <v>1</v>
      </c>
      <c r="DL1276" s="82">
        <v>383.16</v>
      </c>
      <c r="DM1276" s="409">
        <v>1.9158000000000002</v>
      </c>
      <c r="DN1276" s="82" t="s">
        <v>85</v>
      </c>
      <c r="DO1276" s="82" t="s">
        <v>85</v>
      </c>
      <c r="DP1276" s="410" t="s">
        <v>85</v>
      </c>
    </row>
    <row r="1277" spans="1:120" x14ac:dyDescent="0.25">
      <c r="A1277" s="16" t="s">
        <v>2243</v>
      </c>
      <c r="B1277" s="16" t="s">
        <v>2244</v>
      </c>
      <c r="C1277" s="16" t="s">
        <v>2245</v>
      </c>
      <c r="D1277" s="16" t="s">
        <v>1885</v>
      </c>
      <c r="E1277" s="16" t="s">
        <v>2246</v>
      </c>
      <c r="F1277" s="16" t="s">
        <v>2247</v>
      </c>
      <c r="G1277" s="16" t="s">
        <v>2248</v>
      </c>
      <c r="H1277" s="16" t="s">
        <v>2249</v>
      </c>
      <c r="I1277" s="16" t="s">
        <v>1099</v>
      </c>
      <c r="J1277" s="16" t="s">
        <v>943</v>
      </c>
      <c r="K1277" s="16" t="s">
        <v>1100</v>
      </c>
      <c r="L1277" s="16" t="s">
        <v>85</v>
      </c>
      <c r="M1277" s="16" t="s">
        <v>984</v>
      </c>
      <c r="N1277" s="16" t="s">
        <v>914</v>
      </c>
      <c r="O1277" s="16" t="s">
        <v>985</v>
      </c>
      <c r="P1277" s="16" t="s">
        <v>914</v>
      </c>
      <c r="Q1277" s="16" t="s">
        <v>985</v>
      </c>
      <c r="R1277" s="16" t="s">
        <v>915</v>
      </c>
      <c r="S1277" s="16" t="s">
        <v>915</v>
      </c>
      <c r="T1277" s="16" t="s">
        <v>986</v>
      </c>
      <c r="U1277" s="16" t="s">
        <v>987</v>
      </c>
      <c r="V1277" s="16" t="s">
        <v>916</v>
      </c>
      <c r="W1277" s="16" t="s">
        <v>987</v>
      </c>
      <c r="X1277" s="16" t="s">
        <v>934</v>
      </c>
      <c r="Y1277" s="16" t="s">
        <v>934</v>
      </c>
      <c r="Z1277" s="16" t="s">
        <v>935</v>
      </c>
      <c r="DA1277" s="405" t="s">
        <v>5</v>
      </c>
      <c r="DB1277" s="405" t="s">
        <v>363</v>
      </c>
      <c r="DC1277" s="406" t="s">
        <v>85</v>
      </c>
      <c r="DD1277" s="405" t="s">
        <v>917</v>
      </c>
      <c r="DE1277" s="405" t="s">
        <v>5</v>
      </c>
      <c r="DF1277" s="406" t="s">
        <v>85</v>
      </c>
      <c r="DG1277" s="407">
        <v>45866</v>
      </c>
      <c r="DH1277" s="405" t="s">
        <v>2246</v>
      </c>
      <c r="DI1277" s="406">
        <v>465455</v>
      </c>
      <c r="DJ1277" s="408">
        <v>5</v>
      </c>
      <c r="DK1277" s="405">
        <v>1</v>
      </c>
      <c r="DL1277" s="82">
        <v>340.55</v>
      </c>
      <c r="DM1277" s="409">
        <v>1.70275</v>
      </c>
      <c r="DN1277" s="82" t="s">
        <v>85</v>
      </c>
      <c r="DO1277" s="82" t="s">
        <v>85</v>
      </c>
      <c r="DP1277" s="410" t="s">
        <v>85</v>
      </c>
    </row>
    <row r="1278" spans="1:120" x14ac:dyDescent="0.25">
      <c r="A1278" s="16" t="s">
        <v>2250</v>
      </c>
      <c r="B1278" s="16" t="s">
        <v>2251</v>
      </c>
      <c r="C1278" s="16" t="s">
        <v>2252</v>
      </c>
      <c r="D1278" s="16" t="s">
        <v>1885</v>
      </c>
      <c r="E1278" s="16" t="s">
        <v>2253</v>
      </c>
      <c r="F1278" s="16" t="s">
        <v>2254</v>
      </c>
      <c r="G1278" s="16" t="s">
        <v>2255</v>
      </c>
      <c r="H1278" s="16" t="s">
        <v>2256</v>
      </c>
      <c r="I1278" s="16" t="s">
        <v>1414</v>
      </c>
      <c r="J1278" s="16" t="s">
        <v>1109</v>
      </c>
      <c r="K1278" s="16" t="s">
        <v>1415</v>
      </c>
      <c r="L1278" s="16" t="s">
        <v>85</v>
      </c>
      <c r="M1278" s="16" t="s">
        <v>1311</v>
      </c>
      <c r="N1278" s="16" t="s">
        <v>914</v>
      </c>
      <c r="O1278" s="16" t="s">
        <v>1312</v>
      </c>
      <c r="P1278" s="16" t="s">
        <v>914</v>
      </c>
      <c r="Q1278" s="16" t="s">
        <v>1312</v>
      </c>
      <c r="R1278" s="16" t="s">
        <v>915</v>
      </c>
      <c r="S1278" s="16" t="s">
        <v>915</v>
      </c>
      <c r="T1278" s="16" t="s">
        <v>1311</v>
      </c>
      <c r="U1278" s="16" t="s">
        <v>1313</v>
      </c>
      <c r="V1278" s="16" t="s">
        <v>916</v>
      </c>
      <c r="W1278" s="16" t="s">
        <v>1313</v>
      </c>
      <c r="X1278" s="16" t="s">
        <v>934</v>
      </c>
      <c r="Y1278" s="16" t="s">
        <v>934</v>
      </c>
      <c r="Z1278" s="16" t="s">
        <v>935</v>
      </c>
      <c r="DA1278" s="405" t="s">
        <v>5</v>
      </c>
      <c r="DB1278" s="405" t="s">
        <v>363</v>
      </c>
      <c r="DC1278" s="406" t="s">
        <v>85</v>
      </c>
      <c r="DD1278" s="405" t="s">
        <v>917</v>
      </c>
      <c r="DE1278" s="405" t="s">
        <v>5</v>
      </c>
      <c r="DF1278" s="406" t="s">
        <v>85</v>
      </c>
      <c r="DG1278" s="407">
        <v>45866</v>
      </c>
      <c r="DH1278" s="405" t="s">
        <v>2253</v>
      </c>
      <c r="DI1278" s="406">
        <v>465455</v>
      </c>
      <c r="DJ1278" s="408">
        <v>5</v>
      </c>
      <c r="DK1278" s="405">
        <v>1</v>
      </c>
      <c r="DL1278" s="82">
        <v>531.54</v>
      </c>
      <c r="DM1278" s="409">
        <v>2.6576999999999997</v>
      </c>
      <c r="DN1278" s="82" t="s">
        <v>85</v>
      </c>
      <c r="DO1278" s="82" t="s">
        <v>85</v>
      </c>
      <c r="DP1278" s="410" t="s">
        <v>85</v>
      </c>
    </row>
    <row r="1279" spans="1:120" x14ac:dyDescent="0.25">
      <c r="A1279" s="16" t="s">
        <v>2257</v>
      </c>
      <c r="B1279" s="16" t="s">
        <v>2258</v>
      </c>
      <c r="C1279" s="16" t="s">
        <v>2259</v>
      </c>
      <c r="D1279" s="16" t="s">
        <v>1885</v>
      </c>
      <c r="E1279" s="16" t="s">
        <v>2260</v>
      </c>
      <c r="F1279" s="16" t="s">
        <v>2261</v>
      </c>
      <c r="G1279" s="16" t="s">
        <v>2262</v>
      </c>
      <c r="H1279" s="16" t="s">
        <v>2263</v>
      </c>
      <c r="I1279" s="16" t="s">
        <v>1377</v>
      </c>
      <c r="J1279" s="16" t="s">
        <v>943</v>
      </c>
      <c r="K1279" s="16" t="s">
        <v>1378</v>
      </c>
      <c r="L1279" s="16" t="s">
        <v>85</v>
      </c>
      <c r="M1279" s="16" t="s">
        <v>984</v>
      </c>
      <c r="N1279" s="16" t="s">
        <v>914</v>
      </c>
      <c r="O1279" s="16" t="s">
        <v>985</v>
      </c>
      <c r="P1279" s="16" t="s">
        <v>914</v>
      </c>
      <c r="Q1279" s="16" t="s">
        <v>985</v>
      </c>
      <c r="R1279" s="16" t="s">
        <v>915</v>
      </c>
      <c r="S1279" s="16" t="s">
        <v>915</v>
      </c>
      <c r="T1279" s="16" t="s">
        <v>986</v>
      </c>
      <c r="U1279" s="16" t="s">
        <v>987</v>
      </c>
      <c r="V1279" s="16" t="s">
        <v>916</v>
      </c>
      <c r="W1279" s="16" t="s">
        <v>987</v>
      </c>
      <c r="X1279" s="16" t="s">
        <v>934</v>
      </c>
      <c r="Y1279" s="16" t="s">
        <v>934</v>
      </c>
      <c r="Z1279" s="16" t="s">
        <v>935</v>
      </c>
      <c r="DA1279" s="405" t="s">
        <v>5</v>
      </c>
      <c r="DB1279" s="405" t="s">
        <v>363</v>
      </c>
      <c r="DC1279" s="406" t="s">
        <v>85</v>
      </c>
      <c r="DD1279" s="405" t="s">
        <v>917</v>
      </c>
      <c r="DE1279" s="405" t="s">
        <v>5</v>
      </c>
      <c r="DF1279" s="406" t="s">
        <v>85</v>
      </c>
      <c r="DG1279" s="407">
        <v>45866</v>
      </c>
      <c r="DH1279" s="405" t="s">
        <v>2260</v>
      </c>
      <c r="DI1279" s="406">
        <v>465455</v>
      </c>
      <c r="DJ1279" s="408">
        <v>5</v>
      </c>
      <c r="DK1279" s="405">
        <v>1</v>
      </c>
      <c r="DL1279" s="82">
        <v>340.55</v>
      </c>
      <c r="DM1279" s="409">
        <v>1.70275</v>
      </c>
      <c r="DN1279" s="82" t="s">
        <v>85</v>
      </c>
      <c r="DO1279" s="82" t="s">
        <v>85</v>
      </c>
      <c r="DP1279" s="410" t="s">
        <v>85</v>
      </c>
    </row>
    <row r="1280" spans="1:120" x14ac:dyDescent="0.25">
      <c r="A1280" s="16" t="s">
        <v>2257</v>
      </c>
      <c r="B1280" s="16" t="s">
        <v>2258</v>
      </c>
      <c r="C1280" s="16" t="s">
        <v>2259</v>
      </c>
      <c r="D1280" s="16" t="s">
        <v>1885</v>
      </c>
      <c r="E1280" s="16" t="s">
        <v>2260</v>
      </c>
      <c r="F1280" s="16" t="s">
        <v>2261</v>
      </c>
      <c r="G1280" s="16" t="s">
        <v>2262</v>
      </c>
      <c r="H1280" s="16" t="s">
        <v>2263</v>
      </c>
      <c r="I1280" s="16" t="s">
        <v>968</v>
      </c>
      <c r="J1280" s="16" t="s">
        <v>943</v>
      </c>
      <c r="K1280" s="16" t="s">
        <v>969</v>
      </c>
      <c r="L1280" s="16" t="s">
        <v>85</v>
      </c>
      <c r="M1280" s="16" t="s">
        <v>984</v>
      </c>
      <c r="N1280" s="16" t="s">
        <v>914</v>
      </c>
      <c r="O1280" s="16" t="s">
        <v>985</v>
      </c>
      <c r="P1280" s="16" t="s">
        <v>914</v>
      </c>
      <c r="Q1280" s="16" t="s">
        <v>985</v>
      </c>
      <c r="R1280" s="16" t="s">
        <v>915</v>
      </c>
      <c r="S1280" s="16" t="s">
        <v>915</v>
      </c>
      <c r="T1280" s="16" t="s">
        <v>986</v>
      </c>
      <c r="U1280" s="16" t="s">
        <v>987</v>
      </c>
      <c r="V1280" s="16" t="s">
        <v>916</v>
      </c>
      <c r="W1280" s="16" t="s">
        <v>987</v>
      </c>
      <c r="X1280" s="16" t="s">
        <v>934</v>
      </c>
      <c r="Y1280" s="16" t="s">
        <v>934</v>
      </c>
      <c r="Z1280" s="16" t="s">
        <v>935</v>
      </c>
      <c r="DA1280" s="405" t="s">
        <v>5</v>
      </c>
      <c r="DB1280" s="405" t="s">
        <v>363</v>
      </c>
      <c r="DC1280" s="406" t="s">
        <v>85</v>
      </c>
      <c r="DD1280" s="405" t="s">
        <v>917</v>
      </c>
      <c r="DE1280" s="405" t="s">
        <v>5</v>
      </c>
      <c r="DF1280" s="406" t="s">
        <v>85</v>
      </c>
      <c r="DG1280" s="407">
        <v>45866</v>
      </c>
      <c r="DH1280" s="405" t="s">
        <v>2260</v>
      </c>
      <c r="DI1280" s="406">
        <v>465455</v>
      </c>
      <c r="DJ1280" s="408">
        <v>5</v>
      </c>
      <c r="DK1280" s="405">
        <v>1</v>
      </c>
      <c r="DL1280" s="82">
        <v>340.55</v>
      </c>
      <c r="DM1280" s="409">
        <v>1.70275</v>
      </c>
      <c r="DN1280" s="82" t="s">
        <v>85</v>
      </c>
      <c r="DO1280" s="82" t="s">
        <v>85</v>
      </c>
      <c r="DP1280" s="410" t="s">
        <v>85</v>
      </c>
    </row>
    <row r="1281" spans="1:120" x14ac:dyDescent="0.25">
      <c r="A1281" s="16" t="s">
        <v>2264</v>
      </c>
      <c r="B1281" s="16" t="s">
        <v>2265</v>
      </c>
      <c r="C1281" s="16" t="s">
        <v>2266</v>
      </c>
      <c r="D1281" s="16" t="s">
        <v>1885</v>
      </c>
      <c r="E1281" s="16" t="s">
        <v>2267</v>
      </c>
      <c r="F1281" s="16" t="s">
        <v>2268</v>
      </c>
      <c r="G1281" s="16" t="s">
        <v>2269</v>
      </c>
      <c r="H1281" s="16" t="s">
        <v>2270</v>
      </c>
      <c r="I1281" s="16" t="s">
        <v>2271</v>
      </c>
      <c r="J1281" s="16" t="s">
        <v>995</v>
      </c>
      <c r="K1281" s="16" t="s">
        <v>2272</v>
      </c>
      <c r="L1281" s="16" t="s">
        <v>85</v>
      </c>
      <c r="M1281" s="16" t="s">
        <v>1165</v>
      </c>
      <c r="N1281" s="16" t="s">
        <v>914</v>
      </c>
      <c r="O1281" s="16" t="s">
        <v>1166</v>
      </c>
      <c r="P1281" s="16" t="s">
        <v>914</v>
      </c>
      <c r="Q1281" s="16" t="s">
        <v>1166</v>
      </c>
      <c r="R1281" s="16" t="s">
        <v>915</v>
      </c>
      <c r="S1281" s="16" t="s">
        <v>915</v>
      </c>
      <c r="T1281" s="16" t="s">
        <v>1167</v>
      </c>
      <c r="U1281" s="16" t="s">
        <v>1168</v>
      </c>
      <c r="V1281" s="16" t="s">
        <v>916</v>
      </c>
      <c r="W1281" s="16" t="s">
        <v>1168</v>
      </c>
      <c r="X1281" s="16" t="s">
        <v>934</v>
      </c>
      <c r="Y1281" s="16" t="s">
        <v>934</v>
      </c>
      <c r="Z1281" s="16" t="s">
        <v>935</v>
      </c>
      <c r="DA1281" s="405" t="s">
        <v>5</v>
      </c>
      <c r="DB1281" s="405" t="s">
        <v>363</v>
      </c>
      <c r="DC1281" s="406" t="s">
        <v>85</v>
      </c>
      <c r="DD1281" s="405" t="s">
        <v>917</v>
      </c>
      <c r="DE1281" s="405" t="s">
        <v>5</v>
      </c>
      <c r="DF1281" s="406" t="s">
        <v>85</v>
      </c>
      <c r="DG1281" s="407">
        <v>45866</v>
      </c>
      <c r="DH1281" s="405" t="s">
        <v>2267</v>
      </c>
      <c r="DI1281" s="406">
        <v>465455</v>
      </c>
      <c r="DJ1281" s="408">
        <v>5</v>
      </c>
      <c r="DK1281" s="405">
        <v>1</v>
      </c>
      <c r="DL1281" s="82">
        <v>468.28</v>
      </c>
      <c r="DM1281" s="409">
        <v>2.3413999999999997</v>
      </c>
      <c r="DN1281" s="82" t="s">
        <v>85</v>
      </c>
      <c r="DO1281" s="82" t="s">
        <v>85</v>
      </c>
      <c r="DP1281" s="410" t="s">
        <v>85</v>
      </c>
    </row>
    <row r="1282" spans="1:120" x14ac:dyDescent="0.25">
      <c r="A1282" s="16" t="s">
        <v>2273</v>
      </c>
      <c r="B1282" s="16" t="s">
        <v>2274</v>
      </c>
      <c r="C1282" s="16" t="s">
        <v>2275</v>
      </c>
      <c r="D1282" s="16" t="s">
        <v>1885</v>
      </c>
      <c r="E1282" s="16" t="s">
        <v>2276</v>
      </c>
      <c r="F1282" s="16" t="s">
        <v>2277</v>
      </c>
      <c r="G1282" s="16" t="s">
        <v>2278</v>
      </c>
      <c r="H1282" s="16" t="s">
        <v>2279</v>
      </c>
      <c r="I1282" s="16" t="s">
        <v>1377</v>
      </c>
      <c r="J1282" s="16" t="s">
        <v>943</v>
      </c>
      <c r="K1282" s="16" t="s">
        <v>1378</v>
      </c>
      <c r="L1282" s="16" t="s">
        <v>85</v>
      </c>
      <c r="M1282" s="16" t="s">
        <v>984</v>
      </c>
      <c r="N1282" s="16" t="s">
        <v>914</v>
      </c>
      <c r="O1282" s="16" t="s">
        <v>985</v>
      </c>
      <c r="P1282" s="16" t="s">
        <v>914</v>
      </c>
      <c r="Q1282" s="16" t="s">
        <v>985</v>
      </c>
      <c r="R1282" s="16" t="s">
        <v>915</v>
      </c>
      <c r="S1282" s="16" t="s">
        <v>915</v>
      </c>
      <c r="T1282" s="16" t="s">
        <v>986</v>
      </c>
      <c r="U1282" s="16" t="s">
        <v>987</v>
      </c>
      <c r="V1282" s="16" t="s">
        <v>916</v>
      </c>
      <c r="W1282" s="16" t="s">
        <v>987</v>
      </c>
      <c r="X1282" s="16" t="s">
        <v>934</v>
      </c>
      <c r="Y1282" s="16" t="s">
        <v>934</v>
      </c>
      <c r="Z1282" s="16" t="s">
        <v>935</v>
      </c>
      <c r="DA1282" s="405" t="s">
        <v>5</v>
      </c>
      <c r="DB1282" s="405" t="s">
        <v>363</v>
      </c>
      <c r="DC1282" s="406" t="s">
        <v>85</v>
      </c>
      <c r="DD1282" s="405" t="s">
        <v>917</v>
      </c>
      <c r="DE1282" s="405" t="s">
        <v>5</v>
      </c>
      <c r="DF1282" s="406" t="s">
        <v>85</v>
      </c>
      <c r="DG1282" s="407">
        <v>45866</v>
      </c>
      <c r="DH1282" s="405" t="s">
        <v>2276</v>
      </c>
      <c r="DI1282" s="406">
        <v>465455</v>
      </c>
      <c r="DJ1282" s="408">
        <v>5</v>
      </c>
      <c r="DK1282" s="405">
        <v>1</v>
      </c>
      <c r="DL1282" s="82">
        <v>340.55</v>
      </c>
      <c r="DM1282" s="409">
        <v>1.70275</v>
      </c>
      <c r="DN1282" s="82" t="s">
        <v>85</v>
      </c>
      <c r="DO1282" s="82" t="s">
        <v>85</v>
      </c>
      <c r="DP1282" s="410" t="s">
        <v>85</v>
      </c>
    </row>
    <row r="1283" spans="1:120" x14ac:dyDescent="0.25">
      <c r="A1283" s="16" t="s">
        <v>2273</v>
      </c>
      <c r="B1283" s="16" t="s">
        <v>2274</v>
      </c>
      <c r="C1283" s="16" t="s">
        <v>2275</v>
      </c>
      <c r="D1283" s="16" t="s">
        <v>1885</v>
      </c>
      <c r="E1283" s="16" t="s">
        <v>2276</v>
      </c>
      <c r="F1283" s="16" t="s">
        <v>2277</v>
      </c>
      <c r="G1283" s="16" t="s">
        <v>2278</v>
      </c>
      <c r="H1283" s="16" t="s">
        <v>2279</v>
      </c>
      <c r="I1283" s="16" t="s">
        <v>968</v>
      </c>
      <c r="J1283" s="16" t="s">
        <v>943</v>
      </c>
      <c r="K1283" s="16" t="s">
        <v>969</v>
      </c>
      <c r="L1283" s="16" t="s">
        <v>85</v>
      </c>
      <c r="M1283" s="16" t="s">
        <v>984</v>
      </c>
      <c r="N1283" s="16" t="s">
        <v>914</v>
      </c>
      <c r="O1283" s="16" t="s">
        <v>985</v>
      </c>
      <c r="P1283" s="16" t="s">
        <v>914</v>
      </c>
      <c r="Q1283" s="16" t="s">
        <v>985</v>
      </c>
      <c r="R1283" s="16" t="s">
        <v>915</v>
      </c>
      <c r="S1283" s="16" t="s">
        <v>915</v>
      </c>
      <c r="T1283" s="16" t="s">
        <v>986</v>
      </c>
      <c r="U1283" s="16" t="s">
        <v>987</v>
      </c>
      <c r="V1283" s="16" t="s">
        <v>916</v>
      </c>
      <c r="W1283" s="16" t="s">
        <v>987</v>
      </c>
      <c r="X1283" s="16" t="s">
        <v>934</v>
      </c>
      <c r="Y1283" s="16" t="s">
        <v>934</v>
      </c>
      <c r="Z1283" s="16" t="s">
        <v>935</v>
      </c>
      <c r="DA1283" s="405" t="s">
        <v>5</v>
      </c>
      <c r="DB1283" s="405" t="s">
        <v>363</v>
      </c>
      <c r="DC1283" s="406" t="s">
        <v>85</v>
      </c>
      <c r="DD1283" s="405" t="s">
        <v>917</v>
      </c>
      <c r="DE1283" s="405" t="s">
        <v>5</v>
      </c>
      <c r="DF1283" s="406" t="s">
        <v>85</v>
      </c>
      <c r="DG1283" s="407">
        <v>45866</v>
      </c>
      <c r="DH1283" s="405" t="s">
        <v>2276</v>
      </c>
      <c r="DI1283" s="406">
        <v>465455</v>
      </c>
      <c r="DJ1283" s="408">
        <v>5</v>
      </c>
      <c r="DK1283" s="405">
        <v>1</v>
      </c>
      <c r="DL1283" s="82">
        <v>340.55</v>
      </c>
      <c r="DM1283" s="409">
        <v>1.70275</v>
      </c>
      <c r="DN1283" s="82" t="s">
        <v>85</v>
      </c>
      <c r="DO1283" s="82" t="s">
        <v>85</v>
      </c>
      <c r="DP1283" s="410" t="s">
        <v>85</v>
      </c>
    </row>
    <row r="1284" spans="1:120" x14ac:dyDescent="0.25">
      <c r="A1284" s="16" t="s">
        <v>2280</v>
      </c>
      <c r="B1284" s="16" t="s">
        <v>2281</v>
      </c>
      <c r="C1284" s="16" t="s">
        <v>2282</v>
      </c>
      <c r="D1284" s="16" t="s">
        <v>1885</v>
      </c>
      <c r="E1284" s="16" t="s">
        <v>2283</v>
      </c>
      <c r="F1284" s="16" t="s">
        <v>2284</v>
      </c>
      <c r="G1284" s="16" t="s">
        <v>2285</v>
      </c>
      <c r="H1284" s="16" t="s">
        <v>2284</v>
      </c>
      <c r="I1284" s="16" t="s">
        <v>1970</v>
      </c>
      <c r="J1284" s="16" t="s">
        <v>995</v>
      </c>
      <c r="K1284" s="16" t="s">
        <v>1971</v>
      </c>
      <c r="L1284" s="16" t="s">
        <v>85</v>
      </c>
      <c r="M1284" s="16" t="s">
        <v>1165</v>
      </c>
      <c r="N1284" s="16" t="s">
        <v>914</v>
      </c>
      <c r="O1284" s="16" t="s">
        <v>1166</v>
      </c>
      <c r="P1284" s="16" t="s">
        <v>914</v>
      </c>
      <c r="Q1284" s="16" t="s">
        <v>1166</v>
      </c>
      <c r="R1284" s="16" t="s">
        <v>915</v>
      </c>
      <c r="S1284" s="16" t="s">
        <v>915</v>
      </c>
      <c r="T1284" s="16" t="s">
        <v>1167</v>
      </c>
      <c r="U1284" s="16" t="s">
        <v>1168</v>
      </c>
      <c r="V1284" s="16" t="s">
        <v>916</v>
      </c>
      <c r="W1284" s="16" t="s">
        <v>1168</v>
      </c>
      <c r="X1284" s="16" t="s">
        <v>934</v>
      </c>
      <c r="Y1284" s="16" t="s">
        <v>934</v>
      </c>
      <c r="Z1284" s="16" t="s">
        <v>935</v>
      </c>
      <c r="DA1284" s="405" t="s">
        <v>5</v>
      </c>
      <c r="DB1284" s="405" t="s">
        <v>363</v>
      </c>
      <c r="DC1284" s="406" t="s">
        <v>85</v>
      </c>
      <c r="DD1284" s="405" t="s">
        <v>917</v>
      </c>
      <c r="DE1284" s="405" t="s">
        <v>5</v>
      </c>
      <c r="DF1284" s="406" t="s">
        <v>85</v>
      </c>
      <c r="DG1284" s="407">
        <v>45866</v>
      </c>
      <c r="DH1284" s="405" t="s">
        <v>2283</v>
      </c>
      <c r="DI1284" s="406">
        <v>465455</v>
      </c>
      <c r="DJ1284" s="408">
        <v>5</v>
      </c>
      <c r="DK1284" s="405">
        <v>1</v>
      </c>
      <c r="DL1284" s="82">
        <v>468.28</v>
      </c>
      <c r="DM1284" s="409">
        <v>2.3413999999999997</v>
      </c>
      <c r="DN1284" s="82" t="s">
        <v>85</v>
      </c>
      <c r="DO1284" s="82" t="s">
        <v>85</v>
      </c>
      <c r="DP1284" s="410" t="s">
        <v>85</v>
      </c>
    </row>
    <row r="1285" spans="1:120" x14ac:dyDescent="0.25">
      <c r="A1285" s="16" t="s">
        <v>2286</v>
      </c>
      <c r="B1285" s="16" t="s">
        <v>2287</v>
      </c>
      <c r="C1285" s="16" t="s">
        <v>2288</v>
      </c>
      <c r="D1285" s="16" t="s">
        <v>1885</v>
      </c>
      <c r="E1285" s="16" t="s">
        <v>2289</v>
      </c>
      <c r="F1285" s="16" t="s">
        <v>2290</v>
      </c>
      <c r="G1285" s="16" t="s">
        <v>2291</v>
      </c>
      <c r="H1285" s="16" t="s">
        <v>2292</v>
      </c>
      <c r="I1285" s="16" t="s">
        <v>1248</v>
      </c>
      <c r="J1285" s="16" t="s">
        <v>995</v>
      </c>
      <c r="K1285" s="16" t="s">
        <v>1249</v>
      </c>
      <c r="L1285" s="16" t="s">
        <v>85</v>
      </c>
      <c r="M1285" s="16" t="s">
        <v>1165</v>
      </c>
      <c r="N1285" s="16" t="s">
        <v>914</v>
      </c>
      <c r="O1285" s="16" t="s">
        <v>1166</v>
      </c>
      <c r="P1285" s="16" t="s">
        <v>914</v>
      </c>
      <c r="Q1285" s="16" t="s">
        <v>1166</v>
      </c>
      <c r="R1285" s="16" t="s">
        <v>915</v>
      </c>
      <c r="S1285" s="16" t="s">
        <v>915</v>
      </c>
      <c r="T1285" s="16" t="s">
        <v>1167</v>
      </c>
      <c r="U1285" s="16" t="s">
        <v>1168</v>
      </c>
      <c r="V1285" s="16" t="s">
        <v>916</v>
      </c>
      <c r="W1285" s="16" t="s">
        <v>1168</v>
      </c>
      <c r="X1285" s="16" t="s">
        <v>934</v>
      </c>
      <c r="Y1285" s="16" t="s">
        <v>934</v>
      </c>
      <c r="Z1285" s="16" t="s">
        <v>935</v>
      </c>
      <c r="DA1285" s="405" t="s">
        <v>5</v>
      </c>
      <c r="DB1285" s="405" t="s">
        <v>363</v>
      </c>
      <c r="DC1285" s="406" t="s">
        <v>85</v>
      </c>
      <c r="DD1285" s="405" t="s">
        <v>917</v>
      </c>
      <c r="DE1285" s="405" t="s">
        <v>5</v>
      </c>
      <c r="DF1285" s="406" t="s">
        <v>85</v>
      </c>
      <c r="DG1285" s="407">
        <v>45866</v>
      </c>
      <c r="DH1285" s="405" t="s">
        <v>2289</v>
      </c>
      <c r="DI1285" s="406">
        <v>465455</v>
      </c>
      <c r="DJ1285" s="408">
        <v>5</v>
      </c>
      <c r="DK1285" s="405">
        <v>1</v>
      </c>
      <c r="DL1285" s="82">
        <v>468.28</v>
      </c>
      <c r="DM1285" s="409">
        <v>2.3413999999999997</v>
      </c>
      <c r="DN1285" s="82" t="s">
        <v>85</v>
      </c>
      <c r="DO1285" s="82" t="s">
        <v>85</v>
      </c>
      <c r="DP1285" s="410" t="s">
        <v>85</v>
      </c>
    </row>
    <row r="1286" spans="1:120" x14ac:dyDescent="0.25">
      <c r="A1286" s="16" t="s">
        <v>2293</v>
      </c>
      <c r="B1286" s="16" t="s">
        <v>2294</v>
      </c>
      <c r="C1286" s="16" t="s">
        <v>2295</v>
      </c>
      <c r="D1286" s="16" t="s">
        <v>1885</v>
      </c>
      <c r="E1286" s="16" t="s">
        <v>2296</v>
      </c>
      <c r="F1286" s="16" t="s">
        <v>2297</v>
      </c>
      <c r="G1286" s="16" t="s">
        <v>2298</v>
      </c>
      <c r="H1286" s="16" t="s">
        <v>2299</v>
      </c>
      <c r="I1286" s="16" t="s">
        <v>1377</v>
      </c>
      <c r="J1286" s="16" t="s">
        <v>943</v>
      </c>
      <c r="K1286" s="16" t="s">
        <v>1378</v>
      </c>
      <c r="L1286" s="16" t="s">
        <v>85</v>
      </c>
      <c r="M1286" s="16" t="s">
        <v>984</v>
      </c>
      <c r="N1286" s="16" t="s">
        <v>914</v>
      </c>
      <c r="O1286" s="16" t="s">
        <v>985</v>
      </c>
      <c r="P1286" s="16" t="s">
        <v>914</v>
      </c>
      <c r="Q1286" s="16" t="s">
        <v>985</v>
      </c>
      <c r="R1286" s="16" t="s">
        <v>915</v>
      </c>
      <c r="S1286" s="16" t="s">
        <v>915</v>
      </c>
      <c r="T1286" s="16" t="s">
        <v>986</v>
      </c>
      <c r="U1286" s="16" t="s">
        <v>987</v>
      </c>
      <c r="V1286" s="16" t="s">
        <v>916</v>
      </c>
      <c r="W1286" s="16" t="s">
        <v>987</v>
      </c>
      <c r="X1286" s="16" t="s">
        <v>934</v>
      </c>
      <c r="Y1286" s="16" t="s">
        <v>934</v>
      </c>
      <c r="Z1286" s="16" t="s">
        <v>935</v>
      </c>
      <c r="DA1286" s="405" t="s">
        <v>5</v>
      </c>
      <c r="DB1286" s="405" t="s">
        <v>363</v>
      </c>
      <c r="DC1286" s="406" t="s">
        <v>85</v>
      </c>
      <c r="DD1286" s="405" t="s">
        <v>917</v>
      </c>
      <c r="DE1286" s="405" t="s">
        <v>5</v>
      </c>
      <c r="DF1286" s="406" t="s">
        <v>85</v>
      </c>
      <c r="DG1286" s="407">
        <v>45866</v>
      </c>
      <c r="DH1286" s="405" t="s">
        <v>2296</v>
      </c>
      <c r="DI1286" s="406">
        <v>465455</v>
      </c>
      <c r="DJ1286" s="408">
        <v>5</v>
      </c>
      <c r="DK1286" s="405">
        <v>1</v>
      </c>
      <c r="DL1286" s="82">
        <v>340.55</v>
      </c>
      <c r="DM1286" s="409">
        <v>1.70275</v>
      </c>
      <c r="DN1286" s="82" t="s">
        <v>85</v>
      </c>
      <c r="DO1286" s="82" t="s">
        <v>85</v>
      </c>
      <c r="DP1286" s="410" t="s">
        <v>85</v>
      </c>
    </row>
    <row r="1287" spans="1:120" x14ac:dyDescent="0.25">
      <c r="A1287" s="16" t="s">
        <v>2293</v>
      </c>
      <c r="B1287" s="16" t="s">
        <v>2294</v>
      </c>
      <c r="C1287" s="16" t="s">
        <v>2295</v>
      </c>
      <c r="D1287" s="16" t="s">
        <v>1885</v>
      </c>
      <c r="E1287" s="16" t="s">
        <v>2296</v>
      </c>
      <c r="F1287" s="16" t="s">
        <v>2297</v>
      </c>
      <c r="G1287" s="16" t="s">
        <v>2298</v>
      </c>
      <c r="H1287" s="16" t="s">
        <v>2299</v>
      </c>
      <c r="I1287" s="16" t="s">
        <v>1066</v>
      </c>
      <c r="J1287" s="16" t="s">
        <v>943</v>
      </c>
      <c r="K1287" s="16" t="s">
        <v>1067</v>
      </c>
      <c r="L1287" s="16" t="s">
        <v>85</v>
      </c>
      <c r="M1287" s="16" t="s">
        <v>984</v>
      </c>
      <c r="N1287" s="16" t="s">
        <v>914</v>
      </c>
      <c r="O1287" s="16" t="s">
        <v>985</v>
      </c>
      <c r="P1287" s="16" t="s">
        <v>914</v>
      </c>
      <c r="Q1287" s="16" t="s">
        <v>985</v>
      </c>
      <c r="R1287" s="16" t="s">
        <v>915</v>
      </c>
      <c r="S1287" s="16" t="s">
        <v>915</v>
      </c>
      <c r="T1287" s="16" t="s">
        <v>986</v>
      </c>
      <c r="U1287" s="16" t="s">
        <v>987</v>
      </c>
      <c r="V1287" s="16" t="s">
        <v>916</v>
      </c>
      <c r="W1287" s="16" t="s">
        <v>987</v>
      </c>
      <c r="X1287" s="16" t="s">
        <v>934</v>
      </c>
      <c r="Y1287" s="16" t="s">
        <v>934</v>
      </c>
      <c r="Z1287" s="16" t="s">
        <v>935</v>
      </c>
      <c r="DA1287" s="405" t="s">
        <v>5</v>
      </c>
      <c r="DB1287" s="405" t="s">
        <v>363</v>
      </c>
      <c r="DC1287" s="406" t="s">
        <v>85</v>
      </c>
      <c r="DD1287" s="405" t="s">
        <v>917</v>
      </c>
      <c r="DE1287" s="405" t="s">
        <v>5</v>
      </c>
      <c r="DF1287" s="406" t="s">
        <v>85</v>
      </c>
      <c r="DG1287" s="407">
        <v>45866</v>
      </c>
      <c r="DH1287" s="405" t="s">
        <v>2296</v>
      </c>
      <c r="DI1287" s="406">
        <v>465455</v>
      </c>
      <c r="DJ1287" s="408">
        <v>5</v>
      </c>
      <c r="DK1287" s="405">
        <v>1</v>
      </c>
      <c r="DL1287" s="82">
        <v>340.55</v>
      </c>
      <c r="DM1287" s="409">
        <v>1.70275</v>
      </c>
      <c r="DN1287" s="82" t="s">
        <v>85</v>
      </c>
      <c r="DO1287" s="82" t="s">
        <v>85</v>
      </c>
      <c r="DP1287" s="410" t="s">
        <v>85</v>
      </c>
    </row>
    <row r="1288" spans="1:120" x14ac:dyDescent="0.25">
      <c r="A1288" s="16" t="s">
        <v>2300</v>
      </c>
      <c r="B1288" s="16" t="s">
        <v>2301</v>
      </c>
      <c r="C1288" s="16" t="s">
        <v>2302</v>
      </c>
      <c r="D1288" s="16" t="s">
        <v>1885</v>
      </c>
      <c r="E1288" s="16" t="s">
        <v>2303</v>
      </c>
      <c r="F1288" s="16" t="s">
        <v>2304</v>
      </c>
      <c r="G1288" s="16" t="s">
        <v>2305</v>
      </c>
      <c r="H1288" s="16" t="s">
        <v>2304</v>
      </c>
      <c r="I1288" s="16" t="s">
        <v>1970</v>
      </c>
      <c r="J1288" s="16" t="s">
        <v>995</v>
      </c>
      <c r="K1288" s="16" t="s">
        <v>1971</v>
      </c>
      <c r="L1288" s="16" t="s">
        <v>85</v>
      </c>
      <c r="M1288" s="16" t="s">
        <v>1165</v>
      </c>
      <c r="N1288" s="16" t="s">
        <v>914</v>
      </c>
      <c r="O1288" s="16" t="s">
        <v>1166</v>
      </c>
      <c r="P1288" s="16" t="s">
        <v>914</v>
      </c>
      <c r="Q1288" s="16" t="s">
        <v>1166</v>
      </c>
      <c r="R1288" s="16" t="s">
        <v>915</v>
      </c>
      <c r="S1288" s="16" t="s">
        <v>915</v>
      </c>
      <c r="T1288" s="16" t="s">
        <v>1167</v>
      </c>
      <c r="U1288" s="16" t="s">
        <v>1168</v>
      </c>
      <c r="V1288" s="16" t="s">
        <v>916</v>
      </c>
      <c r="W1288" s="16" t="s">
        <v>1168</v>
      </c>
      <c r="X1288" s="16" t="s">
        <v>934</v>
      </c>
      <c r="Y1288" s="16" t="s">
        <v>934</v>
      </c>
      <c r="Z1288" s="16" t="s">
        <v>935</v>
      </c>
      <c r="DA1288" s="405" t="s">
        <v>5</v>
      </c>
      <c r="DB1288" s="405" t="s">
        <v>363</v>
      </c>
      <c r="DC1288" s="406" t="s">
        <v>85</v>
      </c>
      <c r="DD1288" s="405" t="s">
        <v>917</v>
      </c>
      <c r="DE1288" s="405" t="s">
        <v>5</v>
      </c>
      <c r="DF1288" s="406" t="s">
        <v>85</v>
      </c>
      <c r="DG1288" s="407">
        <v>45866</v>
      </c>
      <c r="DH1288" s="405" t="s">
        <v>2303</v>
      </c>
      <c r="DI1288" s="406">
        <v>465455</v>
      </c>
      <c r="DJ1288" s="408">
        <v>5</v>
      </c>
      <c r="DK1288" s="405">
        <v>1</v>
      </c>
      <c r="DL1288" s="82">
        <v>468.28</v>
      </c>
      <c r="DM1288" s="409">
        <v>2.3413999999999997</v>
      </c>
      <c r="DN1288" s="82" t="s">
        <v>85</v>
      </c>
      <c r="DO1288" s="82" t="s">
        <v>85</v>
      </c>
      <c r="DP1288" s="410" t="s">
        <v>85</v>
      </c>
    </row>
    <row r="1289" spans="1:120" x14ac:dyDescent="0.25">
      <c r="A1289" s="16" t="s">
        <v>2306</v>
      </c>
      <c r="B1289" s="16" t="s">
        <v>2307</v>
      </c>
      <c r="C1289" s="16" t="s">
        <v>2308</v>
      </c>
      <c r="D1289" s="16" t="s">
        <v>1885</v>
      </c>
      <c r="E1289" s="16" t="s">
        <v>2309</v>
      </c>
      <c r="F1289" s="16" t="s">
        <v>2310</v>
      </c>
      <c r="G1289" s="16" t="s">
        <v>2311</v>
      </c>
      <c r="H1289" s="16" t="s">
        <v>2312</v>
      </c>
      <c r="I1289" s="16" t="s">
        <v>1099</v>
      </c>
      <c r="J1289" s="16" t="s">
        <v>943</v>
      </c>
      <c r="K1289" s="16" t="s">
        <v>1100</v>
      </c>
      <c r="L1289" s="16" t="s">
        <v>85</v>
      </c>
      <c r="M1289" s="16" t="s">
        <v>984</v>
      </c>
      <c r="N1289" s="16" t="s">
        <v>914</v>
      </c>
      <c r="O1289" s="16" t="s">
        <v>985</v>
      </c>
      <c r="P1289" s="16" t="s">
        <v>914</v>
      </c>
      <c r="Q1289" s="16" t="s">
        <v>985</v>
      </c>
      <c r="R1289" s="16" t="s">
        <v>915</v>
      </c>
      <c r="S1289" s="16" t="s">
        <v>915</v>
      </c>
      <c r="T1289" s="16" t="s">
        <v>986</v>
      </c>
      <c r="U1289" s="16" t="s">
        <v>987</v>
      </c>
      <c r="V1289" s="16" t="s">
        <v>916</v>
      </c>
      <c r="W1289" s="16" t="s">
        <v>987</v>
      </c>
      <c r="X1289" s="16" t="s">
        <v>934</v>
      </c>
      <c r="Y1289" s="16" t="s">
        <v>934</v>
      </c>
      <c r="Z1289" s="16" t="s">
        <v>935</v>
      </c>
      <c r="DA1289" s="405" t="s">
        <v>5</v>
      </c>
      <c r="DB1289" s="405" t="s">
        <v>363</v>
      </c>
      <c r="DC1289" s="406" t="s">
        <v>85</v>
      </c>
      <c r="DD1289" s="405" t="s">
        <v>917</v>
      </c>
      <c r="DE1289" s="405" t="s">
        <v>5</v>
      </c>
      <c r="DF1289" s="406" t="s">
        <v>85</v>
      </c>
      <c r="DG1289" s="407">
        <v>45866</v>
      </c>
      <c r="DH1289" s="405" t="s">
        <v>2309</v>
      </c>
      <c r="DI1289" s="406">
        <v>465455</v>
      </c>
      <c r="DJ1289" s="408">
        <v>5</v>
      </c>
      <c r="DK1289" s="405">
        <v>1</v>
      </c>
      <c r="DL1289" s="82">
        <v>340.55</v>
      </c>
      <c r="DM1289" s="409">
        <v>1.70275</v>
      </c>
      <c r="DN1289" s="82" t="s">
        <v>85</v>
      </c>
      <c r="DO1289" s="82" t="s">
        <v>85</v>
      </c>
      <c r="DP1289" s="410" t="s">
        <v>85</v>
      </c>
    </row>
    <row r="1290" spans="1:120" x14ac:dyDescent="0.25">
      <c r="A1290" s="16" t="s">
        <v>2313</v>
      </c>
      <c r="B1290" s="16" t="s">
        <v>2314</v>
      </c>
      <c r="C1290" s="16" t="s">
        <v>2315</v>
      </c>
      <c r="D1290" s="16" t="s">
        <v>1885</v>
      </c>
      <c r="E1290" s="16" t="s">
        <v>2316</v>
      </c>
      <c r="F1290" s="16" t="s">
        <v>2317</v>
      </c>
      <c r="G1290" s="16" t="s">
        <v>2318</v>
      </c>
      <c r="H1290" s="16" t="s">
        <v>2317</v>
      </c>
      <c r="I1290" s="16" t="s">
        <v>1620</v>
      </c>
      <c r="J1290" s="16" t="s">
        <v>943</v>
      </c>
      <c r="K1290" s="16" t="s">
        <v>1621</v>
      </c>
      <c r="L1290" s="16" t="s">
        <v>85</v>
      </c>
      <c r="M1290" s="16" t="s">
        <v>984</v>
      </c>
      <c r="N1290" s="16" t="s">
        <v>914</v>
      </c>
      <c r="O1290" s="16" t="s">
        <v>985</v>
      </c>
      <c r="P1290" s="16" t="s">
        <v>914</v>
      </c>
      <c r="Q1290" s="16" t="s">
        <v>985</v>
      </c>
      <c r="R1290" s="16" t="s">
        <v>915</v>
      </c>
      <c r="S1290" s="16" t="s">
        <v>915</v>
      </c>
      <c r="T1290" s="16" t="s">
        <v>986</v>
      </c>
      <c r="U1290" s="16" t="s">
        <v>987</v>
      </c>
      <c r="V1290" s="16" t="s">
        <v>916</v>
      </c>
      <c r="W1290" s="16" t="s">
        <v>987</v>
      </c>
      <c r="X1290" s="16" t="s">
        <v>934</v>
      </c>
      <c r="Y1290" s="16" t="s">
        <v>934</v>
      </c>
      <c r="Z1290" s="16" t="s">
        <v>935</v>
      </c>
      <c r="DA1290" s="405" t="s">
        <v>5</v>
      </c>
      <c r="DB1290" s="405" t="s">
        <v>363</v>
      </c>
      <c r="DC1290" s="406" t="s">
        <v>85</v>
      </c>
      <c r="DD1290" s="405" t="s">
        <v>917</v>
      </c>
      <c r="DE1290" s="405" t="s">
        <v>5</v>
      </c>
      <c r="DF1290" s="406" t="s">
        <v>85</v>
      </c>
      <c r="DG1290" s="407">
        <v>45866</v>
      </c>
      <c r="DH1290" s="405" t="s">
        <v>2316</v>
      </c>
      <c r="DI1290" s="406">
        <v>465455</v>
      </c>
      <c r="DJ1290" s="408">
        <v>5</v>
      </c>
      <c r="DK1290" s="405">
        <v>1</v>
      </c>
      <c r="DL1290" s="82">
        <v>340.55</v>
      </c>
      <c r="DM1290" s="409">
        <v>1.70275</v>
      </c>
      <c r="DN1290" s="82" t="s">
        <v>85</v>
      </c>
      <c r="DO1290" s="82" t="s">
        <v>85</v>
      </c>
      <c r="DP1290" s="410" t="s">
        <v>85</v>
      </c>
    </row>
    <row r="1291" spans="1:120" x14ac:dyDescent="0.25">
      <c r="A1291" s="16" t="s">
        <v>2319</v>
      </c>
      <c r="B1291" s="16" t="s">
        <v>2320</v>
      </c>
      <c r="C1291" s="16" t="s">
        <v>2321</v>
      </c>
      <c r="D1291" s="16" t="s">
        <v>1885</v>
      </c>
      <c r="E1291" s="16" t="s">
        <v>2322</v>
      </c>
      <c r="F1291" s="16" t="s">
        <v>2323</v>
      </c>
      <c r="G1291" s="16" t="s">
        <v>2324</v>
      </c>
      <c r="H1291" s="16" t="s">
        <v>2325</v>
      </c>
      <c r="I1291" s="16" t="s">
        <v>1772</v>
      </c>
      <c r="J1291" s="16" t="s">
        <v>1036</v>
      </c>
      <c r="K1291" s="16" t="s">
        <v>1773</v>
      </c>
      <c r="L1291" s="16" t="s">
        <v>85</v>
      </c>
      <c r="M1291" s="16" t="s">
        <v>1216</v>
      </c>
      <c r="N1291" s="16" t="s">
        <v>914</v>
      </c>
      <c r="O1291" s="16" t="s">
        <v>946</v>
      </c>
      <c r="P1291" s="16" t="s">
        <v>914</v>
      </c>
      <c r="Q1291" s="16" t="s">
        <v>946</v>
      </c>
      <c r="R1291" s="16" t="s">
        <v>915</v>
      </c>
      <c r="S1291" s="16" t="s">
        <v>915</v>
      </c>
      <c r="T1291" s="16" t="s">
        <v>1216</v>
      </c>
      <c r="U1291" s="16" t="s">
        <v>1217</v>
      </c>
      <c r="V1291" s="16" t="s">
        <v>916</v>
      </c>
      <c r="W1291" s="16" t="s">
        <v>1217</v>
      </c>
      <c r="X1291" s="16" t="s">
        <v>934</v>
      </c>
      <c r="Y1291" s="16" t="s">
        <v>934</v>
      </c>
      <c r="Z1291" s="16" t="s">
        <v>935</v>
      </c>
      <c r="DA1291" s="405" t="s">
        <v>5</v>
      </c>
      <c r="DB1291" s="405" t="s">
        <v>363</v>
      </c>
      <c r="DC1291" s="406" t="s">
        <v>85</v>
      </c>
      <c r="DD1291" s="405" t="s">
        <v>917</v>
      </c>
      <c r="DE1291" s="405" t="s">
        <v>5</v>
      </c>
      <c r="DF1291" s="406" t="s">
        <v>85</v>
      </c>
      <c r="DG1291" s="407">
        <v>45866</v>
      </c>
      <c r="DH1291" s="405" t="s">
        <v>2322</v>
      </c>
      <c r="DI1291" s="406">
        <v>465455</v>
      </c>
      <c r="DJ1291" s="408">
        <v>5</v>
      </c>
      <c r="DK1291" s="405">
        <v>1</v>
      </c>
      <c r="DL1291" s="82">
        <v>319.22000000000003</v>
      </c>
      <c r="DM1291" s="409">
        <v>1.5961000000000001</v>
      </c>
      <c r="DN1291" s="82" t="s">
        <v>85</v>
      </c>
      <c r="DO1291" s="82" t="s">
        <v>85</v>
      </c>
      <c r="DP1291" s="410" t="s">
        <v>85</v>
      </c>
    </row>
    <row r="1292" spans="1:120" x14ac:dyDescent="0.25">
      <c r="A1292" s="16" t="s">
        <v>2326</v>
      </c>
      <c r="B1292" s="16" t="s">
        <v>2327</v>
      </c>
      <c r="C1292" s="16" t="s">
        <v>2328</v>
      </c>
      <c r="D1292" s="16" t="s">
        <v>1885</v>
      </c>
      <c r="E1292" s="16" t="s">
        <v>2329</v>
      </c>
      <c r="F1292" s="16" t="s">
        <v>2330</v>
      </c>
      <c r="G1292" s="16" t="s">
        <v>2331</v>
      </c>
      <c r="H1292" s="16" t="s">
        <v>2332</v>
      </c>
      <c r="I1292" s="16" t="s">
        <v>2136</v>
      </c>
      <c r="J1292" s="16" t="s">
        <v>943</v>
      </c>
      <c r="K1292" s="16" t="s">
        <v>2137</v>
      </c>
      <c r="L1292" s="16" t="s">
        <v>85</v>
      </c>
      <c r="M1292" s="16" t="s">
        <v>984</v>
      </c>
      <c r="N1292" s="16" t="s">
        <v>914</v>
      </c>
      <c r="O1292" s="16" t="s">
        <v>985</v>
      </c>
      <c r="P1292" s="16" t="s">
        <v>914</v>
      </c>
      <c r="Q1292" s="16" t="s">
        <v>985</v>
      </c>
      <c r="R1292" s="16" t="s">
        <v>915</v>
      </c>
      <c r="S1292" s="16" t="s">
        <v>915</v>
      </c>
      <c r="T1292" s="16" t="s">
        <v>986</v>
      </c>
      <c r="U1292" s="16" t="s">
        <v>987</v>
      </c>
      <c r="V1292" s="16" t="s">
        <v>916</v>
      </c>
      <c r="W1292" s="16" t="s">
        <v>987</v>
      </c>
      <c r="X1292" s="16" t="s">
        <v>934</v>
      </c>
      <c r="Y1292" s="16" t="s">
        <v>934</v>
      </c>
      <c r="Z1292" s="16" t="s">
        <v>935</v>
      </c>
      <c r="DA1292" s="405" t="s">
        <v>5</v>
      </c>
      <c r="DB1292" s="405" t="s">
        <v>363</v>
      </c>
      <c r="DC1292" s="406" t="s">
        <v>85</v>
      </c>
      <c r="DD1292" s="405" t="s">
        <v>917</v>
      </c>
      <c r="DE1292" s="405" t="s">
        <v>5</v>
      </c>
      <c r="DF1292" s="406" t="s">
        <v>85</v>
      </c>
      <c r="DG1292" s="407">
        <v>45866</v>
      </c>
      <c r="DH1292" s="405" t="s">
        <v>2329</v>
      </c>
      <c r="DI1292" s="406">
        <v>465455</v>
      </c>
      <c r="DJ1292" s="408">
        <v>5</v>
      </c>
      <c r="DK1292" s="405">
        <v>1</v>
      </c>
      <c r="DL1292" s="82">
        <v>340.55</v>
      </c>
      <c r="DM1292" s="409">
        <v>1.70275</v>
      </c>
      <c r="DN1292" s="82" t="s">
        <v>85</v>
      </c>
      <c r="DO1292" s="82" t="s">
        <v>85</v>
      </c>
      <c r="DP1292" s="410" t="s">
        <v>85</v>
      </c>
    </row>
    <row r="1293" spans="1:120" x14ac:dyDescent="0.25">
      <c r="A1293" s="16" t="s">
        <v>2333</v>
      </c>
      <c r="B1293" s="16" t="s">
        <v>2334</v>
      </c>
      <c r="C1293" s="16" t="s">
        <v>2335</v>
      </c>
      <c r="D1293" s="16" t="s">
        <v>1885</v>
      </c>
      <c r="E1293" s="16" t="s">
        <v>2336</v>
      </c>
      <c r="F1293" s="16" t="s">
        <v>2337</v>
      </c>
      <c r="G1293" s="16" t="s">
        <v>2338</v>
      </c>
      <c r="H1293" s="16" t="s">
        <v>2339</v>
      </c>
      <c r="I1293" s="16" t="s">
        <v>1432</v>
      </c>
      <c r="J1293" s="16" t="s">
        <v>956</v>
      </c>
      <c r="K1293" s="16" t="s">
        <v>1433</v>
      </c>
      <c r="L1293" s="16" t="s">
        <v>85</v>
      </c>
      <c r="M1293" s="16" t="s">
        <v>1396</v>
      </c>
      <c r="N1293" s="16" t="s">
        <v>914</v>
      </c>
      <c r="O1293" s="16" t="s">
        <v>1397</v>
      </c>
      <c r="P1293" s="16" t="s">
        <v>914</v>
      </c>
      <c r="Q1293" s="16" t="s">
        <v>1397</v>
      </c>
      <c r="R1293" s="16" t="s">
        <v>915</v>
      </c>
      <c r="S1293" s="16" t="s">
        <v>915</v>
      </c>
      <c r="T1293" s="16" t="s">
        <v>1396</v>
      </c>
      <c r="U1293" s="16" t="s">
        <v>1398</v>
      </c>
      <c r="V1293" s="16" t="s">
        <v>916</v>
      </c>
      <c r="W1293" s="16" t="s">
        <v>1398</v>
      </c>
      <c r="X1293" s="16" t="s">
        <v>934</v>
      </c>
      <c r="Y1293" s="16" t="s">
        <v>934</v>
      </c>
      <c r="Z1293" s="16" t="s">
        <v>935</v>
      </c>
      <c r="DA1293" s="405" t="s">
        <v>5</v>
      </c>
      <c r="DB1293" s="405" t="s">
        <v>363</v>
      </c>
      <c r="DC1293" s="406" t="s">
        <v>85</v>
      </c>
      <c r="DD1293" s="405" t="s">
        <v>917</v>
      </c>
      <c r="DE1293" s="405" t="s">
        <v>5</v>
      </c>
      <c r="DF1293" s="406" t="s">
        <v>85</v>
      </c>
      <c r="DG1293" s="407">
        <v>45866</v>
      </c>
      <c r="DH1293" s="405" t="s">
        <v>2336</v>
      </c>
      <c r="DI1293" s="406">
        <v>465455</v>
      </c>
      <c r="DJ1293" s="408">
        <v>5</v>
      </c>
      <c r="DK1293" s="405">
        <v>1</v>
      </c>
      <c r="DL1293" s="82">
        <v>265.92</v>
      </c>
      <c r="DM1293" s="409">
        <v>1.3296000000000001</v>
      </c>
      <c r="DN1293" s="82" t="s">
        <v>85</v>
      </c>
      <c r="DO1293" s="82" t="s">
        <v>85</v>
      </c>
      <c r="DP1293" s="410" t="s">
        <v>85</v>
      </c>
    </row>
    <row r="1294" spans="1:120" x14ac:dyDescent="0.25">
      <c r="A1294" s="16" t="s">
        <v>1539</v>
      </c>
      <c r="B1294" s="16" t="s">
        <v>1540</v>
      </c>
      <c r="C1294" s="16" t="s">
        <v>1541</v>
      </c>
      <c r="D1294" s="16" t="s">
        <v>1542</v>
      </c>
      <c r="E1294" s="16" t="s">
        <v>1543</v>
      </c>
      <c r="F1294" s="16" t="s">
        <v>1544</v>
      </c>
      <c r="G1294" s="16" t="s">
        <v>1545</v>
      </c>
      <c r="H1294" s="16" t="s">
        <v>1546</v>
      </c>
      <c r="I1294" s="16" t="s">
        <v>1547</v>
      </c>
      <c r="J1294" s="16" t="s">
        <v>943</v>
      </c>
      <c r="K1294" s="16" t="s">
        <v>1548</v>
      </c>
      <c r="L1294" s="16" t="s">
        <v>85</v>
      </c>
      <c r="M1294" s="16" t="s">
        <v>984</v>
      </c>
      <c r="N1294" s="16" t="s">
        <v>914</v>
      </c>
      <c r="O1294" s="16" t="s">
        <v>985</v>
      </c>
      <c r="P1294" s="16" t="s">
        <v>914</v>
      </c>
      <c r="Q1294" s="16" t="s">
        <v>985</v>
      </c>
      <c r="R1294" s="16" t="s">
        <v>915</v>
      </c>
      <c r="S1294" s="16" t="s">
        <v>915</v>
      </c>
      <c r="T1294" s="16" t="s">
        <v>986</v>
      </c>
      <c r="U1294" s="16" t="s">
        <v>987</v>
      </c>
      <c r="V1294" s="16" t="s">
        <v>916</v>
      </c>
      <c r="W1294" s="16" t="s">
        <v>987</v>
      </c>
      <c r="X1294" s="16" t="s">
        <v>934</v>
      </c>
      <c r="Y1294" s="16" t="s">
        <v>934</v>
      </c>
      <c r="Z1294" s="16" t="s">
        <v>935</v>
      </c>
      <c r="DA1294" s="405" t="s">
        <v>5</v>
      </c>
      <c r="DB1294" s="405" t="s">
        <v>363</v>
      </c>
      <c r="DC1294" s="406" t="s">
        <v>85</v>
      </c>
      <c r="DD1294" s="405" t="s">
        <v>917</v>
      </c>
      <c r="DE1294" s="405" t="s">
        <v>5</v>
      </c>
      <c r="DF1294" s="406" t="s">
        <v>85</v>
      </c>
      <c r="DG1294" s="407">
        <v>45867</v>
      </c>
      <c r="DH1294" s="405" t="s">
        <v>1543</v>
      </c>
      <c r="DI1294" s="406">
        <v>465455</v>
      </c>
      <c r="DJ1294" s="408">
        <v>5</v>
      </c>
      <c r="DK1294" s="405">
        <v>1</v>
      </c>
      <c r="DL1294" s="82">
        <v>340.55</v>
      </c>
      <c r="DM1294" s="409">
        <v>1.70275</v>
      </c>
      <c r="DN1294" s="82" t="s">
        <v>85</v>
      </c>
      <c r="DO1294" s="82" t="s">
        <v>85</v>
      </c>
      <c r="DP1294" s="410" t="s">
        <v>85</v>
      </c>
    </row>
    <row r="1295" spans="1:120" x14ac:dyDescent="0.25">
      <c r="A1295" s="16" t="s">
        <v>1549</v>
      </c>
      <c r="B1295" s="16" t="s">
        <v>1550</v>
      </c>
      <c r="C1295" s="16" t="s">
        <v>1551</v>
      </c>
      <c r="D1295" s="16" t="s">
        <v>1542</v>
      </c>
      <c r="E1295" s="16" t="s">
        <v>1552</v>
      </c>
      <c r="F1295" s="16" t="s">
        <v>1553</v>
      </c>
      <c r="G1295" s="16" t="s">
        <v>1554</v>
      </c>
      <c r="H1295" s="16" t="s">
        <v>1553</v>
      </c>
      <c r="I1295" s="16" t="s">
        <v>1017</v>
      </c>
      <c r="J1295" s="16" t="s">
        <v>995</v>
      </c>
      <c r="K1295" s="16" t="s">
        <v>1018</v>
      </c>
      <c r="L1295" s="16" t="s">
        <v>85</v>
      </c>
      <c r="M1295" s="16" t="s">
        <v>1165</v>
      </c>
      <c r="N1295" s="16" t="s">
        <v>914</v>
      </c>
      <c r="O1295" s="16" t="s">
        <v>1166</v>
      </c>
      <c r="P1295" s="16" t="s">
        <v>914</v>
      </c>
      <c r="Q1295" s="16" t="s">
        <v>1166</v>
      </c>
      <c r="R1295" s="16" t="s">
        <v>915</v>
      </c>
      <c r="S1295" s="16" t="s">
        <v>915</v>
      </c>
      <c r="T1295" s="16" t="s">
        <v>1167</v>
      </c>
      <c r="U1295" s="16" t="s">
        <v>1168</v>
      </c>
      <c r="V1295" s="16" t="s">
        <v>916</v>
      </c>
      <c r="W1295" s="16" t="s">
        <v>1168</v>
      </c>
      <c r="X1295" s="16" t="s">
        <v>934</v>
      </c>
      <c r="Y1295" s="16" t="s">
        <v>934</v>
      </c>
      <c r="Z1295" s="16" t="s">
        <v>935</v>
      </c>
      <c r="DA1295" s="405" t="s">
        <v>5</v>
      </c>
      <c r="DB1295" s="405" t="s">
        <v>363</v>
      </c>
      <c r="DC1295" s="406" t="s">
        <v>85</v>
      </c>
      <c r="DD1295" s="405" t="s">
        <v>917</v>
      </c>
      <c r="DE1295" s="405" t="s">
        <v>5</v>
      </c>
      <c r="DF1295" s="406" t="s">
        <v>85</v>
      </c>
      <c r="DG1295" s="407">
        <v>45867</v>
      </c>
      <c r="DH1295" s="405" t="s">
        <v>1552</v>
      </c>
      <c r="DI1295" s="406">
        <v>465455</v>
      </c>
      <c r="DJ1295" s="408">
        <v>5</v>
      </c>
      <c r="DK1295" s="405">
        <v>1</v>
      </c>
      <c r="DL1295" s="82">
        <v>468.28</v>
      </c>
      <c r="DM1295" s="409">
        <v>2.3413999999999997</v>
      </c>
      <c r="DN1295" s="82" t="s">
        <v>85</v>
      </c>
      <c r="DO1295" s="82" t="s">
        <v>85</v>
      </c>
      <c r="DP1295" s="410" t="s">
        <v>85</v>
      </c>
    </row>
    <row r="1296" spans="1:120" x14ac:dyDescent="0.25">
      <c r="A1296" s="16" t="s">
        <v>1555</v>
      </c>
      <c r="B1296" s="16" t="s">
        <v>1556</v>
      </c>
      <c r="C1296" s="16" t="s">
        <v>1557</v>
      </c>
      <c r="D1296" s="16" t="s">
        <v>1542</v>
      </c>
      <c r="E1296" s="16" t="s">
        <v>1558</v>
      </c>
      <c r="F1296" s="16" t="s">
        <v>1559</v>
      </c>
      <c r="G1296" s="16" t="s">
        <v>1560</v>
      </c>
      <c r="H1296" s="16" t="s">
        <v>1559</v>
      </c>
      <c r="I1296" s="16" t="s">
        <v>1561</v>
      </c>
      <c r="J1296" s="16" t="s">
        <v>928</v>
      </c>
      <c r="K1296" s="16" t="s">
        <v>1562</v>
      </c>
      <c r="L1296" s="16" t="s">
        <v>85</v>
      </c>
      <c r="M1296" s="16" t="s">
        <v>1322</v>
      </c>
      <c r="N1296" s="16" t="s">
        <v>914</v>
      </c>
      <c r="O1296" s="16" t="s">
        <v>1323</v>
      </c>
      <c r="P1296" s="16" t="s">
        <v>914</v>
      </c>
      <c r="Q1296" s="16" t="s">
        <v>1323</v>
      </c>
      <c r="R1296" s="16" t="s">
        <v>915</v>
      </c>
      <c r="S1296" s="16" t="s">
        <v>915</v>
      </c>
      <c r="T1296" s="16" t="s">
        <v>1322</v>
      </c>
      <c r="U1296" s="16" t="s">
        <v>1324</v>
      </c>
      <c r="V1296" s="16" t="s">
        <v>916</v>
      </c>
      <c r="W1296" s="16" t="s">
        <v>1324</v>
      </c>
      <c r="X1296" s="16" t="s">
        <v>934</v>
      </c>
      <c r="Y1296" s="16" t="s">
        <v>934</v>
      </c>
      <c r="Z1296" s="16" t="s">
        <v>935</v>
      </c>
      <c r="DA1296" s="405" t="s">
        <v>5</v>
      </c>
      <c r="DB1296" s="405" t="s">
        <v>363</v>
      </c>
      <c r="DC1296" s="406" t="s">
        <v>85</v>
      </c>
      <c r="DD1296" s="405" t="s">
        <v>917</v>
      </c>
      <c r="DE1296" s="405" t="s">
        <v>5</v>
      </c>
      <c r="DF1296" s="406" t="s">
        <v>85</v>
      </c>
      <c r="DG1296" s="407">
        <v>45867</v>
      </c>
      <c r="DH1296" s="405" t="s">
        <v>1558</v>
      </c>
      <c r="DI1296" s="406">
        <v>465455</v>
      </c>
      <c r="DJ1296" s="408">
        <v>5</v>
      </c>
      <c r="DK1296" s="405">
        <v>1</v>
      </c>
      <c r="DL1296" s="82">
        <v>332.47</v>
      </c>
      <c r="DM1296" s="409">
        <v>1.6623500000000002</v>
      </c>
      <c r="DN1296" s="82" t="s">
        <v>85</v>
      </c>
      <c r="DO1296" s="82" t="s">
        <v>85</v>
      </c>
      <c r="DP1296" s="410" t="s">
        <v>85</v>
      </c>
    </row>
    <row r="1297" spans="1:120" x14ac:dyDescent="0.25">
      <c r="A1297" s="16" t="s">
        <v>1563</v>
      </c>
      <c r="B1297" s="16" t="s">
        <v>1564</v>
      </c>
      <c r="C1297" s="16" t="s">
        <v>1565</v>
      </c>
      <c r="D1297" s="16" t="s">
        <v>1542</v>
      </c>
      <c r="E1297" s="16" t="s">
        <v>1566</v>
      </c>
      <c r="F1297" s="16" t="s">
        <v>1567</v>
      </c>
      <c r="G1297" s="16" t="s">
        <v>1568</v>
      </c>
      <c r="H1297" s="16" t="s">
        <v>1569</v>
      </c>
      <c r="I1297" s="16" t="s">
        <v>1163</v>
      </c>
      <c r="J1297" s="16" t="s">
        <v>995</v>
      </c>
      <c r="K1297" s="16" t="s">
        <v>1164</v>
      </c>
      <c r="L1297" s="16" t="s">
        <v>85</v>
      </c>
      <c r="M1297" s="16" t="s">
        <v>1165</v>
      </c>
      <c r="N1297" s="16" t="s">
        <v>914</v>
      </c>
      <c r="O1297" s="16" t="s">
        <v>1166</v>
      </c>
      <c r="P1297" s="16" t="s">
        <v>914</v>
      </c>
      <c r="Q1297" s="16" t="s">
        <v>1166</v>
      </c>
      <c r="R1297" s="16" t="s">
        <v>915</v>
      </c>
      <c r="S1297" s="16" t="s">
        <v>915</v>
      </c>
      <c r="T1297" s="16" t="s">
        <v>1167</v>
      </c>
      <c r="U1297" s="16" t="s">
        <v>1168</v>
      </c>
      <c r="V1297" s="16" t="s">
        <v>916</v>
      </c>
      <c r="W1297" s="16" t="s">
        <v>1168</v>
      </c>
      <c r="X1297" s="16" t="s">
        <v>934</v>
      </c>
      <c r="Y1297" s="16" t="s">
        <v>934</v>
      </c>
      <c r="Z1297" s="16" t="s">
        <v>935</v>
      </c>
      <c r="DA1297" s="405" t="s">
        <v>5</v>
      </c>
      <c r="DB1297" s="405" t="s">
        <v>363</v>
      </c>
      <c r="DC1297" s="406" t="s">
        <v>85</v>
      </c>
      <c r="DD1297" s="405" t="s">
        <v>917</v>
      </c>
      <c r="DE1297" s="405" t="s">
        <v>5</v>
      </c>
      <c r="DF1297" s="406" t="s">
        <v>85</v>
      </c>
      <c r="DG1297" s="407">
        <v>45867</v>
      </c>
      <c r="DH1297" s="405" t="s">
        <v>1566</v>
      </c>
      <c r="DI1297" s="406">
        <v>465455</v>
      </c>
      <c r="DJ1297" s="408">
        <v>5</v>
      </c>
      <c r="DK1297" s="405">
        <v>1</v>
      </c>
      <c r="DL1297" s="82">
        <v>468.28</v>
      </c>
      <c r="DM1297" s="409">
        <v>2.3413999999999997</v>
      </c>
      <c r="DN1297" s="82" t="s">
        <v>85</v>
      </c>
      <c r="DO1297" s="82" t="s">
        <v>85</v>
      </c>
      <c r="DP1297" s="410" t="s">
        <v>85</v>
      </c>
    </row>
    <row r="1298" spans="1:120" x14ac:dyDescent="0.25">
      <c r="A1298" s="16" t="s">
        <v>1570</v>
      </c>
      <c r="B1298" s="16" t="s">
        <v>1571</v>
      </c>
      <c r="C1298" s="16" t="s">
        <v>1572</v>
      </c>
      <c r="D1298" s="16" t="s">
        <v>1542</v>
      </c>
      <c r="E1298" s="16" t="s">
        <v>1573</v>
      </c>
      <c r="F1298" s="16" t="s">
        <v>1574</v>
      </c>
      <c r="G1298" s="16" t="s">
        <v>1575</v>
      </c>
      <c r="H1298" s="16" t="s">
        <v>1576</v>
      </c>
      <c r="I1298" s="16" t="s">
        <v>1108</v>
      </c>
      <c r="J1298" s="16" t="s">
        <v>1109</v>
      </c>
      <c r="K1298" s="16" t="s">
        <v>1110</v>
      </c>
      <c r="L1298" s="16" t="s">
        <v>85</v>
      </c>
      <c r="M1298" s="16" t="s">
        <v>1311</v>
      </c>
      <c r="N1298" s="16" t="s">
        <v>914</v>
      </c>
      <c r="O1298" s="16" t="s">
        <v>1312</v>
      </c>
      <c r="P1298" s="16" t="s">
        <v>914</v>
      </c>
      <c r="Q1298" s="16" t="s">
        <v>1312</v>
      </c>
      <c r="R1298" s="16" t="s">
        <v>915</v>
      </c>
      <c r="S1298" s="16" t="s">
        <v>915</v>
      </c>
      <c r="T1298" s="16" t="s">
        <v>1311</v>
      </c>
      <c r="U1298" s="16" t="s">
        <v>1313</v>
      </c>
      <c r="V1298" s="16" t="s">
        <v>916</v>
      </c>
      <c r="W1298" s="16" t="s">
        <v>1313</v>
      </c>
      <c r="X1298" s="16" t="s">
        <v>934</v>
      </c>
      <c r="Y1298" s="16" t="s">
        <v>934</v>
      </c>
      <c r="Z1298" s="16" t="s">
        <v>935</v>
      </c>
      <c r="DA1298" s="405" t="s">
        <v>5</v>
      </c>
      <c r="DB1298" s="405" t="s">
        <v>363</v>
      </c>
      <c r="DC1298" s="406" t="s">
        <v>85</v>
      </c>
      <c r="DD1298" s="405" t="s">
        <v>917</v>
      </c>
      <c r="DE1298" s="405" t="s">
        <v>5</v>
      </c>
      <c r="DF1298" s="406" t="s">
        <v>85</v>
      </c>
      <c r="DG1298" s="407">
        <v>45867</v>
      </c>
      <c r="DH1298" s="405" t="s">
        <v>1573</v>
      </c>
      <c r="DI1298" s="406">
        <v>465455</v>
      </c>
      <c r="DJ1298" s="408">
        <v>5</v>
      </c>
      <c r="DK1298" s="405">
        <v>1</v>
      </c>
      <c r="DL1298" s="82">
        <v>531.54</v>
      </c>
      <c r="DM1298" s="409">
        <v>2.6576999999999997</v>
      </c>
      <c r="DN1298" s="82" t="s">
        <v>85</v>
      </c>
      <c r="DO1298" s="82" t="s">
        <v>85</v>
      </c>
      <c r="DP1298" s="410" t="s">
        <v>85</v>
      </c>
    </row>
    <row r="1299" spans="1:120" x14ac:dyDescent="0.25">
      <c r="A1299" s="16" t="s">
        <v>1577</v>
      </c>
      <c r="B1299" s="16" t="s">
        <v>1578</v>
      </c>
      <c r="C1299" s="16" t="s">
        <v>1579</v>
      </c>
      <c r="D1299" s="16" t="s">
        <v>1542</v>
      </c>
      <c r="E1299" s="16" t="s">
        <v>1580</v>
      </c>
      <c r="F1299" s="16" t="s">
        <v>1581</v>
      </c>
      <c r="G1299" s="16" t="s">
        <v>1582</v>
      </c>
      <c r="H1299" s="16" t="s">
        <v>1583</v>
      </c>
      <c r="I1299" s="16" t="s">
        <v>1584</v>
      </c>
      <c r="J1299" s="16" t="s">
        <v>928</v>
      </c>
      <c r="K1299" s="16" t="s">
        <v>1585</v>
      </c>
      <c r="L1299" s="16" t="s">
        <v>85</v>
      </c>
      <c r="M1299" s="16" t="s">
        <v>1322</v>
      </c>
      <c r="N1299" s="16" t="s">
        <v>914</v>
      </c>
      <c r="O1299" s="16" t="s">
        <v>1323</v>
      </c>
      <c r="P1299" s="16" t="s">
        <v>914</v>
      </c>
      <c r="Q1299" s="16" t="s">
        <v>1323</v>
      </c>
      <c r="R1299" s="16" t="s">
        <v>915</v>
      </c>
      <c r="S1299" s="16" t="s">
        <v>915</v>
      </c>
      <c r="T1299" s="16" t="s">
        <v>1322</v>
      </c>
      <c r="U1299" s="16" t="s">
        <v>1324</v>
      </c>
      <c r="V1299" s="16" t="s">
        <v>916</v>
      </c>
      <c r="W1299" s="16" t="s">
        <v>1324</v>
      </c>
      <c r="X1299" s="16" t="s">
        <v>934</v>
      </c>
      <c r="Y1299" s="16" t="s">
        <v>934</v>
      </c>
      <c r="Z1299" s="16" t="s">
        <v>935</v>
      </c>
      <c r="DA1299" s="405" t="s">
        <v>5</v>
      </c>
      <c r="DB1299" s="405" t="s">
        <v>363</v>
      </c>
      <c r="DC1299" s="406" t="s">
        <v>85</v>
      </c>
      <c r="DD1299" s="405" t="s">
        <v>917</v>
      </c>
      <c r="DE1299" s="405" t="s">
        <v>5</v>
      </c>
      <c r="DF1299" s="406" t="s">
        <v>85</v>
      </c>
      <c r="DG1299" s="407">
        <v>45867</v>
      </c>
      <c r="DH1299" s="405" t="s">
        <v>1580</v>
      </c>
      <c r="DI1299" s="406">
        <v>465455</v>
      </c>
      <c r="DJ1299" s="408">
        <v>5</v>
      </c>
      <c r="DK1299" s="405">
        <v>1</v>
      </c>
      <c r="DL1299" s="82">
        <v>332.47</v>
      </c>
      <c r="DM1299" s="409">
        <v>1.6623500000000002</v>
      </c>
      <c r="DN1299" s="82" t="s">
        <v>85</v>
      </c>
      <c r="DO1299" s="82" t="s">
        <v>85</v>
      </c>
      <c r="DP1299" s="410" t="s">
        <v>85</v>
      </c>
    </row>
    <row r="1300" spans="1:120" x14ac:dyDescent="0.25">
      <c r="A1300" s="16" t="s">
        <v>1586</v>
      </c>
      <c r="B1300" s="16" t="s">
        <v>1587</v>
      </c>
      <c r="C1300" s="16" t="s">
        <v>1588</v>
      </c>
      <c r="D1300" s="16" t="s">
        <v>1542</v>
      </c>
      <c r="E1300" s="16" t="s">
        <v>1589</v>
      </c>
      <c r="F1300" s="16" t="s">
        <v>1590</v>
      </c>
      <c r="G1300" s="16" t="s">
        <v>1591</v>
      </c>
      <c r="H1300" s="16" t="s">
        <v>1590</v>
      </c>
      <c r="I1300" s="16" t="s">
        <v>1090</v>
      </c>
      <c r="J1300" s="16" t="s">
        <v>943</v>
      </c>
      <c r="K1300" s="16" t="s">
        <v>1091</v>
      </c>
      <c r="L1300" s="16" t="s">
        <v>85</v>
      </c>
      <c r="M1300" s="16" t="s">
        <v>984</v>
      </c>
      <c r="N1300" s="16" t="s">
        <v>914</v>
      </c>
      <c r="O1300" s="16" t="s">
        <v>985</v>
      </c>
      <c r="P1300" s="16" t="s">
        <v>914</v>
      </c>
      <c r="Q1300" s="16" t="s">
        <v>985</v>
      </c>
      <c r="R1300" s="16" t="s">
        <v>915</v>
      </c>
      <c r="S1300" s="16" t="s">
        <v>915</v>
      </c>
      <c r="T1300" s="16" t="s">
        <v>986</v>
      </c>
      <c r="U1300" s="16" t="s">
        <v>987</v>
      </c>
      <c r="V1300" s="16" t="s">
        <v>916</v>
      </c>
      <c r="W1300" s="16" t="s">
        <v>987</v>
      </c>
      <c r="X1300" s="16" t="s">
        <v>934</v>
      </c>
      <c r="Y1300" s="16" t="s">
        <v>934</v>
      </c>
      <c r="Z1300" s="16" t="s">
        <v>935</v>
      </c>
      <c r="DA1300" s="405" t="s">
        <v>5</v>
      </c>
      <c r="DB1300" s="405" t="s">
        <v>363</v>
      </c>
      <c r="DC1300" s="406" t="s">
        <v>85</v>
      </c>
      <c r="DD1300" s="405" t="s">
        <v>917</v>
      </c>
      <c r="DE1300" s="405" t="s">
        <v>5</v>
      </c>
      <c r="DF1300" s="406" t="s">
        <v>85</v>
      </c>
      <c r="DG1300" s="407">
        <v>45867</v>
      </c>
      <c r="DH1300" s="405" t="s">
        <v>1589</v>
      </c>
      <c r="DI1300" s="406">
        <v>465455</v>
      </c>
      <c r="DJ1300" s="408">
        <v>5</v>
      </c>
      <c r="DK1300" s="405">
        <v>1</v>
      </c>
      <c r="DL1300" s="82">
        <v>340.55</v>
      </c>
      <c r="DM1300" s="409">
        <v>1.70275</v>
      </c>
      <c r="DN1300" s="82" t="s">
        <v>85</v>
      </c>
      <c r="DO1300" s="82" t="s">
        <v>85</v>
      </c>
      <c r="DP1300" s="410" t="s">
        <v>85</v>
      </c>
    </row>
    <row r="1301" spans="1:120" x14ac:dyDescent="0.25">
      <c r="A1301" s="16" t="s">
        <v>1592</v>
      </c>
      <c r="B1301" s="16" t="s">
        <v>1593</v>
      </c>
      <c r="C1301" s="16" t="s">
        <v>1594</v>
      </c>
      <c r="D1301" s="16" t="s">
        <v>1542</v>
      </c>
      <c r="E1301" s="16" t="s">
        <v>1595</v>
      </c>
      <c r="F1301" s="16" t="s">
        <v>1596</v>
      </c>
      <c r="G1301" s="16" t="s">
        <v>1597</v>
      </c>
      <c r="H1301" s="16" t="s">
        <v>1596</v>
      </c>
      <c r="I1301" s="16" t="s">
        <v>1598</v>
      </c>
      <c r="J1301" s="16" t="s">
        <v>995</v>
      </c>
      <c r="K1301" s="16" t="s">
        <v>1599</v>
      </c>
      <c r="L1301" s="16" t="s">
        <v>85</v>
      </c>
      <c r="M1301" s="16" t="s">
        <v>1165</v>
      </c>
      <c r="N1301" s="16" t="s">
        <v>914</v>
      </c>
      <c r="O1301" s="16" t="s">
        <v>1166</v>
      </c>
      <c r="P1301" s="16" t="s">
        <v>914</v>
      </c>
      <c r="Q1301" s="16" t="s">
        <v>1166</v>
      </c>
      <c r="R1301" s="16" t="s">
        <v>915</v>
      </c>
      <c r="S1301" s="16" t="s">
        <v>915</v>
      </c>
      <c r="T1301" s="16" t="s">
        <v>1167</v>
      </c>
      <c r="U1301" s="16" t="s">
        <v>1168</v>
      </c>
      <c r="V1301" s="16" t="s">
        <v>916</v>
      </c>
      <c r="W1301" s="16" t="s">
        <v>1168</v>
      </c>
      <c r="X1301" s="16" t="s">
        <v>934</v>
      </c>
      <c r="Y1301" s="16" t="s">
        <v>934</v>
      </c>
      <c r="Z1301" s="16" t="s">
        <v>935</v>
      </c>
      <c r="DA1301" s="405" t="s">
        <v>5</v>
      </c>
      <c r="DB1301" s="405" t="s">
        <v>363</v>
      </c>
      <c r="DC1301" s="406" t="s">
        <v>85</v>
      </c>
      <c r="DD1301" s="405" t="s">
        <v>917</v>
      </c>
      <c r="DE1301" s="405" t="s">
        <v>5</v>
      </c>
      <c r="DF1301" s="406" t="s">
        <v>85</v>
      </c>
      <c r="DG1301" s="407">
        <v>45867</v>
      </c>
      <c r="DH1301" s="405" t="s">
        <v>1595</v>
      </c>
      <c r="DI1301" s="406">
        <v>465455</v>
      </c>
      <c r="DJ1301" s="408">
        <v>5</v>
      </c>
      <c r="DK1301" s="405">
        <v>1</v>
      </c>
      <c r="DL1301" s="82">
        <v>468.28</v>
      </c>
      <c r="DM1301" s="409">
        <v>2.3413999999999997</v>
      </c>
      <c r="DN1301" s="82" t="s">
        <v>85</v>
      </c>
      <c r="DO1301" s="82" t="s">
        <v>85</v>
      </c>
      <c r="DP1301" s="410" t="s">
        <v>85</v>
      </c>
    </row>
    <row r="1302" spans="1:120" x14ac:dyDescent="0.25">
      <c r="A1302" s="16" t="s">
        <v>1600</v>
      </c>
      <c r="B1302" s="16" t="s">
        <v>1601</v>
      </c>
      <c r="C1302" s="16" t="s">
        <v>1602</v>
      </c>
      <c r="D1302" s="16" t="s">
        <v>1542</v>
      </c>
      <c r="E1302" s="16" t="s">
        <v>1603</v>
      </c>
      <c r="F1302" s="16" t="s">
        <v>1604</v>
      </c>
      <c r="G1302" s="16" t="s">
        <v>1605</v>
      </c>
      <c r="H1302" s="16" t="s">
        <v>1604</v>
      </c>
      <c r="I1302" s="16" t="s">
        <v>1163</v>
      </c>
      <c r="J1302" s="16" t="s">
        <v>995</v>
      </c>
      <c r="K1302" s="16" t="s">
        <v>1164</v>
      </c>
      <c r="L1302" s="16" t="s">
        <v>85</v>
      </c>
      <c r="M1302" s="16" t="s">
        <v>1165</v>
      </c>
      <c r="N1302" s="16" t="s">
        <v>914</v>
      </c>
      <c r="O1302" s="16" t="s">
        <v>1166</v>
      </c>
      <c r="P1302" s="16" t="s">
        <v>914</v>
      </c>
      <c r="Q1302" s="16" t="s">
        <v>1166</v>
      </c>
      <c r="R1302" s="16" t="s">
        <v>915</v>
      </c>
      <c r="S1302" s="16" t="s">
        <v>915</v>
      </c>
      <c r="T1302" s="16" t="s">
        <v>1167</v>
      </c>
      <c r="U1302" s="16" t="s">
        <v>1168</v>
      </c>
      <c r="V1302" s="16" t="s">
        <v>916</v>
      </c>
      <c r="W1302" s="16" t="s">
        <v>1168</v>
      </c>
      <c r="X1302" s="16" t="s">
        <v>934</v>
      </c>
      <c r="Y1302" s="16" t="s">
        <v>934</v>
      </c>
      <c r="Z1302" s="16" t="s">
        <v>935</v>
      </c>
      <c r="DA1302" s="405" t="s">
        <v>5</v>
      </c>
      <c r="DB1302" s="405" t="s">
        <v>363</v>
      </c>
      <c r="DC1302" s="406" t="s">
        <v>85</v>
      </c>
      <c r="DD1302" s="405" t="s">
        <v>917</v>
      </c>
      <c r="DE1302" s="405" t="s">
        <v>5</v>
      </c>
      <c r="DF1302" s="406" t="s">
        <v>85</v>
      </c>
      <c r="DG1302" s="407">
        <v>45867</v>
      </c>
      <c r="DH1302" s="405" t="s">
        <v>1603</v>
      </c>
      <c r="DI1302" s="406">
        <v>465455</v>
      </c>
      <c r="DJ1302" s="408">
        <v>5</v>
      </c>
      <c r="DK1302" s="405">
        <v>1</v>
      </c>
      <c r="DL1302" s="82">
        <v>468.28</v>
      </c>
      <c r="DM1302" s="409">
        <v>2.3413999999999997</v>
      </c>
      <c r="DN1302" s="82" t="s">
        <v>85</v>
      </c>
      <c r="DO1302" s="82" t="s">
        <v>85</v>
      </c>
      <c r="DP1302" s="410" t="s">
        <v>85</v>
      </c>
    </row>
    <row r="1303" spans="1:120" x14ac:dyDescent="0.25">
      <c r="A1303" s="16" t="s">
        <v>1606</v>
      </c>
      <c r="B1303" s="16" t="s">
        <v>1607</v>
      </c>
      <c r="C1303" s="16" t="s">
        <v>1608</v>
      </c>
      <c r="D1303" s="16" t="s">
        <v>1542</v>
      </c>
      <c r="E1303" s="16" t="s">
        <v>1609</v>
      </c>
      <c r="F1303" s="16" t="s">
        <v>1610</v>
      </c>
      <c r="G1303" s="16" t="s">
        <v>1611</v>
      </c>
      <c r="H1303" s="16" t="s">
        <v>1612</v>
      </c>
      <c r="I1303" s="16" t="s">
        <v>1150</v>
      </c>
      <c r="J1303" s="16" t="s">
        <v>943</v>
      </c>
      <c r="K1303" s="16" t="s">
        <v>1151</v>
      </c>
      <c r="L1303" s="16" t="s">
        <v>85</v>
      </c>
      <c r="M1303" s="16" t="s">
        <v>984</v>
      </c>
      <c r="N1303" s="16" t="s">
        <v>914</v>
      </c>
      <c r="O1303" s="16" t="s">
        <v>985</v>
      </c>
      <c r="P1303" s="16" t="s">
        <v>914</v>
      </c>
      <c r="Q1303" s="16" t="s">
        <v>985</v>
      </c>
      <c r="R1303" s="16" t="s">
        <v>915</v>
      </c>
      <c r="S1303" s="16" t="s">
        <v>915</v>
      </c>
      <c r="T1303" s="16" t="s">
        <v>986</v>
      </c>
      <c r="U1303" s="16" t="s">
        <v>987</v>
      </c>
      <c r="V1303" s="16" t="s">
        <v>916</v>
      </c>
      <c r="W1303" s="16" t="s">
        <v>987</v>
      </c>
      <c r="X1303" s="16" t="s">
        <v>934</v>
      </c>
      <c r="Y1303" s="16" t="s">
        <v>934</v>
      </c>
      <c r="Z1303" s="16" t="s">
        <v>935</v>
      </c>
      <c r="DA1303" s="405" t="s">
        <v>5</v>
      </c>
      <c r="DB1303" s="405" t="s">
        <v>363</v>
      </c>
      <c r="DC1303" s="406" t="s">
        <v>85</v>
      </c>
      <c r="DD1303" s="405" t="s">
        <v>917</v>
      </c>
      <c r="DE1303" s="405" t="s">
        <v>5</v>
      </c>
      <c r="DF1303" s="406" t="s">
        <v>85</v>
      </c>
      <c r="DG1303" s="407">
        <v>45867</v>
      </c>
      <c r="DH1303" s="405" t="s">
        <v>1609</v>
      </c>
      <c r="DI1303" s="406">
        <v>465455</v>
      </c>
      <c r="DJ1303" s="408">
        <v>5</v>
      </c>
      <c r="DK1303" s="405">
        <v>1</v>
      </c>
      <c r="DL1303" s="82">
        <v>340.55</v>
      </c>
      <c r="DM1303" s="409">
        <v>1.70275</v>
      </c>
      <c r="DN1303" s="82" t="s">
        <v>85</v>
      </c>
      <c r="DO1303" s="82" t="s">
        <v>85</v>
      </c>
      <c r="DP1303" s="410" t="s">
        <v>85</v>
      </c>
    </row>
    <row r="1304" spans="1:120" x14ac:dyDescent="0.25">
      <c r="A1304" s="16" t="s">
        <v>1613</v>
      </c>
      <c r="B1304" s="16" t="s">
        <v>1614</v>
      </c>
      <c r="C1304" s="16" t="s">
        <v>1615</v>
      </c>
      <c r="D1304" s="16" t="s">
        <v>1542</v>
      </c>
      <c r="E1304" s="16" t="s">
        <v>1616</v>
      </c>
      <c r="F1304" s="16" t="s">
        <v>1617</v>
      </c>
      <c r="G1304" s="16" t="s">
        <v>1618</v>
      </c>
      <c r="H1304" s="16" t="s">
        <v>1619</v>
      </c>
      <c r="I1304" s="16" t="s">
        <v>1620</v>
      </c>
      <c r="J1304" s="16" t="s">
        <v>943</v>
      </c>
      <c r="K1304" s="16" t="s">
        <v>1621</v>
      </c>
      <c r="L1304" s="16" t="s">
        <v>85</v>
      </c>
      <c r="M1304" s="16" t="s">
        <v>984</v>
      </c>
      <c r="N1304" s="16" t="s">
        <v>914</v>
      </c>
      <c r="O1304" s="16" t="s">
        <v>985</v>
      </c>
      <c r="P1304" s="16" t="s">
        <v>914</v>
      </c>
      <c r="Q1304" s="16" t="s">
        <v>985</v>
      </c>
      <c r="R1304" s="16" t="s">
        <v>915</v>
      </c>
      <c r="S1304" s="16" t="s">
        <v>915</v>
      </c>
      <c r="T1304" s="16" t="s">
        <v>986</v>
      </c>
      <c r="U1304" s="16" t="s">
        <v>987</v>
      </c>
      <c r="V1304" s="16" t="s">
        <v>916</v>
      </c>
      <c r="W1304" s="16" t="s">
        <v>987</v>
      </c>
      <c r="X1304" s="16" t="s">
        <v>934</v>
      </c>
      <c r="Y1304" s="16" t="s">
        <v>934</v>
      </c>
      <c r="Z1304" s="16" t="s">
        <v>935</v>
      </c>
      <c r="DA1304" s="405" t="s">
        <v>5</v>
      </c>
      <c r="DB1304" s="405" t="s">
        <v>363</v>
      </c>
      <c r="DC1304" s="406" t="s">
        <v>85</v>
      </c>
      <c r="DD1304" s="405" t="s">
        <v>917</v>
      </c>
      <c r="DE1304" s="405" t="s">
        <v>5</v>
      </c>
      <c r="DF1304" s="406" t="s">
        <v>85</v>
      </c>
      <c r="DG1304" s="407">
        <v>45867</v>
      </c>
      <c r="DH1304" s="405" t="s">
        <v>1616</v>
      </c>
      <c r="DI1304" s="406">
        <v>465455</v>
      </c>
      <c r="DJ1304" s="408">
        <v>5</v>
      </c>
      <c r="DK1304" s="405">
        <v>1</v>
      </c>
      <c r="DL1304" s="82">
        <v>340.55</v>
      </c>
      <c r="DM1304" s="409">
        <v>1.70275</v>
      </c>
      <c r="DN1304" s="82" t="s">
        <v>85</v>
      </c>
      <c r="DO1304" s="82" t="s">
        <v>85</v>
      </c>
      <c r="DP1304" s="410" t="s">
        <v>85</v>
      </c>
    </row>
    <row r="1305" spans="1:120" x14ac:dyDescent="0.25">
      <c r="A1305" s="16" t="s">
        <v>1622</v>
      </c>
      <c r="B1305" s="16" t="s">
        <v>1623</v>
      </c>
      <c r="C1305" s="16" t="s">
        <v>1624</v>
      </c>
      <c r="D1305" s="16" t="s">
        <v>1542</v>
      </c>
      <c r="E1305" s="16" t="s">
        <v>1625</v>
      </c>
      <c r="F1305" s="16" t="s">
        <v>1626</v>
      </c>
      <c r="G1305" s="16" t="s">
        <v>1627</v>
      </c>
      <c r="H1305" s="16" t="s">
        <v>1628</v>
      </c>
      <c r="I1305" s="16" t="s">
        <v>1629</v>
      </c>
      <c r="J1305" s="16" t="s">
        <v>1509</v>
      </c>
      <c r="K1305" s="16" t="s">
        <v>1630</v>
      </c>
      <c r="L1305" s="16" t="s">
        <v>85</v>
      </c>
      <c r="M1305" s="16" t="s">
        <v>1511</v>
      </c>
      <c r="N1305" s="16" t="s">
        <v>914</v>
      </c>
      <c r="O1305" s="16" t="s">
        <v>1512</v>
      </c>
      <c r="P1305" s="16" t="s">
        <v>914</v>
      </c>
      <c r="Q1305" s="16" t="s">
        <v>1512</v>
      </c>
      <c r="R1305" s="16" t="s">
        <v>915</v>
      </c>
      <c r="S1305" s="16" t="s">
        <v>915</v>
      </c>
      <c r="T1305" s="16" t="s">
        <v>1511</v>
      </c>
      <c r="U1305" s="16" t="s">
        <v>1513</v>
      </c>
      <c r="V1305" s="16" t="s">
        <v>916</v>
      </c>
      <c r="W1305" s="16" t="s">
        <v>1513</v>
      </c>
      <c r="X1305" s="16" t="s">
        <v>934</v>
      </c>
      <c r="Y1305" s="16" t="s">
        <v>934</v>
      </c>
      <c r="Z1305" s="16" t="s">
        <v>935</v>
      </c>
      <c r="DA1305" s="405" t="s">
        <v>5</v>
      </c>
      <c r="DB1305" s="405" t="s">
        <v>363</v>
      </c>
      <c r="DC1305" s="406" t="s">
        <v>85</v>
      </c>
      <c r="DD1305" s="405" t="s">
        <v>917</v>
      </c>
      <c r="DE1305" s="405" t="s">
        <v>5</v>
      </c>
      <c r="DF1305" s="406" t="s">
        <v>85</v>
      </c>
      <c r="DG1305" s="407">
        <v>45867</v>
      </c>
      <c r="DH1305" s="405" t="s">
        <v>1625</v>
      </c>
      <c r="DI1305" s="406">
        <v>465455</v>
      </c>
      <c r="DJ1305" s="408">
        <v>5</v>
      </c>
      <c r="DK1305" s="405">
        <v>1</v>
      </c>
      <c r="DL1305" s="82">
        <v>526.82000000000005</v>
      </c>
      <c r="DM1305" s="409">
        <v>2.6341000000000001</v>
      </c>
      <c r="DN1305" s="82" t="s">
        <v>85</v>
      </c>
      <c r="DO1305" s="82" t="s">
        <v>85</v>
      </c>
      <c r="DP1305" s="410" t="s">
        <v>85</v>
      </c>
    </row>
    <row r="1306" spans="1:120" x14ac:dyDescent="0.25">
      <c r="A1306" s="16" t="s">
        <v>1631</v>
      </c>
      <c r="B1306" s="16" t="s">
        <v>1632</v>
      </c>
      <c r="C1306" s="16" t="s">
        <v>1633</v>
      </c>
      <c r="D1306" s="16" t="s">
        <v>1542</v>
      </c>
      <c r="E1306" s="16" t="s">
        <v>1634</v>
      </c>
      <c r="F1306" s="16" t="s">
        <v>1635</v>
      </c>
      <c r="G1306" s="16" t="s">
        <v>1636</v>
      </c>
      <c r="H1306" s="16" t="s">
        <v>1637</v>
      </c>
      <c r="I1306" s="16" t="s">
        <v>1638</v>
      </c>
      <c r="J1306" s="16" t="s">
        <v>943</v>
      </c>
      <c r="K1306" s="16" t="s">
        <v>1639</v>
      </c>
      <c r="L1306" s="16" t="s">
        <v>85</v>
      </c>
      <c r="M1306" s="16" t="s">
        <v>984</v>
      </c>
      <c r="N1306" s="16" t="s">
        <v>914</v>
      </c>
      <c r="O1306" s="16" t="s">
        <v>985</v>
      </c>
      <c r="P1306" s="16" t="s">
        <v>914</v>
      </c>
      <c r="Q1306" s="16" t="s">
        <v>985</v>
      </c>
      <c r="R1306" s="16" t="s">
        <v>915</v>
      </c>
      <c r="S1306" s="16" t="s">
        <v>915</v>
      </c>
      <c r="T1306" s="16" t="s">
        <v>986</v>
      </c>
      <c r="U1306" s="16" t="s">
        <v>987</v>
      </c>
      <c r="V1306" s="16" t="s">
        <v>916</v>
      </c>
      <c r="W1306" s="16" t="s">
        <v>987</v>
      </c>
      <c r="X1306" s="16" t="s">
        <v>934</v>
      </c>
      <c r="Y1306" s="16" t="s">
        <v>934</v>
      </c>
      <c r="Z1306" s="16" t="s">
        <v>935</v>
      </c>
      <c r="DA1306" s="405" t="s">
        <v>5</v>
      </c>
      <c r="DB1306" s="405" t="s">
        <v>363</v>
      </c>
      <c r="DC1306" s="406" t="s">
        <v>85</v>
      </c>
      <c r="DD1306" s="405" t="s">
        <v>917</v>
      </c>
      <c r="DE1306" s="405" t="s">
        <v>5</v>
      </c>
      <c r="DF1306" s="406" t="s">
        <v>85</v>
      </c>
      <c r="DG1306" s="407">
        <v>45867</v>
      </c>
      <c r="DH1306" s="405" t="s">
        <v>1634</v>
      </c>
      <c r="DI1306" s="406">
        <v>465455</v>
      </c>
      <c r="DJ1306" s="408">
        <v>5</v>
      </c>
      <c r="DK1306" s="405">
        <v>1</v>
      </c>
      <c r="DL1306" s="82">
        <v>340.55</v>
      </c>
      <c r="DM1306" s="409">
        <v>1.70275</v>
      </c>
      <c r="DN1306" s="82" t="s">
        <v>85</v>
      </c>
      <c r="DO1306" s="82" t="s">
        <v>85</v>
      </c>
      <c r="DP1306" s="410" t="s">
        <v>85</v>
      </c>
    </row>
    <row r="1307" spans="1:120" x14ac:dyDescent="0.25">
      <c r="A1307" s="16" t="s">
        <v>1640</v>
      </c>
      <c r="B1307" s="16" t="s">
        <v>1641</v>
      </c>
      <c r="C1307" s="16" t="s">
        <v>1642</v>
      </c>
      <c r="D1307" s="16" t="s">
        <v>1542</v>
      </c>
      <c r="E1307" s="16" t="s">
        <v>1643</v>
      </c>
      <c r="F1307" s="16" t="s">
        <v>1644</v>
      </c>
      <c r="G1307" s="16" t="s">
        <v>1645</v>
      </c>
      <c r="H1307" s="16" t="s">
        <v>1646</v>
      </c>
      <c r="I1307" s="16" t="s">
        <v>1287</v>
      </c>
      <c r="J1307" s="16" t="s">
        <v>943</v>
      </c>
      <c r="K1307" s="16" t="s">
        <v>1288</v>
      </c>
      <c r="L1307" s="16" t="s">
        <v>85</v>
      </c>
      <c r="M1307" s="16" t="s">
        <v>984</v>
      </c>
      <c r="N1307" s="16" t="s">
        <v>914</v>
      </c>
      <c r="O1307" s="16" t="s">
        <v>985</v>
      </c>
      <c r="P1307" s="16" t="s">
        <v>914</v>
      </c>
      <c r="Q1307" s="16" t="s">
        <v>985</v>
      </c>
      <c r="R1307" s="16" t="s">
        <v>915</v>
      </c>
      <c r="S1307" s="16" t="s">
        <v>915</v>
      </c>
      <c r="T1307" s="16" t="s">
        <v>986</v>
      </c>
      <c r="U1307" s="16" t="s">
        <v>987</v>
      </c>
      <c r="V1307" s="16" t="s">
        <v>916</v>
      </c>
      <c r="W1307" s="16" t="s">
        <v>987</v>
      </c>
      <c r="X1307" s="16" t="s">
        <v>934</v>
      </c>
      <c r="Y1307" s="16" t="s">
        <v>934</v>
      </c>
      <c r="Z1307" s="16" t="s">
        <v>935</v>
      </c>
      <c r="DA1307" s="405" t="s">
        <v>5</v>
      </c>
      <c r="DB1307" s="405" t="s">
        <v>363</v>
      </c>
      <c r="DC1307" s="406" t="s">
        <v>85</v>
      </c>
      <c r="DD1307" s="405" t="s">
        <v>917</v>
      </c>
      <c r="DE1307" s="405" t="s">
        <v>5</v>
      </c>
      <c r="DF1307" s="406" t="s">
        <v>85</v>
      </c>
      <c r="DG1307" s="407">
        <v>45867</v>
      </c>
      <c r="DH1307" s="405" t="s">
        <v>1643</v>
      </c>
      <c r="DI1307" s="406">
        <v>465455</v>
      </c>
      <c r="DJ1307" s="408">
        <v>5</v>
      </c>
      <c r="DK1307" s="405">
        <v>1</v>
      </c>
      <c r="DL1307" s="82">
        <v>340.55</v>
      </c>
      <c r="DM1307" s="409">
        <v>1.70275</v>
      </c>
      <c r="DN1307" s="82" t="s">
        <v>85</v>
      </c>
      <c r="DO1307" s="82" t="s">
        <v>85</v>
      </c>
      <c r="DP1307" s="410" t="s">
        <v>85</v>
      </c>
    </row>
    <row r="1308" spans="1:120" x14ac:dyDescent="0.25">
      <c r="A1308" s="16" t="s">
        <v>1647</v>
      </c>
      <c r="B1308" s="16" t="s">
        <v>1648</v>
      </c>
      <c r="C1308" s="16" t="s">
        <v>1649</v>
      </c>
      <c r="D1308" s="16" t="s">
        <v>1542</v>
      </c>
      <c r="E1308" s="16" t="s">
        <v>1650</v>
      </c>
      <c r="F1308" s="16" t="s">
        <v>1651</v>
      </c>
      <c r="G1308" s="16" t="s">
        <v>1652</v>
      </c>
      <c r="H1308" s="16" t="s">
        <v>1651</v>
      </c>
      <c r="I1308" s="16" t="s">
        <v>1198</v>
      </c>
      <c r="J1308" s="16" t="s">
        <v>956</v>
      </c>
      <c r="K1308" s="16" t="s">
        <v>1199</v>
      </c>
      <c r="L1308" s="16" t="s">
        <v>85</v>
      </c>
      <c r="M1308" s="16" t="s">
        <v>1396</v>
      </c>
      <c r="N1308" s="16" t="s">
        <v>914</v>
      </c>
      <c r="O1308" s="16" t="s">
        <v>1397</v>
      </c>
      <c r="P1308" s="16" t="s">
        <v>914</v>
      </c>
      <c r="Q1308" s="16" t="s">
        <v>1397</v>
      </c>
      <c r="R1308" s="16" t="s">
        <v>915</v>
      </c>
      <c r="S1308" s="16" t="s">
        <v>915</v>
      </c>
      <c r="T1308" s="16" t="s">
        <v>1396</v>
      </c>
      <c r="U1308" s="16" t="s">
        <v>1398</v>
      </c>
      <c r="V1308" s="16" t="s">
        <v>916</v>
      </c>
      <c r="W1308" s="16" t="s">
        <v>1398</v>
      </c>
      <c r="X1308" s="16" t="s">
        <v>934</v>
      </c>
      <c r="Y1308" s="16" t="s">
        <v>934</v>
      </c>
      <c r="Z1308" s="16" t="s">
        <v>935</v>
      </c>
      <c r="DA1308" s="405" t="s">
        <v>5</v>
      </c>
      <c r="DB1308" s="405" t="s">
        <v>363</v>
      </c>
      <c r="DC1308" s="406" t="s">
        <v>85</v>
      </c>
      <c r="DD1308" s="405" t="s">
        <v>917</v>
      </c>
      <c r="DE1308" s="405" t="s">
        <v>5</v>
      </c>
      <c r="DF1308" s="406" t="s">
        <v>85</v>
      </c>
      <c r="DG1308" s="407">
        <v>45867</v>
      </c>
      <c r="DH1308" s="405" t="s">
        <v>1650</v>
      </c>
      <c r="DI1308" s="406">
        <v>465455</v>
      </c>
      <c r="DJ1308" s="408">
        <v>5</v>
      </c>
      <c r="DK1308" s="405">
        <v>1</v>
      </c>
      <c r="DL1308" s="82">
        <v>265.92</v>
      </c>
      <c r="DM1308" s="409">
        <v>1.3296000000000001</v>
      </c>
      <c r="DN1308" s="82" t="s">
        <v>85</v>
      </c>
      <c r="DO1308" s="82" t="s">
        <v>85</v>
      </c>
      <c r="DP1308" s="410" t="s">
        <v>85</v>
      </c>
    </row>
    <row r="1309" spans="1:120" x14ac:dyDescent="0.25">
      <c r="A1309" s="16" t="s">
        <v>1653</v>
      </c>
      <c r="B1309" s="16" t="s">
        <v>1654</v>
      </c>
      <c r="C1309" s="16" t="s">
        <v>1655</v>
      </c>
      <c r="D1309" s="16" t="s">
        <v>1542</v>
      </c>
      <c r="E1309" s="16" t="s">
        <v>1656</v>
      </c>
      <c r="F1309" s="16" t="s">
        <v>1657</v>
      </c>
      <c r="G1309" s="16" t="s">
        <v>1658</v>
      </c>
      <c r="H1309" s="16" t="s">
        <v>1659</v>
      </c>
      <c r="I1309" s="16" t="s">
        <v>1660</v>
      </c>
      <c r="J1309" s="16" t="s">
        <v>1661</v>
      </c>
      <c r="K1309" s="16" t="s">
        <v>1662</v>
      </c>
      <c r="L1309" s="16" t="s">
        <v>85</v>
      </c>
      <c r="M1309" s="16" t="s">
        <v>1216</v>
      </c>
      <c r="N1309" s="16" t="s">
        <v>914</v>
      </c>
      <c r="O1309" s="16" t="s">
        <v>946</v>
      </c>
      <c r="P1309" s="16" t="s">
        <v>914</v>
      </c>
      <c r="Q1309" s="16" t="s">
        <v>946</v>
      </c>
      <c r="R1309" s="16" t="s">
        <v>915</v>
      </c>
      <c r="S1309" s="16" t="s">
        <v>915</v>
      </c>
      <c r="T1309" s="16" t="s">
        <v>1216</v>
      </c>
      <c r="U1309" s="16" t="s">
        <v>1217</v>
      </c>
      <c r="V1309" s="16" t="s">
        <v>916</v>
      </c>
      <c r="W1309" s="16" t="s">
        <v>1217</v>
      </c>
      <c r="X1309" s="16" t="s">
        <v>934</v>
      </c>
      <c r="Y1309" s="16" t="s">
        <v>934</v>
      </c>
      <c r="Z1309" s="16" t="s">
        <v>935</v>
      </c>
      <c r="DA1309" s="405" t="s">
        <v>5</v>
      </c>
      <c r="DB1309" s="405" t="s">
        <v>363</v>
      </c>
      <c r="DC1309" s="406" t="s">
        <v>85</v>
      </c>
      <c r="DD1309" s="405" t="s">
        <v>917</v>
      </c>
      <c r="DE1309" s="405" t="s">
        <v>5</v>
      </c>
      <c r="DF1309" s="406" t="s">
        <v>85</v>
      </c>
      <c r="DG1309" s="407">
        <v>45867</v>
      </c>
      <c r="DH1309" s="405" t="s">
        <v>1656</v>
      </c>
      <c r="DI1309" s="406">
        <v>465455</v>
      </c>
      <c r="DJ1309" s="408">
        <v>5</v>
      </c>
      <c r="DK1309" s="405">
        <v>1</v>
      </c>
      <c r="DL1309" s="82">
        <v>319.22000000000003</v>
      </c>
      <c r="DM1309" s="409">
        <v>1.5961000000000001</v>
      </c>
      <c r="DN1309" s="82" t="s">
        <v>85</v>
      </c>
      <c r="DO1309" s="82" t="s">
        <v>85</v>
      </c>
      <c r="DP1309" s="410" t="s">
        <v>85</v>
      </c>
    </row>
    <row r="1310" spans="1:120" x14ac:dyDescent="0.25">
      <c r="A1310" s="16" t="s">
        <v>1663</v>
      </c>
      <c r="B1310" s="16" t="s">
        <v>1664</v>
      </c>
      <c r="C1310" s="16" t="s">
        <v>1665</v>
      </c>
      <c r="D1310" s="16" t="s">
        <v>1542</v>
      </c>
      <c r="E1310" s="16" t="s">
        <v>1666</v>
      </c>
      <c r="F1310" s="16" t="s">
        <v>1667</v>
      </c>
      <c r="G1310" s="16" t="s">
        <v>1668</v>
      </c>
      <c r="H1310" s="16" t="s">
        <v>1667</v>
      </c>
      <c r="I1310" s="16" t="s">
        <v>1547</v>
      </c>
      <c r="J1310" s="16" t="s">
        <v>943</v>
      </c>
      <c r="K1310" s="16" t="s">
        <v>1548</v>
      </c>
      <c r="L1310" s="16" t="s">
        <v>85</v>
      </c>
      <c r="M1310" s="16" t="s">
        <v>984</v>
      </c>
      <c r="N1310" s="16" t="s">
        <v>914</v>
      </c>
      <c r="O1310" s="16" t="s">
        <v>985</v>
      </c>
      <c r="P1310" s="16" t="s">
        <v>914</v>
      </c>
      <c r="Q1310" s="16" t="s">
        <v>985</v>
      </c>
      <c r="R1310" s="16" t="s">
        <v>915</v>
      </c>
      <c r="S1310" s="16" t="s">
        <v>915</v>
      </c>
      <c r="T1310" s="16" t="s">
        <v>986</v>
      </c>
      <c r="U1310" s="16" t="s">
        <v>987</v>
      </c>
      <c r="V1310" s="16" t="s">
        <v>916</v>
      </c>
      <c r="W1310" s="16" t="s">
        <v>987</v>
      </c>
      <c r="X1310" s="16" t="s">
        <v>934</v>
      </c>
      <c r="Y1310" s="16" t="s">
        <v>934</v>
      </c>
      <c r="Z1310" s="16" t="s">
        <v>935</v>
      </c>
      <c r="DA1310" s="405" t="s">
        <v>5</v>
      </c>
      <c r="DB1310" s="405" t="s">
        <v>363</v>
      </c>
      <c r="DC1310" s="406" t="s">
        <v>85</v>
      </c>
      <c r="DD1310" s="405" t="s">
        <v>917</v>
      </c>
      <c r="DE1310" s="405" t="s">
        <v>5</v>
      </c>
      <c r="DF1310" s="406" t="s">
        <v>85</v>
      </c>
      <c r="DG1310" s="407">
        <v>45867</v>
      </c>
      <c r="DH1310" s="405" t="s">
        <v>1666</v>
      </c>
      <c r="DI1310" s="406">
        <v>465455</v>
      </c>
      <c r="DJ1310" s="408">
        <v>5</v>
      </c>
      <c r="DK1310" s="405">
        <v>1</v>
      </c>
      <c r="DL1310" s="82">
        <v>340.55</v>
      </c>
      <c r="DM1310" s="409">
        <v>1.70275</v>
      </c>
      <c r="DN1310" s="82" t="s">
        <v>85</v>
      </c>
      <c r="DO1310" s="82" t="s">
        <v>85</v>
      </c>
      <c r="DP1310" s="410" t="s">
        <v>85</v>
      </c>
    </row>
    <row r="1311" spans="1:120" x14ac:dyDescent="0.25">
      <c r="A1311" s="16" t="s">
        <v>1663</v>
      </c>
      <c r="B1311" s="16" t="s">
        <v>1664</v>
      </c>
      <c r="C1311" s="16" t="s">
        <v>1665</v>
      </c>
      <c r="D1311" s="16" t="s">
        <v>1542</v>
      </c>
      <c r="E1311" s="16" t="s">
        <v>1666</v>
      </c>
      <c r="F1311" s="16" t="s">
        <v>1667</v>
      </c>
      <c r="G1311" s="16" t="s">
        <v>1668</v>
      </c>
      <c r="H1311" s="16" t="s">
        <v>1667</v>
      </c>
      <c r="I1311" s="16" t="s">
        <v>1620</v>
      </c>
      <c r="J1311" s="16" t="s">
        <v>943</v>
      </c>
      <c r="K1311" s="16" t="s">
        <v>1621</v>
      </c>
      <c r="L1311" s="16" t="s">
        <v>85</v>
      </c>
      <c r="M1311" s="16" t="s">
        <v>984</v>
      </c>
      <c r="N1311" s="16" t="s">
        <v>914</v>
      </c>
      <c r="O1311" s="16" t="s">
        <v>985</v>
      </c>
      <c r="P1311" s="16" t="s">
        <v>914</v>
      </c>
      <c r="Q1311" s="16" t="s">
        <v>985</v>
      </c>
      <c r="R1311" s="16" t="s">
        <v>915</v>
      </c>
      <c r="S1311" s="16" t="s">
        <v>915</v>
      </c>
      <c r="T1311" s="16" t="s">
        <v>986</v>
      </c>
      <c r="U1311" s="16" t="s">
        <v>987</v>
      </c>
      <c r="V1311" s="16" t="s">
        <v>916</v>
      </c>
      <c r="W1311" s="16" t="s">
        <v>987</v>
      </c>
      <c r="X1311" s="16" t="s">
        <v>934</v>
      </c>
      <c r="Y1311" s="16" t="s">
        <v>934</v>
      </c>
      <c r="Z1311" s="16" t="s">
        <v>935</v>
      </c>
      <c r="DA1311" s="405" t="s">
        <v>5</v>
      </c>
      <c r="DB1311" s="405" t="s">
        <v>363</v>
      </c>
      <c r="DC1311" s="406" t="s">
        <v>85</v>
      </c>
      <c r="DD1311" s="405" t="s">
        <v>917</v>
      </c>
      <c r="DE1311" s="405" t="s">
        <v>5</v>
      </c>
      <c r="DF1311" s="406" t="s">
        <v>85</v>
      </c>
      <c r="DG1311" s="407">
        <v>45867</v>
      </c>
      <c r="DH1311" s="405" t="s">
        <v>1666</v>
      </c>
      <c r="DI1311" s="406">
        <v>465455</v>
      </c>
      <c r="DJ1311" s="408">
        <v>5</v>
      </c>
      <c r="DK1311" s="405">
        <v>1</v>
      </c>
      <c r="DL1311" s="82">
        <v>340.55</v>
      </c>
      <c r="DM1311" s="409">
        <v>1.70275</v>
      </c>
      <c r="DN1311" s="82" t="s">
        <v>85</v>
      </c>
      <c r="DO1311" s="82" t="s">
        <v>85</v>
      </c>
      <c r="DP1311" s="410" t="s">
        <v>85</v>
      </c>
    </row>
    <row r="1312" spans="1:120" x14ac:dyDescent="0.25">
      <c r="A1312" s="16" t="s">
        <v>1669</v>
      </c>
      <c r="B1312" s="16" t="s">
        <v>1670</v>
      </c>
      <c r="C1312" s="16" t="s">
        <v>1671</v>
      </c>
      <c r="D1312" s="16" t="s">
        <v>1542</v>
      </c>
      <c r="E1312" s="16" t="s">
        <v>1672</v>
      </c>
      <c r="F1312" s="16" t="s">
        <v>1673</v>
      </c>
      <c r="G1312" s="16" t="s">
        <v>1674</v>
      </c>
      <c r="H1312" s="16" t="s">
        <v>1675</v>
      </c>
      <c r="I1312" s="16" t="s">
        <v>1620</v>
      </c>
      <c r="J1312" s="16" t="s">
        <v>943</v>
      </c>
      <c r="K1312" s="16" t="s">
        <v>1621</v>
      </c>
      <c r="L1312" s="16" t="s">
        <v>85</v>
      </c>
      <c r="M1312" s="16" t="s">
        <v>984</v>
      </c>
      <c r="N1312" s="16" t="s">
        <v>914</v>
      </c>
      <c r="O1312" s="16" t="s">
        <v>985</v>
      </c>
      <c r="P1312" s="16" t="s">
        <v>914</v>
      </c>
      <c r="Q1312" s="16" t="s">
        <v>985</v>
      </c>
      <c r="R1312" s="16" t="s">
        <v>915</v>
      </c>
      <c r="S1312" s="16" t="s">
        <v>915</v>
      </c>
      <c r="T1312" s="16" t="s">
        <v>986</v>
      </c>
      <c r="U1312" s="16" t="s">
        <v>987</v>
      </c>
      <c r="V1312" s="16" t="s">
        <v>916</v>
      </c>
      <c r="W1312" s="16" t="s">
        <v>987</v>
      </c>
      <c r="X1312" s="16" t="s">
        <v>934</v>
      </c>
      <c r="Y1312" s="16" t="s">
        <v>934</v>
      </c>
      <c r="Z1312" s="16" t="s">
        <v>935</v>
      </c>
      <c r="DA1312" s="405" t="s">
        <v>5</v>
      </c>
      <c r="DB1312" s="405" t="s">
        <v>363</v>
      </c>
      <c r="DC1312" s="406" t="s">
        <v>85</v>
      </c>
      <c r="DD1312" s="405" t="s">
        <v>917</v>
      </c>
      <c r="DE1312" s="405" t="s">
        <v>5</v>
      </c>
      <c r="DF1312" s="406" t="s">
        <v>85</v>
      </c>
      <c r="DG1312" s="407">
        <v>45867</v>
      </c>
      <c r="DH1312" s="405" t="s">
        <v>1672</v>
      </c>
      <c r="DI1312" s="406">
        <v>465455</v>
      </c>
      <c r="DJ1312" s="408">
        <v>5</v>
      </c>
      <c r="DK1312" s="405">
        <v>1</v>
      </c>
      <c r="DL1312" s="82">
        <v>340.55</v>
      </c>
      <c r="DM1312" s="409">
        <v>1.70275</v>
      </c>
      <c r="DN1312" s="82" t="s">
        <v>85</v>
      </c>
      <c r="DO1312" s="82" t="s">
        <v>85</v>
      </c>
      <c r="DP1312" s="410" t="s">
        <v>85</v>
      </c>
    </row>
    <row r="1313" spans="1:120" x14ac:dyDescent="0.25">
      <c r="A1313" s="16" t="s">
        <v>1669</v>
      </c>
      <c r="B1313" s="16" t="s">
        <v>1670</v>
      </c>
      <c r="C1313" s="16" t="s">
        <v>1671</v>
      </c>
      <c r="D1313" s="16" t="s">
        <v>1542</v>
      </c>
      <c r="E1313" s="16" t="s">
        <v>1672</v>
      </c>
      <c r="F1313" s="16" t="s">
        <v>1673</v>
      </c>
      <c r="G1313" s="16" t="s">
        <v>1674</v>
      </c>
      <c r="H1313" s="16" t="s">
        <v>1675</v>
      </c>
      <c r="I1313" s="16" t="s">
        <v>1547</v>
      </c>
      <c r="J1313" s="16" t="s">
        <v>943</v>
      </c>
      <c r="K1313" s="16" t="s">
        <v>1548</v>
      </c>
      <c r="L1313" s="16" t="s">
        <v>85</v>
      </c>
      <c r="M1313" s="16" t="s">
        <v>984</v>
      </c>
      <c r="N1313" s="16" t="s">
        <v>914</v>
      </c>
      <c r="O1313" s="16" t="s">
        <v>985</v>
      </c>
      <c r="P1313" s="16" t="s">
        <v>914</v>
      </c>
      <c r="Q1313" s="16" t="s">
        <v>985</v>
      </c>
      <c r="R1313" s="16" t="s">
        <v>915</v>
      </c>
      <c r="S1313" s="16" t="s">
        <v>915</v>
      </c>
      <c r="T1313" s="16" t="s">
        <v>986</v>
      </c>
      <c r="U1313" s="16" t="s">
        <v>987</v>
      </c>
      <c r="V1313" s="16" t="s">
        <v>916</v>
      </c>
      <c r="W1313" s="16" t="s">
        <v>987</v>
      </c>
      <c r="X1313" s="16" t="s">
        <v>934</v>
      </c>
      <c r="Y1313" s="16" t="s">
        <v>934</v>
      </c>
      <c r="Z1313" s="16" t="s">
        <v>935</v>
      </c>
      <c r="DA1313" s="405" t="s">
        <v>5</v>
      </c>
      <c r="DB1313" s="405" t="s">
        <v>363</v>
      </c>
      <c r="DC1313" s="406" t="s">
        <v>85</v>
      </c>
      <c r="DD1313" s="405" t="s">
        <v>917</v>
      </c>
      <c r="DE1313" s="405" t="s">
        <v>5</v>
      </c>
      <c r="DF1313" s="406" t="s">
        <v>85</v>
      </c>
      <c r="DG1313" s="407">
        <v>45867</v>
      </c>
      <c r="DH1313" s="405" t="s">
        <v>1672</v>
      </c>
      <c r="DI1313" s="406">
        <v>465455</v>
      </c>
      <c r="DJ1313" s="408">
        <v>5</v>
      </c>
      <c r="DK1313" s="405">
        <v>1</v>
      </c>
      <c r="DL1313" s="82">
        <v>340.55</v>
      </c>
      <c r="DM1313" s="409">
        <v>1.70275</v>
      </c>
      <c r="DN1313" s="82" t="s">
        <v>85</v>
      </c>
      <c r="DO1313" s="82" t="s">
        <v>85</v>
      </c>
      <c r="DP1313" s="410" t="s">
        <v>85</v>
      </c>
    </row>
    <row r="1314" spans="1:120" x14ac:dyDescent="0.25">
      <c r="A1314" s="16" t="s">
        <v>1676</v>
      </c>
      <c r="B1314" s="16" t="s">
        <v>1677</v>
      </c>
      <c r="C1314" s="16" t="s">
        <v>1678</v>
      </c>
      <c r="D1314" s="16" t="s">
        <v>1542</v>
      </c>
      <c r="E1314" s="16" t="s">
        <v>1679</v>
      </c>
      <c r="F1314" s="16" t="s">
        <v>1680</v>
      </c>
      <c r="G1314" s="16" t="s">
        <v>1681</v>
      </c>
      <c r="H1314" s="16" t="s">
        <v>1680</v>
      </c>
      <c r="I1314" s="16" t="s">
        <v>1682</v>
      </c>
      <c r="J1314" s="16" t="s">
        <v>943</v>
      </c>
      <c r="K1314" s="16" t="s">
        <v>1683</v>
      </c>
      <c r="L1314" s="16" t="s">
        <v>85</v>
      </c>
      <c r="M1314" s="16" t="s">
        <v>984</v>
      </c>
      <c r="N1314" s="16" t="s">
        <v>914</v>
      </c>
      <c r="O1314" s="16" t="s">
        <v>985</v>
      </c>
      <c r="P1314" s="16" t="s">
        <v>914</v>
      </c>
      <c r="Q1314" s="16" t="s">
        <v>985</v>
      </c>
      <c r="R1314" s="16" t="s">
        <v>915</v>
      </c>
      <c r="S1314" s="16" t="s">
        <v>915</v>
      </c>
      <c r="T1314" s="16" t="s">
        <v>986</v>
      </c>
      <c r="U1314" s="16" t="s">
        <v>987</v>
      </c>
      <c r="V1314" s="16" t="s">
        <v>916</v>
      </c>
      <c r="W1314" s="16" t="s">
        <v>987</v>
      </c>
      <c r="X1314" s="16" t="s">
        <v>934</v>
      </c>
      <c r="Y1314" s="16" t="s">
        <v>934</v>
      </c>
      <c r="Z1314" s="16" t="s">
        <v>935</v>
      </c>
      <c r="DA1314" s="405" t="s">
        <v>5</v>
      </c>
      <c r="DB1314" s="405" t="s">
        <v>363</v>
      </c>
      <c r="DC1314" s="406" t="s">
        <v>85</v>
      </c>
      <c r="DD1314" s="405" t="s">
        <v>917</v>
      </c>
      <c r="DE1314" s="405" t="s">
        <v>5</v>
      </c>
      <c r="DF1314" s="406" t="s">
        <v>85</v>
      </c>
      <c r="DG1314" s="407">
        <v>45867</v>
      </c>
      <c r="DH1314" s="405" t="s">
        <v>1679</v>
      </c>
      <c r="DI1314" s="406">
        <v>465455</v>
      </c>
      <c r="DJ1314" s="408">
        <v>5</v>
      </c>
      <c r="DK1314" s="405">
        <v>1</v>
      </c>
      <c r="DL1314" s="82">
        <v>340.55</v>
      </c>
      <c r="DM1314" s="409">
        <v>1.70275</v>
      </c>
      <c r="DN1314" s="82" t="s">
        <v>85</v>
      </c>
      <c r="DO1314" s="82" t="s">
        <v>85</v>
      </c>
      <c r="DP1314" s="410" t="s">
        <v>85</v>
      </c>
    </row>
    <row r="1315" spans="1:120" x14ac:dyDescent="0.25">
      <c r="A1315" s="16" t="s">
        <v>1684</v>
      </c>
      <c r="B1315" s="16" t="s">
        <v>1685</v>
      </c>
      <c r="C1315" s="16" t="s">
        <v>1686</v>
      </c>
      <c r="D1315" s="16" t="s">
        <v>1542</v>
      </c>
      <c r="E1315" s="16" t="s">
        <v>1687</v>
      </c>
      <c r="F1315" s="16" t="s">
        <v>1688</v>
      </c>
      <c r="G1315" s="16" t="s">
        <v>1689</v>
      </c>
      <c r="H1315" s="16" t="s">
        <v>1688</v>
      </c>
      <c r="I1315" s="16" t="s">
        <v>927</v>
      </c>
      <c r="J1315" s="16" t="s">
        <v>928</v>
      </c>
      <c r="K1315" s="16" t="s">
        <v>929</v>
      </c>
      <c r="L1315" s="16" t="s">
        <v>85</v>
      </c>
      <c r="M1315" s="16" t="s">
        <v>1322</v>
      </c>
      <c r="N1315" s="16" t="s">
        <v>914</v>
      </c>
      <c r="O1315" s="16" t="s">
        <v>1323</v>
      </c>
      <c r="P1315" s="16" t="s">
        <v>914</v>
      </c>
      <c r="Q1315" s="16" t="s">
        <v>1323</v>
      </c>
      <c r="R1315" s="16" t="s">
        <v>915</v>
      </c>
      <c r="S1315" s="16" t="s">
        <v>915</v>
      </c>
      <c r="T1315" s="16" t="s">
        <v>1322</v>
      </c>
      <c r="U1315" s="16" t="s">
        <v>1324</v>
      </c>
      <c r="V1315" s="16" t="s">
        <v>916</v>
      </c>
      <c r="W1315" s="16" t="s">
        <v>1324</v>
      </c>
      <c r="X1315" s="16" t="s">
        <v>934</v>
      </c>
      <c r="Y1315" s="16" t="s">
        <v>934</v>
      </c>
      <c r="Z1315" s="16" t="s">
        <v>935</v>
      </c>
      <c r="DA1315" s="405" t="s">
        <v>5</v>
      </c>
      <c r="DB1315" s="405" t="s">
        <v>363</v>
      </c>
      <c r="DC1315" s="406" t="s">
        <v>85</v>
      </c>
      <c r="DD1315" s="405" t="s">
        <v>917</v>
      </c>
      <c r="DE1315" s="405" t="s">
        <v>5</v>
      </c>
      <c r="DF1315" s="406" t="s">
        <v>85</v>
      </c>
      <c r="DG1315" s="407">
        <v>45867</v>
      </c>
      <c r="DH1315" s="405" t="s">
        <v>1687</v>
      </c>
      <c r="DI1315" s="406">
        <v>465455</v>
      </c>
      <c r="DJ1315" s="408">
        <v>5</v>
      </c>
      <c r="DK1315" s="405">
        <v>1</v>
      </c>
      <c r="DL1315" s="82">
        <v>332.47</v>
      </c>
      <c r="DM1315" s="409">
        <v>1.6623500000000002</v>
      </c>
      <c r="DN1315" s="82" t="s">
        <v>85</v>
      </c>
      <c r="DO1315" s="82" t="s">
        <v>85</v>
      </c>
      <c r="DP1315" s="410" t="s">
        <v>85</v>
      </c>
    </row>
    <row r="1316" spans="1:120" x14ac:dyDescent="0.25">
      <c r="A1316" s="16" t="s">
        <v>1684</v>
      </c>
      <c r="B1316" s="16" t="s">
        <v>1685</v>
      </c>
      <c r="C1316" s="16" t="s">
        <v>1686</v>
      </c>
      <c r="D1316" s="16" t="s">
        <v>1542</v>
      </c>
      <c r="E1316" s="16" t="s">
        <v>1687</v>
      </c>
      <c r="F1316" s="16" t="s">
        <v>1688</v>
      </c>
      <c r="G1316" s="16" t="s">
        <v>1689</v>
      </c>
      <c r="H1316" s="16" t="s">
        <v>1688</v>
      </c>
      <c r="I1316" s="16" t="s">
        <v>1690</v>
      </c>
      <c r="J1316" s="16" t="s">
        <v>928</v>
      </c>
      <c r="K1316" s="16" t="s">
        <v>1691</v>
      </c>
      <c r="L1316" s="16" t="s">
        <v>85</v>
      </c>
      <c r="M1316" s="16" t="s">
        <v>1322</v>
      </c>
      <c r="N1316" s="16" t="s">
        <v>914</v>
      </c>
      <c r="O1316" s="16" t="s">
        <v>1323</v>
      </c>
      <c r="P1316" s="16" t="s">
        <v>914</v>
      </c>
      <c r="Q1316" s="16" t="s">
        <v>1323</v>
      </c>
      <c r="R1316" s="16" t="s">
        <v>915</v>
      </c>
      <c r="S1316" s="16" t="s">
        <v>915</v>
      </c>
      <c r="T1316" s="16" t="s">
        <v>1322</v>
      </c>
      <c r="U1316" s="16" t="s">
        <v>1324</v>
      </c>
      <c r="V1316" s="16" t="s">
        <v>916</v>
      </c>
      <c r="W1316" s="16" t="s">
        <v>1324</v>
      </c>
      <c r="X1316" s="16" t="s">
        <v>934</v>
      </c>
      <c r="Y1316" s="16" t="s">
        <v>934</v>
      </c>
      <c r="Z1316" s="16" t="s">
        <v>935</v>
      </c>
      <c r="DA1316" s="405" t="s">
        <v>5</v>
      </c>
      <c r="DB1316" s="405" t="s">
        <v>363</v>
      </c>
      <c r="DC1316" s="406" t="s">
        <v>85</v>
      </c>
      <c r="DD1316" s="405" t="s">
        <v>917</v>
      </c>
      <c r="DE1316" s="405" t="s">
        <v>5</v>
      </c>
      <c r="DF1316" s="406" t="s">
        <v>85</v>
      </c>
      <c r="DG1316" s="407">
        <v>45867</v>
      </c>
      <c r="DH1316" s="405" t="s">
        <v>1687</v>
      </c>
      <c r="DI1316" s="406">
        <v>465455</v>
      </c>
      <c r="DJ1316" s="408">
        <v>5</v>
      </c>
      <c r="DK1316" s="405">
        <v>1</v>
      </c>
      <c r="DL1316" s="82">
        <v>332.47</v>
      </c>
      <c r="DM1316" s="409">
        <v>1.6623500000000002</v>
      </c>
      <c r="DN1316" s="82" t="s">
        <v>85</v>
      </c>
      <c r="DO1316" s="82" t="s">
        <v>85</v>
      </c>
      <c r="DP1316" s="410" t="s">
        <v>85</v>
      </c>
    </row>
    <row r="1317" spans="1:120" x14ac:dyDescent="0.25">
      <c r="A1317" s="16" t="s">
        <v>1692</v>
      </c>
      <c r="B1317" s="16" t="s">
        <v>1693</v>
      </c>
      <c r="C1317" s="16" t="s">
        <v>1694</v>
      </c>
      <c r="D1317" s="16" t="s">
        <v>1542</v>
      </c>
      <c r="E1317" s="16" t="s">
        <v>1695</v>
      </c>
      <c r="F1317" s="16" t="s">
        <v>1696</v>
      </c>
      <c r="G1317" s="16" t="s">
        <v>1697</v>
      </c>
      <c r="H1317" s="16" t="s">
        <v>1698</v>
      </c>
      <c r="I1317" s="16" t="s">
        <v>1214</v>
      </c>
      <c r="J1317" s="16" t="s">
        <v>1036</v>
      </c>
      <c r="K1317" s="16" t="s">
        <v>1215</v>
      </c>
      <c r="L1317" s="16" t="s">
        <v>85</v>
      </c>
      <c r="M1317" s="16" t="s">
        <v>1216</v>
      </c>
      <c r="N1317" s="16" t="s">
        <v>914</v>
      </c>
      <c r="O1317" s="16" t="s">
        <v>946</v>
      </c>
      <c r="P1317" s="16" t="s">
        <v>914</v>
      </c>
      <c r="Q1317" s="16" t="s">
        <v>946</v>
      </c>
      <c r="R1317" s="16" t="s">
        <v>915</v>
      </c>
      <c r="S1317" s="16" t="s">
        <v>915</v>
      </c>
      <c r="T1317" s="16" t="s">
        <v>1216</v>
      </c>
      <c r="U1317" s="16" t="s">
        <v>1217</v>
      </c>
      <c r="V1317" s="16" t="s">
        <v>916</v>
      </c>
      <c r="W1317" s="16" t="s">
        <v>1217</v>
      </c>
      <c r="X1317" s="16" t="s">
        <v>934</v>
      </c>
      <c r="Y1317" s="16" t="s">
        <v>934</v>
      </c>
      <c r="Z1317" s="16" t="s">
        <v>935</v>
      </c>
      <c r="DA1317" s="405" t="s">
        <v>5</v>
      </c>
      <c r="DB1317" s="405" t="s">
        <v>363</v>
      </c>
      <c r="DC1317" s="406" t="s">
        <v>85</v>
      </c>
      <c r="DD1317" s="405" t="s">
        <v>917</v>
      </c>
      <c r="DE1317" s="405" t="s">
        <v>5</v>
      </c>
      <c r="DF1317" s="406" t="s">
        <v>85</v>
      </c>
      <c r="DG1317" s="407">
        <v>45867</v>
      </c>
      <c r="DH1317" s="405" t="s">
        <v>1695</v>
      </c>
      <c r="DI1317" s="406">
        <v>465455</v>
      </c>
      <c r="DJ1317" s="408">
        <v>5</v>
      </c>
      <c r="DK1317" s="405">
        <v>1</v>
      </c>
      <c r="DL1317" s="82">
        <v>319.22000000000003</v>
      </c>
      <c r="DM1317" s="409">
        <v>1.5961000000000001</v>
      </c>
      <c r="DN1317" s="82" t="s">
        <v>85</v>
      </c>
      <c r="DO1317" s="82" t="s">
        <v>85</v>
      </c>
      <c r="DP1317" s="410" t="s">
        <v>85</v>
      </c>
    </row>
    <row r="1318" spans="1:120" x14ac:dyDescent="0.25">
      <c r="A1318" s="16" t="s">
        <v>1699</v>
      </c>
      <c r="B1318" s="16" t="s">
        <v>1700</v>
      </c>
      <c r="C1318" s="16" t="s">
        <v>1701</v>
      </c>
      <c r="D1318" s="16" t="s">
        <v>1542</v>
      </c>
      <c r="E1318" s="16" t="s">
        <v>1702</v>
      </c>
      <c r="F1318" s="16" t="s">
        <v>1703</v>
      </c>
      <c r="G1318" s="16" t="s">
        <v>1704</v>
      </c>
      <c r="H1318" s="16" t="s">
        <v>1703</v>
      </c>
      <c r="I1318" s="16" t="s">
        <v>1386</v>
      </c>
      <c r="J1318" s="16" t="s">
        <v>1109</v>
      </c>
      <c r="K1318" s="16" t="s">
        <v>1387</v>
      </c>
      <c r="L1318" s="16" t="s">
        <v>85</v>
      </c>
      <c r="M1318" s="16" t="s">
        <v>1311</v>
      </c>
      <c r="N1318" s="16" t="s">
        <v>914</v>
      </c>
      <c r="O1318" s="16" t="s">
        <v>1312</v>
      </c>
      <c r="P1318" s="16" t="s">
        <v>914</v>
      </c>
      <c r="Q1318" s="16" t="s">
        <v>1312</v>
      </c>
      <c r="R1318" s="16" t="s">
        <v>915</v>
      </c>
      <c r="S1318" s="16" t="s">
        <v>915</v>
      </c>
      <c r="T1318" s="16" t="s">
        <v>1311</v>
      </c>
      <c r="U1318" s="16" t="s">
        <v>1313</v>
      </c>
      <c r="V1318" s="16" t="s">
        <v>916</v>
      </c>
      <c r="W1318" s="16" t="s">
        <v>1313</v>
      </c>
      <c r="X1318" s="16" t="s">
        <v>934</v>
      </c>
      <c r="Y1318" s="16" t="s">
        <v>934</v>
      </c>
      <c r="Z1318" s="16" t="s">
        <v>935</v>
      </c>
      <c r="DA1318" s="405" t="s">
        <v>5</v>
      </c>
      <c r="DB1318" s="405" t="s">
        <v>363</v>
      </c>
      <c r="DC1318" s="406" t="s">
        <v>85</v>
      </c>
      <c r="DD1318" s="405" t="s">
        <v>917</v>
      </c>
      <c r="DE1318" s="405" t="s">
        <v>5</v>
      </c>
      <c r="DF1318" s="406" t="s">
        <v>85</v>
      </c>
      <c r="DG1318" s="407">
        <v>45867</v>
      </c>
      <c r="DH1318" s="405" t="s">
        <v>1702</v>
      </c>
      <c r="DI1318" s="406">
        <v>465455</v>
      </c>
      <c r="DJ1318" s="408">
        <v>5</v>
      </c>
      <c r="DK1318" s="405">
        <v>1</v>
      </c>
      <c r="DL1318" s="82">
        <v>531.54</v>
      </c>
      <c r="DM1318" s="409">
        <v>2.6576999999999997</v>
      </c>
      <c r="DN1318" s="82" t="s">
        <v>85</v>
      </c>
      <c r="DO1318" s="82" t="s">
        <v>85</v>
      </c>
      <c r="DP1318" s="410" t="s">
        <v>85</v>
      </c>
    </row>
    <row r="1319" spans="1:120" x14ac:dyDescent="0.25">
      <c r="A1319" s="16" t="s">
        <v>1705</v>
      </c>
      <c r="B1319" s="16" t="s">
        <v>1706</v>
      </c>
      <c r="C1319" s="16" t="s">
        <v>1707</v>
      </c>
      <c r="D1319" s="16" t="s">
        <v>1542</v>
      </c>
      <c r="E1319" s="16" t="s">
        <v>1708</v>
      </c>
      <c r="F1319" s="16" t="s">
        <v>1709</v>
      </c>
      <c r="G1319" s="16" t="s">
        <v>1710</v>
      </c>
      <c r="H1319" s="16" t="s">
        <v>1709</v>
      </c>
      <c r="I1319" s="16" t="s">
        <v>1711</v>
      </c>
      <c r="J1319" s="16" t="s">
        <v>943</v>
      </c>
      <c r="K1319" s="16" t="s">
        <v>1712</v>
      </c>
      <c r="L1319" s="16" t="s">
        <v>85</v>
      </c>
      <c r="M1319" s="16" t="s">
        <v>984</v>
      </c>
      <c r="N1319" s="16" t="s">
        <v>914</v>
      </c>
      <c r="O1319" s="16" t="s">
        <v>985</v>
      </c>
      <c r="P1319" s="16" t="s">
        <v>914</v>
      </c>
      <c r="Q1319" s="16" t="s">
        <v>985</v>
      </c>
      <c r="R1319" s="16" t="s">
        <v>915</v>
      </c>
      <c r="S1319" s="16" t="s">
        <v>915</v>
      </c>
      <c r="T1319" s="16" t="s">
        <v>986</v>
      </c>
      <c r="U1319" s="16" t="s">
        <v>987</v>
      </c>
      <c r="V1319" s="16" t="s">
        <v>916</v>
      </c>
      <c r="W1319" s="16" t="s">
        <v>987</v>
      </c>
      <c r="X1319" s="16" t="s">
        <v>934</v>
      </c>
      <c r="Y1319" s="16" t="s">
        <v>934</v>
      </c>
      <c r="Z1319" s="16" t="s">
        <v>935</v>
      </c>
      <c r="DA1319" s="405" t="s">
        <v>5</v>
      </c>
      <c r="DB1319" s="405" t="s">
        <v>363</v>
      </c>
      <c r="DC1319" s="406" t="s">
        <v>85</v>
      </c>
      <c r="DD1319" s="405" t="s">
        <v>917</v>
      </c>
      <c r="DE1319" s="405" t="s">
        <v>5</v>
      </c>
      <c r="DF1319" s="406" t="s">
        <v>85</v>
      </c>
      <c r="DG1319" s="407">
        <v>45867</v>
      </c>
      <c r="DH1319" s="405" t="s">
        <v>1708</v>
      </c>
      <c r="DI1319" s="406">
        <v>465455</v>
      </c>
      <c r="DJ1319" s="408">
        <v>5</v>
      </c>
      <c r="DK1319" s="405">
        <v>1</v>
      </c>
      <c r="DL1319" s="82">
        <v>340.55</v>
      </c>
      <c r="DM1319" s="409">
        <v>1.70275</v>
      </c>
      <c r="DN1319" s="82" t="s">
        <v>85</v>
      </c>
      <c r="DO1319" s="82" t="s">
        <v>85</v>
      </c>
      <c r="DP1319" s="410" t="s">
        <v>85</v>
      </c>
    </row>
    <row r="1320" spans="1:120" x14ac:dyDescent="0.25">
      <c r="A1320" s="16" t="s">
        <v>1713</v>
      </c>
      <c r="B1320" s="16" t="s">
        <v>1714</v>
      </c>
      <c r="C1320" s="16" t="s">
        <v>1715</v>
      </c>
      <c r="D1320" s="16" t="s">
        <v>1542</v>
      </c>
      <c r="E1320" s="16" t="s">
        <v>1716</v>
      </c>
      <c r="F1320" s="16" t="s">
        <v>1717</v>
      </c>
      <c r="G1320" s="16" t="s">
        <v>1718</v>
      </c>
      <c r="H1320" s="16" t="s">
        <v>1717</v>
      </c>
      <c r="I1320" s="16" t="s">
        <v>1719</v>
      </c>
      <c r="J1320" s="16" t="s">
        <v>943</v>
      </c>
      <c r="K1320" s="16" t="s">
        <v>1720</v>
      </c>
      <c r="L1320" s="16" t="s">
        <v>85</v>
      </c>
      <c r="M1320" s="16" t="s">
        <v>984</v>
      </c>
      <c r="N1320" s="16" t="s">
        <v>914</v>
      </c>
      <c r="O1320" s="16" t="s">
        <v>985</v>
      </c>
      <c r="P1320" s="16" t="s">
        <v>914</v>
      </c>
      <c r="Q1320" s="16" t="s">
        <v>985</v>
      </c>
      <c r="R1320" s="16" t="s">
        <v>915</v>
      </c>
      <c r="S1320" s="16" t="s">
        <v>915</v>
      </c>
      <c r="T1320" s="16" t="s">
        <v>986</v>
      </c>
      <c r="U1320" s="16" t="s">
        <v>987</v>
      </c>
      <c r="V1320" s="16" t="s">
        <v>916</v>
      </c>
      <c r="W1320" s="16" t="s">
        <v>987</v>
      </c>
      <c r="X1320" s="16" t="s">
        <v>934</v>
      </c>
      <c r="Y1320" s="16" t="s">
        <v>934</v>
      </c>
      <c r="Z1320" s="16" t="s">
        <v>935</v>
      </c>
      <c r="DA1320" s="405" t="s">
        <v>5</v>
      </c>
      <c r="DB1320" s="405" t="s">
        <v>363</v>
      </c>
      <c r="DC1320" s="406" t="s">
        <v>85</v>
      </c>
      <c r="DD1320" s="405" t="s">
        <v>917</v>
      </c>
      <c r="DE1320" s="405" t="s">
        <v>5</v>
      </c>
      <c r="DF1320" s="406" t="s">
        <v>85</v>
      </c>
      <c r="DG1320" s="407">
        <v>45867</v>
      </c>
      <c r="DH1320" s="405" t="s">
        <v>1716</v>
      </c>
      <c r="DI1320" s="406">
        <v>465455</v>
      </c>
      <c r="DJ1320" s="408">
        <v>5</v>
      </c>
      <c r="DK1320" s="405">
        <v>1</v>
      </c>
      <c r="DL1320" s="82">
        <v>340.55</v>
      </c>
      <c r="DM1320" s="409">
        <v>1.70275</v>
      </c>
      <c r="DN1320" s="82" t="s">
        <v>85</v>
      </c>
      <c r="DO1320" s="82" t="s">
        <v>85</v>
      </c>
      <c r="DP1320" s="410" t="s">
        <v>85</v>
      </c>
    </row>
    <row r="1321" spans="1:120" x14ac:dyDescent="0.25">
      <c r="A1321" s="16" t="s">
        <v>1721</v>
      </c>
      <c r="B1321" s="16" t="s">
        <v>1722</v>
      </c>
      <c r="C1321" s="16" t="s">
        <v>1723</v>
      </c>
      <c r="D1321" s="16" t="s">
        <v>1542</v>
      </c>
      <c r="E1321" s="16" t="s">
        <v>1724</v>
      </c>
      <c r="F1321" s="16" t="s">
        <v>1725</v>
      </c>
      <c r="G1321" s="16" t="s">
        <v>1726</v>
      </c>
      <c r="H1321" s="16" t="s">
        <v>1727</v>
      </c>
      <c r="I1321" s="16" t="s">
        <v>1728</v>
      </c>
      <c r="J1321" s="16" t="s">
        <v>943</v>
      </c>
      <c r="K1321" s="16" t="s">
        <v>1729</v>
      </c>
      <c r="L1321" s="16" t="s">
        <v>85</v>
      </c>
      <c r="M1321" s="16" t="s">
        <v>984</v>
      </c>
      <c r="N1321" s="16" t="s">
        <v>914</v>
      </c>
      <c r="O1321" s="16" t="s">
        <v>985</v>
      </c>
      <c r="P1321" s="16" t="s">
        <v>914</v>
      </c>
      <c r="Q1321" s="16" t="s">
        <v>985</v>
      </c>
      <c r="R1321" s="16" t="s">
        <v>915</v>
      </c>
      <c r="S1321" s="16" t="s">
        <v>915</v>
      </c>
      <c r="T1321" s="16" t="s">
        <v>986</v>
      </c>
      <c r="U1321" s="16" t="s">
        <v>987</v>
      </c>
      <c r="V1321" s="16" t="s">
        <v>916</v>
      </c>
      <c r="W1321" s="16" t="s">
        <v>987</v>
      </c>
      <c r="X1321" s="16" t="s">
        <v>934</v>
      </c>
      <c r="Y1321" s="16" t="s">
        <v>934</v>
      </c>
      <c r="Z1321" s="16" t="s">
        <v>935</v>
      </c>
      <c r="DA1321" s="405" t="s">
        <v>5</v>
      </c>
      <c r="DB1321" s="405" t="s">
        <v>363</v>
      </c>
      <c r="DC1321" s="406" t="s">
        <v>85</v>
      </c>
      <c r="DD1321" s="405" t="s">
        <v>917</v>
      </c>
      <c r="DE1321" s="405" t="s">
        <v>5</v>
      </c>
      <c r="DF1321" s="406" t="s">
        <v>85</v>
      </c>
      <c r="DG1321" s="407">
        <v>45867</v>
      </c>
      <c r="DH1321" s="405" t="s">
        <v>1724</v>
      </c>
      <c r="DI1321" s="406">
        <v>465455</v>
      </c>
      <c r="DJ1321" s="408">
        <v>5</v>
      </c>
      <c r="DK1321" s="405">
        <v>1</v>
      </c>
      <c r="DL1321" s="82">
        <v>340.55</v>
      </c>
      <c r="DM1321" s="409">
        <v>1.70275</v>
      </c>
      <c r="DN1321" s="82" t="s">
        <v>85</v>
      </c>
      <c r="DO1321" s="82" t="s">
        <v>85</v>
      </c>
      <c r="DP1321" s="410" t="s">
        <v>85</v>
      </c>
    </row>
    <row r="1322" spans="1:120" x14ac:dyDescent="0.25">
      <c r="A1322" s="16" t="s">
        <v>1721</v>
      </c>
      <c r="B1322" s="16" t="s">
        <v>1722</v>
      </c>
      <c r="C1322" s="16" t="s">
        <v>1723</v>
      </c>
      <c r="D1322" s="16" t="s">
        <v>1542</v>
      </c>
      <c r="E1322" s="16" t="s">
        <v>1724</v>
      </c>
      <c r="F1322" s="16" t="s">
        <v>1725</v>
      </c>
      <c r="G1322" s="16" t="s">
        <v>1726</v>
      </c>
      <c r="H1322" s="16" t="s">
        <v>1727</v>
      </c>
      <c r="I1322" s="16" t="s">
        <v>1638</v>
      </c>
      <c r="J1322" s="16" t="s">
        <v>943</v>
      </c>
      <c r="K1322" s="16" t="s">
        <v>1639</v>
      </c>
      <c r="L1322" s="16" t="s">
        <v>85</v>
      </c>
      <c r="M1322" s="16" t="s">
        <v>984</v>
      </c>
      <c r="N1322" s="16" t="s">
        <v>914</v>
      </c>
      <c r="O1322" s="16" t="s">
        <v>985</v>
      </c>
      <c r="P1322" s="16" t="s">
        <v>914</v>
      </c>
      <c r="Q1322" s="16" t="s">
        <v>985</v>
      </c>
      <c r="R1322" s="16" t="s">
        <v>915</v>
      </c>
      <c r="S1322" s="16" t="s">
        <v>915</v>
      </c>
      <c r="T1322" s="16" t="s">
        <v>986</v>
      </c>
      <c r="U1322" s="16" t="s">
        <v>987</v>
      </c>
      <c r="V1322" s="16" t="s">
        <v>916</v>
      </c>
      <c r="W1322" s="16" t="s">
        <v>987</v>
      </c>
      <c r="X1322" s="16" t="s">
        <v>934</v>
      </c>
      <c r="Y1322" s="16" t="s">
        <v>934</v>
      </c>
      <c r="Z1322" s="16" t="s">
        <v>935</v>
      </c>
      <c r="DA1322" s="405" t="s">
        <v>5</v>
      </c>
      <c r="DB1322" s="405" t="s">
        <v>363</v>
      </c>
      <c r="DC1322" s="406" t="s">
        <v>85</v>
      </c>
      <c r="DD1322" s="405" t="s">
        <v>917</v>
      </c>
      <c r="DE1322" s="405" t="s">
        <v>5</v>
      </c>
      <c r="DF1322" s="406" t="s">
        <v>85</v>
      </c>
      <c r="DG1322" s="407">
        <v>45867</v>
      </c>
      <c r="DH1322" s="405" t="s">
        <v>1724</v>
      </c>
      <c r="DI1322" s="406">
        <v>465455</v>
      </c>
      <c r="DJ1322" s="408">
        <v>5</v>
      </c>
      <c r="DK1322" s="405">
        <v>1</v>
      </c>
      <c r="DL1322" s="82">
        <v>340.55</v>
      </c>
      <c r="DM1322" s="409">
        <v>1.70275</v>
      </c>
      <c r="DN1322" s="82" t="s">
        <v>85</v>
      </c>
      <c r="DO1322" s="82" t="s">
        <v>85</v>
      </c>
      <c r="DP1322" s="410" t="s">
        <v>85</v>
      </c>
    </row>
    <row r="1323" spans="1:120" x14ac:dyDescent="0.25">
      <c r="A1323" s="16" t="s">
        <v>1730</v>
      </c>
      <c r="B1323" s="16" t="s">
        <v>1731</v>
      </c>
      <c r="C1323" s="16" t="s">
        <v>1732</v>
      </c>
      <c r="D1323" s="16" t="s">
        <v>1542</v>
      </c>
      <c r="E1323" s="16" t="s">
        <v>1733</v>
      </c>
      <c r="F1323" s="16" t="s">
        <v>1734</v>
      </c>
      <c r="G1323" s="16" t="s">
        <v>1735</v>
      </c>
      <c r="H1323" s="16" t="s">
        <v>1736</v>
      </c>
      <c r="I1323" s="16" t="s">
        <v>1737</v>
      </c>
      <c r="J1323" s="16" t="s">
        <v>1123</v>
      </c>
      <c r="K1323" s="16" t="s">
        <v>1738</v>
      </c>
      <c r="L1323" s="16" t="s">
        <v>85</v>
      </c>
      <c r="M1323" s="16" t="s">
        <v>1238</v>
      </c>
      <c r="N1323" s="16" t="s">
        <v>914</v>
      </c>
      <c r="O1323" s="16" t="s">
        <v>1239</v>
      </c>
      <c r="P1323" s="16" t="s">
        <v>914</v>
      </c>
      <c r="Q1323" s="16" t="s">
        <v>1239</v>
      </c>
      <c r="R1323" s="16" t="s">
        <v>915</v>
      </c>
      <c r="S1323" s="16" t="s">
        <v>915</v>
      </c>
      <c r="T1323" s="16" t="s">
        <v>1238</v>
      </c>
      <c r="U1323" s="16" t="s">
        <v>1240</v>
      </c>
      <c r="V1323" s="16" t="s">
        <v>916</v>
      </c>
      <c r="W1323" s="16" t="s">
        <v>1240</v>
      </c>
      <c r="X1323" s="16" t="s">
        <v>934</v>
      </c>
      <c r="Y1323" s="16" t="s">
        <v>934</v>
      </c>
      <c r="Z1323" s="16" t="s">
        <v>935</v>
      </c>
      <c r="DA1323" s="405" t="s">
        <v>5</v>
      </c>
      <c r="DB1323" s="405" t="s">
        <v>363</v>
      </c>
      <c r="DC1323" s="406" t="s">
        <v>85</v>
      </c>
      <c r="DD1323" s="405" t="s">
        <v>917</v>
      </c>
      <c r="DE1323" s="405" t="s">
        <v>5</v>
      </c>
      <c r="DF1323" s="406" t="s">
        <v>85</v>
      </c>
      <c r="DG1323" s="407">
        <v>45867</v>
      </c>
      <c r="DH1323" s="405" t="s">
        <v>1733</v>
      </c>
      <c r="DI1323" s="406">
        <v>465455</v>
      </c>
      <c r="DJ1323" s="408">
        <v>5</v>
      </c>
      <c r="DK1323" s="405">
        <v>1</v>
      </c>
      <c r="DL1323" s="82">
        <v>383.16</v>
      </c>
      <c r="DM1323" s="409">
        <v>1.9158000000000002</v>
      </c>
      <c r="DN1323" s="82" t="s">
        <v>85</v>
      </c>
      <c r="DO1323" s="82" t="s">
        <v>85</v>
      </c>
      <c r="DP1323" s="410" t="s">
        <v>85</v>
      </c>
    </row>
    <row r="1324" spans="1:120" x14ac:dyDescent="0.25">
      <c r="A1324" s="16" t="s">
        <v>1739</v>
      </c>
      <c r="B1324" s="16" t="s">
        <v>1740</v>
      </c>
      <c r="C1324" s="16" t="s">
        <v>1741</v>
      </c>
      <c r="D1324" s="16" t="s">
        <v>1542</v>
      </c>
      <c r="E1324" s="16" t="s">
        <v>1742</v>
      </c>
      <c r="F1324" s="16" t="s">
        <v>1743</v>
      </c>
      <c r="G1324" s="16" t="s">
        <v>1744</v>
      </c>
      <c r="H1324" s="16" t="s">
        <v>1743</v>
      </c>
      <c r="I1324" s="16" t="s">
        <v>1090</v>
      </c>
      <c r="J1324" s="16" t="s">
        <v>943</v>
      </c>
      <c r="K1324" s="16" t="s">
        <v>1091</v>
      </c>
      <c r="L1324" s="16" t="s">
        <v>85</v>
      </c>
      <c r="M1324" s="16" t="s">
        <v>984</v>
      </c>
      <c r="N1324" s="16" t="s">
        <v>914</v>
      </c>
      <c r="O1324" s="16" t="s">
        <v>985</v>
      </c>
      <c r="P1324" s="16" t="s">
        <v>914</v>
      </c>
      <c r="Q1324" s="16" t="s">
        <v>985</v>
      </c>
      <c r="R1324" s="16" t="s">
        <v>915</v>
      </c>
      <c r="S1324" s="16" t="s">
        <v>915</v>
      </c>
      <c r="T1324" s="16" t="s">
        <v>986</v>
      </c>
      <c r="U1324" s="16" t="s">
        <v>987</v>
      </c>
      <c r="V1324" s="16" t="s">
        <v>916</v>
      </c>
      <c r="W1324" s="16" t="s">
        <v>987</v>
      </c>
      <c r="X1324" s="16" t="s">
        <v>934</v>
      </c>
      <c r="Y1324" s="16" t="s">
        <v>934</v>
      </c>
      <c r="Z1324" s="16" t="s">
        <v>935</v>
      </c>
      <c r="DA1324" s="405" t="s">
        <v>5</v>
      </c>
      <c r="DB1324" s="405" t="s">
        <v>363</v>
      </c>
      <c r="DC1324" s="406" t="s">
        <v>85</v>
      </c>
      <c r="DD1324" s="405" t="s">
        <v>917</v>
      </c>
      <c r="DE1324" s="405" t="s">
        <v>5</v>
      </c>
      <c r="DF1324" s="406" t="s">
        <v>85</v>
      </c>
      <c r="DG1324" s="407">
        <v>45867</v>
      </c>
      <c r="DH1324" s="405" t="s">
        <v>1742</v>
      </c>
      <c r="DI1324" s="406">
        <v>465455</v>
      </c>
      <c r="DJ1324" s="408">
        <v>5</v>
      </c>
      <c r="DK1324" s="405">
        <v>1</v>
      </c>
      <c r="DL1324" s="82">
        <v>340.55</v>
      </c>
      <c r="DM1324" s="409">
        <v>1.70275</v>
      </c>
      <c r="DN1324" s="82" t="s">
        <v>85</v>
      </c>
      <c r="DO1324" s="82" t="s">
        <v>85</v>
      </c>
      <c r="DP1324" s="410" t="s">
        <v>85</v>
      </c>
    </row>
    <row r="1325" spans="1:120" x14ac:dyDescent="0.25">
      <c r="A1325" s="16" t="s">
        <v>1739</v>
      </c>
      <c r="B1325" s="16" t="s">
        <v>1740</v>
      </c>
      <c r="C1325" s="16" t="s">
        <v>1741</v>
      </c>
      <c r="D1325" s="16" t="s">
        <v>1542</v>
      </c>
      <c r="E1325" s="16" t="s">
        <v>1742</v>
      </c>
      <c r="F1325" s="16" t="s">
        <v>1743</v>
      </c>
      <c r="G1325" s="16" t="s">
        <v>1744</v>
      </c>
      <c r="H1325" s="16" t="s">
        <v>1743</v>
      </c>
      <c r="I1325" s="16" t="s">
        <v>1620</v>
      </c>
      <c r="J1325" s="16" t="s">
        <v>943</v>
      </c>
      <c r="K1325" s="16" t="s">
        <v>1621</v>
      </c>
      <c r="L1325" s="16" t="s">
        <v>85</v>
      </c>
      <c r="M1325" s="16" t="s">
        <v>984</v>
      </c>
      <c r="N1325" s="16" t="s">
        <v>914</v>
      </c>
      <c r="O1325" s="16" t="s">
        <v>985</v>
      </c>
      <c r="P1325" s="16" t="s">
        <v>914</v>
      </c>
      <c r="Q1325" s="16" t="s">
        <v>985</v>
      </c>
      <c r="R1325" s="16" t="s">
        <v>915</v>
      </c>
      <c r="S1325" s="16" t="s">
        <v>915</v>
      </c>
      <c r="T1325" s="16" t="s">
        <v>986</v>
      </c>
      <c r="U1325" s="16" t="s">
        <v>987</v>
      </c>
      <c r="V1325" s="16" t="s">
        <v>916</v>
      </c>
      <c r="W1325" s="16" t="s">
        <v>987</v>
      </c>
      <c r="X1325" s="16" t="s">
        <v>934</v>
      </c>
      <c r="Y1325" s="16" t="s">
        <v>934</v>
      </c>
      <c r="Z1325" s="16" t="s">
        <v>935</v>
      </c>
      <c r="DA1325" s="405" t="s">
        <v>5</v>
      </c>
      <c r="DB1325" s="405" t="s">
        <v>363</v>
      </c>
      <c r="DC1325" s="406" t="s">
        <v>85</v>
      </c>
      <c r="DD1325" s="405" t="s">
        <v>917</v>
      </c>
      <c r="DE1325" s="405" t="s">
        <v>5</v>
      </c>
      <c r="DF1325" s="406" t="s">
        <v>85</v>
      </c>
      <c r="DG1325" s="407">
        <v>45867</v>
      </c>
      <c r="DH1325" s="405" t="s">
        <v>1742</v>
      </c>
      <c r="DI1325" s="406">
        <v>465455</v>
      </c>
      <c r="DJ1325" s="408">
        <v>5</v>
      </c>
      <c r="DK1325" s="405">
        <v>1</v>
      </c>
      <c r="DL1325" s="82">
        <v>340.55</v>
      </c>
      <c r="DM1325" s="409">
        <v>1.70275</v>
      </c>
      <c r="DN1325" s="82" t="s">
        <v>85</v>
      </c>
      <c r="DO1325" s="82" t="s">
        <v>85</v>
      </c>
      <c r="DP1325" s="410" t="s">
        <v>85</v>
      </c>
    </row>
    <row r="1326" spans="1:120" x14ac:dyDescent="0.25">
      <c r="A1326" s="16" t="s">
        <v>1745</v>
      </c>
      <c r="B1326" s="16" t="s">
        <v>1746</v>
      </c>
      <c r="C1326" s="16" t="s">
        <v>1747</v>
      </c>
      <c r="D1326" s="16" t="s">
        <v>1542</v>
      </c>
      <c r="E1326" s="16" t="s">
        <v>1748</v>
      </c>
      <c r="F1326" s="16" t="s">
        <v>1749</v>
      </c>
      <c r="G1326" s="16" t="s">
        <v>1750</v>
      </c>
      <c r="H1326" s="16" t="s">
        <v>1751</v>
      </c>
      <c r="I1326" s="16" t="s">
        <v>1690</v>
      </c>
      <c r="J1326" s="16" t="s">
        <v>928</v>
      </c>
      <c r="K1326" s="16" t="s">
        <v>1691</v>
      </c>
      <c r="L1326" s="16" t="s">
        <v>85</v>
      </c>
      <c r="M1326" s="16" t="s">
        <v>1322</v>
      </c>
      <c r="N1326" s="16" t="s">
        <v>914</v>
      </c>
      <c r="O1326" s="16" t="s">
        <v>1323</v>
      </c>
      <c r="P1326" s="16" t="s">
        <v>914</v>
      </c>
      <c r="Q1326" s="16" t="s">
        <v>1323</v>
      </c>
      <c r="R1326" s="16" t="s">
        <v>915</v>
      </c>
      <c r="S1326" s="16" t="s">
        <v>915</v>
      </c>
      <c r="T1326" s="16" t="s">
        <v>1322</v>
      </c>
      <c r="U1326" s="16" t="s">
        <v>1324</v>
      </c>
      <c r="V1326" s="16" t="s">
        <v>916</v>
      </c>
      <c r="W1326" s="16" t="s">
        <v>1324</v>
      </c>
      <c r="X1326" s="16" t="s">
        <v>934</v>
      </c>
      <c r="Y1326" s="16" t="s">
        <v>934</v>
      </c>
      <c r="Z1326" s="16" t="s">
        <v>935</v>
      </c>
      <c r="DA1326" s="405" t="s">
        <v>5</v>
      </c>
      <c r="DB1326" s="405" t="s">
        <v>363</v>
      </c>
      <c r="DC1326" s="406" t="s">
        <v>85</v>
      </c>
      <c r="DD1326" s="405" t="s">
        <v>917</v>
      </c>
      <c r="DE1326" s="405" t="s">
        <v>5</v>
      </c>
      <c r="DF1326" s="406" t="s">
        <v>85</v>
      </c>
      <c r="DG1326" s="407">
        <v>45867</v>
      </c>
      <c r="DH1326" s="405" t="s">
        <v>1748</v>
      </c>
      <c r="DI1326" s="406">
        <v>465455</v>
      </c>
      <c r="DJ1326" s="408">
        <v>5</v>
      </c>
      <c r="DK1326" s="405">
        <v>1</v>
      </c>
      <c r="DL1326" s="82">
        <v>332.47</v>
      </c>
      <c r="DM1326" s="409">
        <v>1.6623500000000002</v>
      </c>
      <c r="DN1326" s="82" t="s">
        <v>85</v>
      </c>
      <c r="DO1326" s="82" t="s">
        <v>85</v>
      </c>
      <c r="DP1326" s="410" t="s">
        <v>85</v>
      </c>
    </row>
    <row r="1327" spans="1:120" x14ac:dyDescent="0.25">
      <c r="A1327" s="16" t="s">
        <v>1752</v>
      </c>
      <c r="B1327" s="16" t="s">
        <v>1753</v>
      </c>
      <c r="C1327" s="16" t="s">
        <v>1754</v>
      </c>
      <c r="D1327" s="16" t="s">
        <v>1542</v>
      </c>
      <c r="E1327" s="16" t="s">
        <v>1755</v>
      </c>
      <c r="F1327" s="16" t="s">
        <v>1756</v>
      </c>
      <c r="G1327" s="16" t="s">
        <v>1757</v>
      </c>
      <c r="H1327" s="16" t="s">
        <v>1758</v>
      </c>
      <c r="I1327" s="16" t="s">
        <v>1494</v>
      </c>
      <c r="J1327" s="16" t="s">
        <v>943</v>
      </c>
      <c r="K1327" s="16" t="s">
        <v>1495</v>
      </c>
      <c r="L1327" s="16" t="s">
        <v>85</v>
      </c>
      <c r="M1327" s="16" t="s">
        <v>1759</v>
      </c>
      <c r="N1327" s="16" t="s">
        <v>914</v>
      </c>
      <c r="O1327" s="16" t="s">
        <v>1760</v>
      </c>
      <c r="P1327" s="16" t="s">
        <v>914</v>
      </c>
      <c r="Q1327" s="16" t="s">
        <v>1760</v>
      </c>
      <c r="R1327" s="16" t="s">
        <v>915</v>
      </c>
      <c r="S1327" s="16" t="s">
        <v>915</v>
      </c>
      <c r="T1327" s="16" t="s">
        <v>1761</v>
      </c>
      <c r="U1327" s="16" t="s">
        <v>1762</v>
      </c>
      <c r="V1327" s="16" t="s">
        <v>1763</v>
      </c>
      <c r="W1327" s="16" t="s">
        <v>1764</v>
      </c>
      <c r="X1327" s="16" t="s">
        <v>934</v>
      </c>
      <c r="Y1327" s="16" t="s">
        <v>934</v>
      </c>
      <c r="Z1327" s="16" t="s">
        <v>935</v>
      </c>
      <c r="DA1327" s="405" t="s">
        <v>5</v>
      </c>
      <c r="DB1327" s="405" t="s">
        <v>363</v>
      </c>
      <c r="DC1327" s="406" t="s">
        <v>85</v>
      </c>
      <c r="DD1327" s="405" t="s">
        <v>917</v>
      </c>
      <c r="DE1327" s="405" t="s">
        <v>5</v>
      </c>
      <c r="DF1327" s="406" t="s">
        <v>85</v>
      </c>
      <c r="DG1327" s="407">
        <v>45867</v>
      </c>
      <c r="DH1327" s="405" t="s">
        <v>1755</v>
      </c>
      <c r="DI1327" s="406">
        <v>465455</v>
      </c>
      <c r="DJ1327" s="408">
        <v>5</v>
      </c>
      <c r="DK1327" s="405">
        <v>2</v>
      </c>
      <c r="DL1327" s="82">
        <v>340.56</v>
      </c>
      <c r="DM1327" s="409">
        <v>1.7028000000000001</v>
      </c>
      <c r="DN1327" s="82" t="s">
        <v>85</v>
      </c>
      <c r="DO1327" s="82" t="s">
        <v>85</v>
      </c>
      <c r="DP1327" s="410" t="s">
        <v>85</v>
      </c>
    </row>
    <row r="1328" spans="1:120" x14ac:dyDescent="0.25">
      <c r="A1328" s="16" t="s">
        <v>1752</v>
      </c>
      <c r="B1328" s="16" t="s">
        <v>1753</v>
      </c>
      <c r="C1328" s="16" t="s">
        <v>1754</v>
      </c>
      <c r="D1328" s="16" t="s">
        <v>1542</v>
      </c>
      <c r="E1328" s="16" t="s">
        <v>1755</v>
      </c>
      <c r="F1328" s="16" t="s">
        <v>1756</v>
      </c>
      <c r="G1328" s="16" t="s">
        <v>1757</v>
      </c>
      <c r="H1328" s="16" t="s">
        <v>1758</v>
      </c>
      <c r="I1328" s="16" t="s">
        <v>1765</v>
      </c>
      <c r="J1328" s="16" t="s">
        <v>943</v>
      </c>
      <c r="K1328" s="16" t="s">
        <v>1766</v>
      </c>
      <c r="L1328" s="16" t="s">
        <v>85</v>
      </c>
      <c r="M1328" s="16" t="s">
        <v>984</v>
      </c>
      <c r="N1328" s="16" t="s">
        <v>914</v>
      </c>
      <c r="O1328" s="16" t="s">
        <v>985</v>
      </c>
      <c r="P1328" s="16" t="s">
        <v>914</v>
      </c>
      <c r="Q1328" s="16" t="s">
        <v>985</v>
      </c>
      <c r="R1328" s="16" t="s">
        <v>915</v>
      </c>
      <c r="S1328" s="16" t="s">
        <v>915</v>
      </c>
      <c r="T1328" s="16" t="s">
        <v>986</v>
      </c>
      <c r="U1328" s="16" t="s">
        <v>987</v>
      </c>
      <c r="V1328" s="16" t="s">
        <v>916</v>
      </c>
      <c r="W1328" s="16" t="s">
        <v>987</v>
      </c>
      <c r="X1328" s="16" t="s">
        <v>934</v>
      </c>
      <c r="Y1328" s="16" t="s">
        <v>934</v>
      </c>
      <c r="Z1328" s="16" t="s">
        <v>935</v>
      </c>
      <c r="DA1328" s="405" t="s">
        <v>5</v>
      </c>
      <c r="DB1328" s="405" t="s">
        <v>363</v>
      </c>
      <c r="DC1328" s="406" t="s">
        <v>85</v>
      </c>
      <c r="DD1328" s="405" t="s">
        <v>917</v>
      </c>
      <c r="DE1328" s="405" t="s">
        <v>5</v>
      </c>
      <c r="DF1328" s="406" t="s">
        <v>85</v>
      </c>
      <c r="DG1328" s="407">
        <v>45867</v>
      </c>
      <c r="DH1328" s="405" t="s">
        <v>1755</v>
      </c>
      <c r="DI1328" s="406">
        <v>465455</v>
      </c>
      <c r="DJ1328" s="408">
        <v>5</v>
      </c>
      <c r="DK1328" s="405">
        <v>1</v>
      </c>
      <c r="DL1328" s="82">
        <v>340.55</v>
      </c>
      <c r="DM1328" s="409">
        <v>1.70275</v>
      </c>
      <c r="DN1328" s="82" t="s">
        <v>85</v>
      </c>
      <c r="DO1328" s="82" t="s">
        <v>85</v>
      </c>
      <c r="DP1328" s="410" t="s">
        <v>85</v>
      </c>
    </row>
    <row r="1329" spans="1:120" x14ac:dyDescent="0.25">
      <c r="A1329" s="16" t="s">
        <v>1767</v>
      </c>
      <c r="B1329" s="16" t="s">
        <v>1768</v>
      </c>
      <c r="C1329" s="16" t="s">
        <v>1769</v>
      </c>
      <c r="D1329" s="16" t="s">
        <v>1542</v>
      </c>
      <c r="E1329" s="16" t="s">
        <v>1770</v>
      </c>
      <c r="F1329" s="16" t="s">
        <v>1756</v>
      </c>
      <c r="G1329" s="16" t="s">
        <v>1771</v>
      </c>
      <c r="H1329" s="16" t="s">
        <v>1756</v>
      </c>
      <c r="I1329" s="16" t="s">
        <v>1772</v>
      </c>
      <c r="J1329" s="16" t="s">
        <v>1036</v>
      </c>
      <c r="K1329" s="16" t="s">
        <v>1773</v>
      </c>
      <c r="L1329" s="16" t="s">
        <v>85</v>
      </c>
      <c r="M1329" s="16" t="s">
        <v>1216</v>
      </c>
      <c r="N1329" s="16" t="s">
        <v>914</v>
      </c>
      <c r="O1329" s="16" t="s">
        <v>946</v>
      </c>
      <c r="P1329" s="16" t="s">
        <v>914</v>
      </c>
      <c r="Q1329" s="16" t="s">
        <v>946</v>
      </c>
      <c r="R1329" s="16" t="s">
        <v>915</v>
      </c>
      <c r="S1329" s="16" t="s">
        <v>915</v>
      </c>
      <c r="T1329" s="16" t="s">
        <v>1216</v>
      </c>
      <c r="U1329" s="16" t="s">
        <v>1217</v>
      </c>
      <c r="V1329" s="16" t="s">
        <v>916</v>
      </c>
      <c r="W1329" s="16" t="s">
        <v>1217</v>
      </c>
      <c r="X1329" s="16" t="s">
        <v>934</v>
      </c>
      <c r="Y1329" s="16" t="s">
        <v>934</v>
      </c>
      <c r="Z1329" s="16" t="s">
        <v>935</v>
      </c>
      <c r="DA1329" s="405" t="s">
        <v>5</v>
      </c>
      <c r="DB1329" s="405" t="s">
        <v>363</v>
      </c>
      <c r="DC1329" s="406" t="s">
        <v>85</v>
      </c>
      <c r="DD1329" s="405" t="s">
        <v>917</v>
      </c>
      <c r="DE1329" s="405" t="s">
        <v>5</v>
      </c>
      <c r="DF1329" s="406" t="s">
        <v>85</v>
      </c>
      <c r="DG1329" s="407">
        <v>45867</v>
      </c>
      <c r="DH1329" s="405" t="s">
        <v>1770</v>
      </c>
      <c r="DI1329" s="406">
        <v>465455</v>
      </c>
      <c r="DJ1329" s="408">
        <v>5</v>
      </c>
      <c r="DK1329" s="405">
        <v>1</v>
      </c>
      <c r="DL1329" s="82">
        <v>319.22000000000003</v>
      </c>
      <c r="DM1329" s="409">
        <v>1.5961000000000001</v>
      </c>
      <c r="DN1329" s="82" t="s">
        <v>85</v>
      </c>
      <c r="DO1329" s="82" t="s">
        <v>85</v>
      </c>
      <c r="DP1329" s="410" t="s">
        <v>85</v>
      </c>
    </row>
    <row r="1330" spans="1:120" x14ac:dyDescent="0.25">
      <c r="A1330" s="16" t="s">
        <v>1767</v>
      </c>
      <c r="B1330" s="16" t="s">
        <v>1768</v>
      </c>
      <c r="C1330" s="16" t="s">
        <v>1769</v>
      </c>
      <c r="D1330" s="16" t="s">
        <v>1542</v>
      </c>
      <c r="E1330" s="16" t="s">
        <v>1770</v>
      </c>
      <c r="F1330" s="16" t="s">
        <v>1756</v>
      </c>
      <c r="G1330" s="16" t="s">
        <v>1771</v>
      </c>
      <c r="H1330" s="16" t="s">
        <v>1756</v>
      </c>
      <c r="I1330" s="16" t="s">
        <v>1035</v>
      </c>
      <c r="J1330" s="16" t="s">
        <v>1036</v>
      </c>
      <c r="K1330" s="16" t="s">
        <v>1037</v>
      </c>
      <c r="L1330" s="16" t="s">
        <v>85</v>
      </c>
      <c r="M1330" s="16" t="s">
        <v>1216</v>
      </c>
      <c r="N1330" s="16" t="s">
        <v>914</v>
      </c>
      <c r="O1330" s="16" t="s">
        <v>946</v>
      </c>
      <c r="P1330" s="16" t="s">
        <v>914</v>
      </c>
      <c r="Q1330" s="16" t="s">
        <v>946</v>
      </c>
      <c r="R1330" s="16" t="s">
        <v>915</v>
      </c>
      <c r="S1330" s="16" t="s">
        <v>915</v>
      </c>
      <c r="T1330" s="16" t="s">
        <v>1216</v>
      </c>
      <c r="U1330" s="16" t="s">
        <v>1217</v>
      </c>
      <c r="V1330" s="16" t="s">
        <v>916</v>
      </c>
      <c r="W1330" s="16" t="s">
        <v>1217</v>
      </c>
      <c r="X1330" s="16" t="s">
        <v>934</v>
      </c>
      <c r="Y1330" s="16" t="s">
        <v>934</v>
      </c>
      <c r="Z1330" s="16" t="s">
        <v>935</v>
      </c>
      <c r="DA1330" s="405" t="s">
        <v>5</v>
      </c>
      <c r="DB1330" s="405" t="s">
        <v>363</v>
      </c>
      <c r="DC1330" s="406" t="s">
        <v>85</v>
      </c>
      <c r="DD1330" s="405" t="s">
        <v>917</v>
      </c>
      <c r="DE1330" s="405" t="s">
        <v>5</v>
      </c>
      <c r="DF1330" s="406" t="s">
        <v>85</v>
      </c>
      <c r="DG1330" s="407">
        <v>45867</v>
      </c>
      <c r="DH1330" s="405" t="s">
        <v>1770</v>
      </c>
      <c r="DI1330" s="406">
        <v>465455</v>
      </c>
      <c r="DJ1330" s="408">
        <v>5</v>
      </c>
      <c r="DK1330" s="405">
        <v>1</v>
      </c>
      <c r="DL1330" s="82">
        <v>319.22000000000003</v>
      </c>
      <c r="DM1330" s="409">
        <v>1.5961000000000001</v>
      </c>
      <c r="DN1330" s="82" t="s">
        <v>85</v>
      </c>
      <c r="DO1330" s="82" t="s">
        <v>85</v>
      </c>
      <c r="DP1330" s="410" t="s">
        <v>85</v>
      </c>
    </row>
    <row r="1331" spans="1:120" x14ac:dyDescent="0.25">
      <c r="A1331" s="16" t="s">
        <v>1774</v>
      </c>
      <c r="B1331" s="16" t="s">
        <v>1775</v>
      </c>
      <c r="C1331" s="16" t="s">
        <v>1776</v>
      </c>
      <c r="D1331" s="16" t="s">
        <v>1542</v>
      </c>
      <c r="E1331" s="16" t="s">
        <v>1777</v>
      </c>
      <c r="F1331" s="16" t="s">
        <v>1778</v>
      </c>
      <c r="G1331" s="16" t="s">
        <v>1779</v>
      </c>
      <c r="H1331" s="16" t="s">
        <v>1780</v>
      </c>
      <c r="I1331" s="16" t="s">
        <v>1781</v>
      </c>
      <c r="J1331" s="16" t="s">
        <v>995</v>
      </c>
      <c r="K1331" s="16" t="s">
        <v>1782</v>
      </c>
      <c r="L1331" s="16" t="s">
        <v>85</v>
      </c>
      <c r="M1331" s="16" t="s">
        <v>1165</v>
      </c>
      <c r="N1331" s="16" t="s">
        <v>914</v>
      </c>
      <c r="O1331" s="16" t="s">
        <v>1166</v>
      </c>
      <c r="P1331" s="16" t="s">
        <v>914</v>
      </c>
      <c r="Q1331" s="16" t="s">
        <v>1166</v>
      </c>
      <c r="R1331" s="16" t="s">
        <v>915</v>
      </c>
      <c r="S1331" s="16" t="s">
        <v>915</v>
      </c>
      <c r="T1331" s="16" t="s">
        <v>1167</v>
      </c>
      <c r="U1331" s="16" t="s">
        <v>1168</v>
      </c>
      <c r="V1331" s="16" t="s">
        <v>916</v>
      </c>
      <c r="W1331" s="16" t="s">
        <v>1168</v>
      </c>
      <c r="X1331" s="16" t="s">
        <v>934</v>
      </c>
      <c r="Y1331" s="16" t="s">
        <v>934</v>
      </c>
      <c r="Z1331" s="16" t="s">
        <v>935</v>
      </c>
      <c r="DA1331" s="405" t="s">
        <v>5</v>
      </c>
      <c r="DB1331" s="405" t="s">
        <v>363</v>
      </c>
      <c r="DC1331" s="406" t="s">
        <v>85</v>
      </c>
      <c r="DD1331" s="405" t="s">
        <v>917</v>
      </c>
      <c r="DE1331" s="405" t="s">
        <v>5</v>
      </c>
      <c r="DF1331" s="406" t="s">
        <v>85</v>
      </c>
      <c r="DG1331" s="407">
        <v>45867</v>
      </c>
      <c r="DH1331" s="405" t="s">
        <v>1777</v>
      </c>
      <c r="DI1331" s="406">
        <v>465455</v>
      </c>
      <c r="DJ1331" s="408">
        <v>5</v>
      </c>
      <c r="DK1331" s="405">
        <v>1</v>
      </c>
      <c r="DL1331" s="82">
        <v>468.28</v>
      </c>
      <c r="DM1331" s="409">
        <v>2.3413999999999997</v>
      </c>
      <c r="DN1331" s="82" t="s">
        <v>85</v>
      </c>
      <c r="DO1331" s="82" t="s">
        <v>85</v>
      </c>
      <c r="DP1331" s="410" t="s">
        <v>85</v>
      </c>
    </row>
    <row r="1332" spans="1:120" x14ac:dyDescent="0.25">
      <c r="A1332" s="16" t="s">
        <v>1783</v>
      </c>
      <c r="B1332" s="16" t="s">
        <v>1784</v>
      </c>
      <c r="C1332" s="16" t="s">
        <v>1785</v>
      </c>
      <c r="D1332" s="16" t="s">
        <v>1542</v>
      </c>
      <c r="E1332" s="16" t="s">
        <v>1786</v>
      </c>
      <c r="F1332" s="16" t="s">
        <v>1787</v>
      </c>
      <c r="G1332" s="16" t="s">
        <v>1788</v>
      </c>
      <c r="H1332" s="16" t="s">
        <v>1789</v>
      </c>
      <c r="I1332" s="16" t="s">
        <v>1227</v>
      </c>
      <c r="J1332" s="16" t="s">
        <v>928</v>
      </c>
      <c r="K1332" s="16" t="s">
        <v>1228</v>
      </c>
      <c r="L1332" s="16" t="s">
        <v>85</v>
      </c>
      <c r="M1332" s="16" t="s">
        <v>1322</v>
      </c>
      <c r="N1332" s="16" t="s">
        <v>914</v>
      </c>
      <c r="O1332" s="16" t="s">
        <v>1323</v>
      </c>
      <c r="P1332" s="16" t="s">
        <v>914</v>
      </c>
      <c r="Q1332" s="16" t="s">
        <v>1323</v>
      </c>
      <c r="R1332" s="16" t="s">
        <v>915</v>
      </c>
      <c r="S1332" s="16" t="s">
        <v>915</v>
      </c>
      <c r="T1332" s="16" t="s">
        <v>1322</v>
      </c>
      <c r="U1332" s="16" t="s">
        <v>1324</v>
      </c>
      <c r="V1332" s="16" t="s">
        <v>916</v>
      </c>
      <c r="W1332" s="16" t="s">
        <v>1324</v>
      </c>
      <c r="X1332" s="16" t="s">
        <v>934</v>
      </c>
      <c r="Y1332" s="16" t="s">
        <v>934</v>
      </c>
      <c r="Z1332" s="16" t="s">
        <v>935</v>
      </c>
      <c r="DA1332" s="405" t="s">
        <v>5</v>
      </c>
      <c r="DB1332" s="405" t="s">
        <v>363</v>
      </c>
      <c r="DC1332" s="406" t="s">
        <v>85</v>
      </c>
      <c r="DD1332" s="405" t="s">
        <v>917</v>
      </c>
      <c r="DE1332" s="405" t="s">
        <v>5</v>
      </c>
      <c r="DF1332" s="406" t="s">
        <v>85</v>
      </c>
      <c r="DG1332" s="407">
        <v>45867</v>
      </c>
      <c r="DH1332" s="405" t="s">
        <v>1786</v>
      </c>
      <c r="DI1332" s="406">
        <v>465455</v>
      </c>
      <c r="DJ1332" s="408">
        <v>5</v>
      </c>
      <c r="DK1332" s="405">
        <v>1</v>
      </c>
      <c r="DL1332" s="82">
        <v>332.47</v>
      </c>
      <c r="DM1332" s="409">
        <v>1.6623500000000002</v>
      </c>
      <c r="DN1332" s="82" t="s">
        <v>85</v>
      </c>
      <c r="DO1332" s="82" t="s">
        <v>85</v>
      </c>
      <c r="DP1332" s="410" t="s">
        <v>85</v>
      </c>
    </row>
    <row r="1333" spans="1:120" x14ac:dyDescent="0.25">
      <c r="A1333" s="16" t="s">
        <v>1790</v>
      </c>
      <c r="B1333" s="16" t="s">
        <v>1791</v>
      </c>
      <c r="C1333" s="16" t="s">
        <v>1792</v>
      </c>
      <c r="D1333" s="16" t="s">
        <v>1542</v>
      </c>
      <c r="E1333" s="16" t="s">
        <v>1793</v>
      </c>
      <c r="F1333" s="16" t="s">
        <v>1794</v>
      </c>
      <c r="G1333" s="16" t="s">
        <v>1795</v>
      </c>
      <c r="H1333" s="16" t="s">
        <v>1796</v>
      </c>
      <c r="I1333" s="16" t="s">
        <v>994</v>
      </c>
      <c r="J1333" s="16" t="s">
        <v>995</v>
      </c>
      <c r="K1333" s="16" t="s">
        <v>996</v>
      </c>
      <c r="L1333" s="16" t="s">
        <v>85</v>
      </c>
      <c r="M1333" s="16" t="s">
        <v>1165</v>
      </c>
      <c r="N1333" s="16" t="s">
        <v>914</v>
      </c>
      <c r="O1333" s="16" t="s">
        <v>1166</v>
      </c>
      <c r="P1333" s="16" t="s">
        <v>914</v>
      </c>
      <c r="Q1333" s="16" t="s">
        <v>1166</v>
      </c>
      <c r="R1333" s="16" t="s">
        <v>915</v>
      </c>
      <c r="S1333" s="16" t="s">
        <v>915</v>
      </c>
      <c r="T1333" s="16" t="s">
        <v>1167</v>
      </c>
      <c r="U1333" s="16" t="s">
        <v>1168</v>
      </c>
      <c r="V1333" s="16" t="s">
        <v>916</v>
      </c>
      <c r="W1333" s="16" t="s">
        <v>1168</v>
      </c>
      <c r="X1333" s="16" t="s">
        <v>934</v>
      </c>
      <c r="Y1333" s="16" t="s">
        <v>934</v>
      </c>
      <c r="Z1333" s="16" t="s">
        <v>935</v>
      </c>
      <c r="DA1333" s="405" t="s">
        <v>5</v>
      </c>
      <c r="DB1333" s="405" t="s">
        <v>363</v>
      </c>
      <c r="DC1333" s="406" t="s">
        <v>85</v>
      </c>
      <c r="DD1333" s="405" t="s">
        <v>917</v>
      </c>
      <c r="DE1333" s="405" t="s">
        <v>5</v>
      </c>
      <c r="DF1333" s="406" t="s">
        <v>85</v>
      </c>
      <c r="DG1333" s="407">
        <v>45867</v>
      </c>
      <c r="DH1333" s="405" t="s">
        <v>1793</v>
      </c>
      <c r="DI1333" s="406">
        <v>465455</v>
      </c>
      <c r="DJ1333" s="408">
        <v>5</v>
      </c>
      <c r="DK1333" s="405">
        <v>1</v>
      </c>
      <c r="DL1333" s="82">
        <v>468.28</v>
      </c>
      <c r="DM1333" s="409">
        <v>2.3413999999999997</v>
      </c>
      <c r="DN1333" s="82" t="s">
        <v>85</v>
      </c>
      <c r="DO1333" s="82" t="s">
        <v>85</v>
      </c>
      <c r="DP1333" s="410" t="s">
        <v>85</v>
      </c>
    </row>
    <row r="1334" spans="1:120" x14ac:dyDescent="0.25">
      <c r="A1334" s="16" t="s">
        <v>1797</v>
      </c>
      <c r="B1334" s="16" t="s">
        <v>1798</v>
      </c>
      <c r="C1334" s="16" t="s">
        <v>1799</v>
      </c>
      <c r="D1334" s="16" t="s">
        <v>1542</v>
      </c>
      <c r="E1334" s="16" t="s">
        <v>1800</v>
      </c>
      <c r="F1334" s="16" t="s">
        <v>1801</v>
      </c>
      <c r="G1334" s="16" t="s">
        <v>1802</v>
      </c>
      <c r="H1334" s="16" t="s">
        <v>1801</v>
      </c>
      <c r="I1334" s="16" t="s">
        <v>1007</v>
      </c>
      <c r="J1334" s="16" t="s">
        <v>928</v>
      </c>
      <c r="K1334" s="16" t="s">
        <v>1008</v>
      </c>
      <c r="L1334" s="16" t="s">
        <v>85</v>
      </c>
      <c r="M1334" s="16" t="s">
        <v>1322</v>
      </c>
      <c r="N1334" s="16" t="s">
        <v>914</v>
      </c>
      <c r="O1334" s="16" t="s">
        <v>1323</v>
      </c>
      <c r="P1334" s="16" t="s">
        <v>914</v>
      </c>
      <c r="Q1334" s="16" t="s">
        <v>1323</v>
      </c>
      <c r="R1334" s="16" t="s">
        <v>915</v>
      </c>
      <c r="S1334" s="16" t="s">
        <v>915</v>
      </c>
      <c r="T1334" s="16" t="s">
        <v>1322</v>
      </c>
      <c r="U1334" s="16" t="s">
        <v>1324</v>
      </c>
      <c r="V1334" s="16" t="s">
        <v>916</v>
      </c>
      <c r="W1334" s="16" t="s">
        <v>1324</v>
      </c>
      <c r="X1334" s="16" t="s">
        <v>934</v>
      </c>
      <c r="Y1334" s="16" t="s">
        <v>934</v>
      </c>
      <c r="Z1334" s="16" t="s">
        <v>935</v>
      </c>
      <c r="DA1334" s="405" t="s">
        <v>5</v>
      </c>
      <c r="DB1334" s="405" t="s">
        <v>363</v>
      </c>
      <c r="DC1334" s="406" t="s">
        <v>85</v>
      </c>
      <c r="DD1334" s="405" t="s">
        <v>917</v>
      </c>
      <c r="DE1334" s="405" t="s">
        <v>5</v>
      </c>
      <c r="DF1334" s="406" t="s">
        <v>85</v>
      </c>
      <c r="DG1334" s="407">
        <v>45867</v>
      </c>
      <c r="DH1334" s="405" t="s">
        <v>1800</v>
      </c>
      <c r="DI1334" s="406">
        <v>465455</v>
      </c>
      <c r="DJ1334" s="408">
        <v>5</v>
      </c>
      <c r="DK1334" s="405">
        <v>1</v>
      </c>
      <c r="DL1334" s="82">
        <v>332.47</v>
      </c>
      <c r="DM1334" s="409">
        <v>1.6623500000000002</v>
      </c>
      <c r="DN1334" s="82" t="s">
        <v>85</v>
      </c>
      <c r="DO1334" s="82" t="s">
        <v>85</v>
      </c>
      <c r="DP1334" s="410" t="s">
        <v>85</v>
      </c>
    </row>
    <row r="1335" spans="1:120" x14ac:dyDescent="0.25">
      <c r="A1335" s="16" t="s">
        <v>1803</v>
      </c>
      <c r="B1335" s="16" t="s">
        <v>1804</v>
      </c>
      <c r="C1335" s="16" t="s">
        <v>1805</v>
      </c>
      <c r="D1335" s="16" t="s">
        <v>1542</v>
      </c>
      <c r="E1335" s="16" t="s">
        <v>1806</v>
      </c>
      <c r="F1335" s="16" t="s">
        <v>1807</v>
      </c>
      <c r="G1335" s="16" t="s">
        <v>1808</v>
      </c>
      <c r="H1335" s="16" t="s">
        <v>1807</v>
      </c>
      <c r="I1335" s="16" t="s">
        <v>1561</v>
      </c>
      <c r="J1335" s="16" t="s">
        <v>928</v>
      </c>
      <c r="K1335" s="16" t="s">
        <v>1562</v>
      </c>
      <c r="L1335" s="16" t="s">
        <v>85</v>
      </c>
      <c r="M1335" s="16" t="s">
        <v>1322</v>
      </c>
      <c r="N1335" s="16" t="s">
        <v>914</v>
      </c>
      <c r="O1335" s="16" t="s">
        <v>1323</v>
      </c>
      <c r="P1335" s="16" t="s">
        <v>914</v>
      </c>
      <c r="Q1335" s="16" t="s">
        <v>1323</v>
      </c>
      <c r="R1335" s="16" t="s">
        <v>915</v>
      </c>
      <c r="S1335" s="16" t="s">
        <v>915</v>
      </c>
      <c r="T1335" s="16" t="s">
        <v>1322</v>
      </c>
      <c r="U1335" s="16" t="s">
        <v>1324</v>
      </c>
      <c r="V1335" s="16" t="s">
        <v>916</v>
      </c>
      <c r="W1335" s="16" t="s">
        <v>1324</v>
      </c>
      <c r="X1335" s="16" t="s">
        <v>934</v>
      </c>
      <c r="Y1335" s="16" t="s">
        <v>934</v>
      </c>
      <c r="Z1335" s="16" t="s">
        <v>935</v>
      </c>
      <c r="DA1335" s="405" t="s">
        <v>5</v>
      </c>
      <c r="DB1335" s="405" t="s">
        <v>363</v>
      </c>
      <c r="DC1335" s="406" t="s">
        <v>85</v>
      </c>
      <c r="DD1335" s="405" t="s">
        <v>917</v>
      </c>
      <c r="DE1335" s="405" t="s">
        <v>5</v>
      </c>
      <c r="DF1335" s="406" t="s">
        <v>85</v>
      </c>
      <c r="DG1335" s="407">
        <v>45867</v>
      </c>
      <c r="DH1335" s="405" t="s">
        <v>1806</v>
      </c>
      <c r="DI1335" s="406">
        <v>465455</v>
      </c>
      <c r="DJ1335" s="408">
        <v>5</v>
      </c>
      <c r="DK1335" s="405">
        <v>1</v>
      </c>
      <c r="DL1335" s="82">
        <v>332.47</v>
      </c>
      <c r="DM1335" s="409">
        <v>1.6623500000000002</v>
      </c>
      <c r="DN1335" s="82" t="s">
        <v>85</v>
      </c>
      <c r="DO1335" s="82" t="s">
        <v>85</v>
      </c>
      <c r="DP1335" s="410" t="s">
        <v>85</v>
      </c>
    </row>
    <row r="1336" spans="1:120" x14ac:dyDescent="0.25">
      <c r="A1336" s="16" t="s">
        <v>1803</v>
      </c>
      <c r="B1336" s="16" t="s">
        <v>1804</v>
      </c>
      <c r="C1336" s="16" t="s">
        <v>1805</v>
      </c>
      <c r="D1336" s="16" t="s">
        <v>1542</v>
      </c>
      <c r="E1336" s="16" t="s">
        <v>1806</v>
      </c>
      <c r="F1336" s="16" t="s">
        <v>1807</v>
      </c>
      <c r="G1336" s="16" t="s">
        <v>1808</v>
      </c>
      <c r="H1336" s="16" t="s">
        <v>1807</v>
      </c>
      <c r="I1336" s="16" t="s">
        <v>1809</v>
      </c>
      <c r="J1336" s="16" t="s">
        <v>928</v>
      </c>
      <c r="K1336" s="16" t="s">
        <v>1810</v>
      </c>
      <c r="L1336" s="16" t="s">
        <v>85</v>
      </c>
      <c r="M1336" s="16" t="s">
        <v>1322</v>
      </c>
      <c r="N1336" s="16" t="s">
        <v>914</v>
      </c>
      <c r="O1336" s="16" t="s">
        <v>1323</v>
      </c>
      <c r="P1336" s="16" t="s">
        <v>914</v>
      </c>
      <c r="Q1336" s="16" t="s">
        <v>1323</v>
      </c>
      <c r="R1336" s="16" t="s">
        <v>915</v>
      </c>
      <c r="S1336" s="16" t="s">
        <v>915</v>
      </c>
      <c r="T1336" s="16" t="s">
        <v>1322</v>
      </c>
      <c r="U1336" s="16" t="s">
        <v>1324</v>
      </c>
      <c r="V1336" s="16" t="s">
        <v>916</v>
      </c>
      <c r="W1336" s="16" t="s">
        <v>1324</v>
      </c>
      <c r="X1336" s="16" t="s">
        <v>934</v>
      </c>
      <c r="Y1336" s="16" t="s">
        <v>934</v>
      </c>
      <c r="Z1336" s="16" t="s">
        <v>935</v>
      </c>
      <c r="DA1336" s="405" t="s">
        <v>5</v>
      </c>
      <c r="DB1336" s="405" t="s">
        <v>363</v>
      </c>
      <c r="DC1336" s="406" t="s">
        <v>85</v>
      </c>
      <c r="DD1336" s="405" t="s">
        <v>917</v>
      </c>
      <c r="DE1336" s="405" t="s">
        <v>5</v>
      </c>
      <c r="DF1336" s="406" t="s">
        <v>85</v>
      </c>
      <c r="DG1336" s="407">
        <v>45867</v>
      </c>
      <c r="DH1336" s="405" t="s">
        <v>1806</v>
      </c>
      <c r="DI1336" s="406">
        <v>465455</v>
      </c>
      <c r="DJ1336" s="408">
        <v>5</v>
      </c>
      <c r="DK1336" s="405">
        <v>1</v>
      </c>
      <c r="DL1336" s="82">
        <v>332.47</v>
      </c>
      <c r="DM1336" s="409">
        <v>1.6623500000000002</v>
      </c>
      <c r="DN1336" s="82" t="s">
        <v>85</v>
      </c>
      <c r="DO1336" s="82" t="s">
        <v>85</v>
      </c>
      <c r="DP1336" s="410" t="s">
        <v>85</v>
      </c>
    </row>
    <row r="1337" spans="1:120" x14ac:dyDescent="0.25">
      <c r="A1337" s="16" t="s">
        <v>1811</v>
      </c>
      <c r="B1337" s="16" t="s">
        <v>1812</v>
      </c>
      <c r="C1337" s="16" t="s">
        <v>1813</v>
      </c>
      <c r="D1337" s="16" t="s">
        <v>1542</v>
      </c>
      <c r="E1337" s="16" t="s">
        <v>1814</v>
      </c>
      <c r="F1337" s="16" t="s">
        <v>1815</v>
      </c>
      <c r="G1337" s="16" t="s">
        <v>1816</v>
      </c>
      <c r="H1337" s="16" t="s">
        <v>1817</v>
      </c>
      <c r="I1337" s="16" t="s">
        <v>1818</v>
      </c>
      <c r="J1337" s="16" t="s">
        <v>928</v>
      </c>
      <c r="K1337" s="16" t="s">
        <v>1819</v>
      </c>
      <c r="L1337" s="16" t="s">
        <v>85</v>
      </c>
      <c r="M1337" s="16" t="s">
        <v>1322</v>
      </c>
      <c r="N1337" s="16" t="s">
        <v>914</v>
      </c>
      <c r="O1337" s="16" t="s">
        <v>1323</v>
      </c>
      <c r="P1337" s="16" t="s">
        <v>914</v>
      </c>
      <c r="Q1337" s="16" t="s">
        <v>1323</v>
      </c>
      <c r="R1337" s="16" t="s">
        <v>915</v>
      </c>
      <c r="S1337" s="16" t="s">
        <v>915</v>
      </c>
      <c r="T1337" s="16" t="s">
        <v>1322</v>
      </c>
      <c r="U1337" s="16" t="s">
        <v>1324</v>
      </c>
      <c r="V1337" s="16" t="s">
        <v>916</v>
      </c>
      <c r="W1337" s="16" t="s">
        <v>1324</v>
      </c>
      <c r="X1337" s="16" t="s">
        <v>934</v>
      </c>
      <c r="Y1337" s="16" t="s">
        <v>934</v>
      </c>
      <c r="Z1337" s="16" t="s">
        <v>935</v>
      </c>
      <c r="DA1337" s="405" t="s">
        <v>5</v>
      </c>
      <c r="DB1337" s="405" t="s">
        <v>363</v>
      </c>
      <c r="DC1337" s="406" t="s">
        <v>85</v>
      </c>
      <c r="DD1337" s="405" t="s">
        <v>917</v>
      </c>
      <c r="DE1337" s="405" t="s">
        <v>5</v>
      </c>
      <c r="DF1337" s="406" t="s">
        <v>85</v>
      </c>
      <c r="DG1337" s="407">
        <v>45867</v>
      </c>
      <c r="DH1337" s="405" t="s">
        <v>1814</v>
      </c>
      <c r="DI1337" s="406">
        <v>465455</v>
      </c>
      <c r="DJ1337" s="408">
        <v>5</v>
      </c>
      <c r="DK1337" s="405">
        <v>1</v>
      </c>
      <c r="DL1337" s="82">
        <v>332.47</v>
      </c>
      <c r="DM1337" s="409">
        <v>1.6623500000000002</v>
      </c>
      <c r="DN1337" s="82" t="s">
        <v>85</v>
      </c>
      <c r="DO1337" s="82" t="s">
        <v>85</v>
      </c>
      <c r="DP1337" s="410" t="s">
        <v>85</v>
      </c>
    </row>
    <row r="1338" spans="1:120" x14ac:dyDescent="0.25">
      <c r="A1338" s="16" t="s">
        <v>1820</v>
      </c>
      <c r="B1338" s="16" t="s">
        <v>1821</v>
      </c>
      <c r="C1338" s="16" t="s">
        <v>1822</v>
      </c>
      <c r="D1338" s="16" t="s">
        <v>1542</v>
      </c>
      <c r="E1338" s="16" t="s">
        <v>1823</v>
      </c>
      <c r="F1338" s="16" t="s">
        <v>1824</v>
      </c>
      <c r="G1338" s="16" t="s">
        <v>1825</v>
      </c>
      <c r="H1338" s="16" t="s">
        <v>1826</v>
      </c>
      <c r="I1338" s="16" t="s">
        <v>1827</v>
      </c>
      <c r="J1338" s="16" t="s">
        <v>1257</v>
      </c>
      <c r="K1338" s="16" t="s">
        <v>1828</v>
      </c>
      <c r="L1338" s="16" t="s">
        <v>85</v>
      </c>
      <c r="M1338" s="16" t="s">
        <v>1829</v>
      </c>
      <c r="N1338" s="16" t="s">
        <v>914</v>
      </c>
      <c r="O1338" s="16" t="s">
        <v>1830</v>
      </c>
      <c r="P1338" s="16" t="s">
        <v>914</v>
      </c>
      <c r="Q1338" s="16" t="s">
        <v>1830</v>
      </c>
      <c r="R1338" s="16" t="s">
        <v>915</v>
      </c>
      <c r="S1338" s="16" t="s">
        <v>915</v>
      </c>
      <c r="T1338" s="16" t="s">
        <v>1829</v>
      </c>
      <c r="U1338" s="16" t="s">
        <v>1831</v>
      </c>
      <c r="V1338" s="16" t="s">
        <v>916</v>
      </c>
      <c r="W1338" s="16" t="s">
        <v>1831</v>
      </c>
      <c r="X1338" s="16" t="s">
        <v>934</v>
      </c>
      <c r="Y1338" s="16" t="s">
        <v>934</v>
      </c>
      <c r="Z1338" s="16" t="s">
        <v>935</v>
      </c>
      <c r="DA1338" s="405" t="s">
        <v>5</v>
      </c>
      <c r="DB1338" s="405" t="s">
        <v>363</v>
      </c>
      <c r="DC1338" s="406" t="s">
        <v>85</v>
      </c>
      <c r="DD1338" s="405" t="s">
        <v>917</v>
      </c>
      <c r="DE1338" s="405" t="s">
        <v>5</v>
      </c>
      <c r="DF1338" s="406" t="s">
        <v>85</v>
      </c>
      <c r="DG1338" s="407">
        <v>45867</v>
      </c>
      <c r="DH1338" s="405" t="s">
        <v>1823</v>
      </c>
      <c r="DI1338" s="406">
        <v>465455</v>
      </c>
      <c r="DJ1338" s="408">
        <v>5</v>
      </c>
      <c r="DK1338" s="405">
        <v>1</v>
      </c>
      <c r="DL1338" s="82">
        <v>242.05</v>
      </c>
      <c r="DM1338" s="409">
        <v>1.21025</v>
      </c>
      <c r="DN1338" s="82" t="s">
        <v>85</v>
      </c>
      <c r="DO1338" s="82" t="s">
        <v>85</v>
      </c>
      <c r="DP1338" s="410" t="s">
        <v>85</v>
      </c>
    </row>
    <row r="1339" spans="1:120" x14ac:dyDescent="0.25">
      <c r="A1339" s="16" t="s">
        <v>1832</v>
      </c>
      <c r="B1339" s="16" t="s">
        <v>1833</v>
      </c>
      <c r="C1339" s="16" t="s">
        <v>1834</v>
      </c>
      <c r="D1339" s="16" t="s">
        <v>1542</v>
      </c>
      <c r="E1339" s="16" t="s">
        <v>1835</v>
      </c>
      <c r="F1339" s="16" t="s">
        <v>1836</v>
      </c>
      <c r="G1339" s="16" t="s">
        <v>1837</v>
      </c>
      <c r="H1339" s="16" t="s">
        <v>1838</v>
      </c>
      <c r="I1339" s="16" t="s">
        <v>1728</v>
      </c>
      <c r="J1339" s="16" t="s">
        <v>943</v>
      </c>
      <c r="K1339" s="16" t="s">
        <v>1729</v>
      </c>
      <c r="L1339" s="16" t="s">
        <v>85</v>
      </c>
      <c r="M1339" s="16" t="s">
        <v>984</v>
      </c>
      <c r="N1339" s="16" t="s">
        <v>914</v>
      </c>
      <c r="O1339" s="16" t="s">
        <v>985</v>
      </c>
      <c r="P1339" s="16" t="s">
        <v>914</v>
      </c>
      <c r="Q1339" s="16" t="s">
        <v>985</v>
      </c>
      <c r="R1339" s="16" t="s">
        <v>915</v>
      </c>
      <c r="S1339" s="16" t="s">
        <v>915</v>
      </c>
      <c r="T1339" s="16" t="s">
        <v>986</v>
      </c>
      <c r="U1339" s="16" t="s">
        <v>987</v>
      </c>
      <c r="V1339" s="16" t="s">
        <v>916</v>
      </c>
      <c r="W1339" s="16" t="s">
        <v>987</v>
      </c>
      <c r="X1339" s="16" t="s">
        <v>934</v>
      </c>
      <c r="Y1339" s="16" t="s">
        <v>934</v>
      </c>
      <c r="Z1339" s="16" t="s">
        <v>935</v>
      </c>
      <c r="DA1339" s="405" t="s">
        <v>5</v>
      </c>
      <c r="DB1339" s="405" t="s">
        <v>363</v>
      </c>
      <c r="DC1339" s="406" t="s">
        <v>85</v>
      </c>
      <c r="DD1339" s="405" t="s">
        <v>917</v>
      </c>
      <c r="DE1339" s="405" t="s">
        <v>5</v>
      </c>
      <c r="DF1339" s="406" t="s">
        <v>85</v>
      </c>
      <c r="DG1339" s="407">
        <v>45867</v>
      </c>
      <c r="DH1339" s="405" t="s">
        <v>1835</v>
      </c>
      <c r="DI1339" s="406">
        <v>465455</v>
      </c>
      <c r="DJ1339" s="408">
        <v>5</v>
      </c>
      <c r="DK1339" s="405">
        <v>1</v>
      </c>
      <c r="DL1339" s="82">
        <v>340.55</v>
      </c>
      <c r="DM1339" s="409">
        <v>1.70275</v>
      </c>
      <c r="DN1339" s="82" t="s">
        <v>85</v>
      </c>
      <c r="DO1339" s="82" t="s">
        <v>85</v>
      </c>
      <c r="DP1339" s="410" t="s">
        <v>85</v>
      </c>
    </row>
    <row r="1340" spans="1:120" x14ac:dyDescent="0.25">
      <c r="A1340" s="16" t="s">
        <v>1839</v>
      </c>
      <c r="B1340" s="16" t="s">
        <v>1840</v>
      </c>
      <c r="C1340" s="16" t="s">
        <v>1841</v>
      </c>
      <c r="D1340" s="16" t="s">
        <v>1542</v>
      </c>
      <c r="E1340" s="16" t="s">
        <v>1842</v>
      </c>
      <c r="F1340" s="16" t="s">
        <v>1843</v>
      </c>
      <c r="G1340" s="16" t="s">
        <v>1844</v>
      </c>
      <c r="H1340" s="16" t="s">
        <v>1845</v>
      </c>
      <c r="I1340" s="16" t="s">
        <v>1846</v>
      </c>
      <c r="J1340" s="16" t="s">
        <v>1847</v>
      </c>
      <c r="K1340" s="16" t="s">
        <v>1848</v>
      </c>
      <c r="L1340" s="16" t="s">
        <v>85</v>
      </c>
      <c r="M1340" s="16" t="s">
        <v>1849</v>
      </c>
      <c r="N1340" s="16" t="s">
        <v>914</v>
      </c>
      <c r="O1340" s="16" t="s">
        <v>1850</v>
      </c>
      <c r="P1340" s="16" t="s">
        <v>914</v>
      </c>
      <c r="Q1340" s="16" t="s">
        <v>1850</v>
      </c>
      <c r="R1340" s="16" t="s">
        <v>915</v>
      </c>
      <c r="S1340" s="16" t="s">
        <v>915</v>
      </c>
      <c r="T1340" s="16" t="s">
        <v>1851</v>
      </c>
      <c r="U1340" s="16" t="s">
        <v>1852</v>
      </c>
      <c r="V1340" s="16" t="s">
        <v>916</v>
      </c>
      <c r="W1340" s="16" t="s">
        <v>1852</v>
      </c>
      <c r="X1340" s="16" t="s">
        <v>934</v>
      </c>
      <c r="Y1340" s="16" t="s">
        <v>934</v>
      </c>
      <c r="Z1340" s="16" t="s">
        <v>935</v>
      </c>
      <c r="DA1340" s="405" t="s">
        <v>5</v>
      </c>
      <c r="DB1340" s="405" t="s">
        <v>363</v>
      </c>
      <c r="DC1340" s="406" t="s">
        <v>85</v>
      </c>
      <c r="DD1340" s="405" t="s">
        <v>917</v>
      </c>
      <c r="DE1340" s="405" t="s">
        <v>5</v>
      </c>
      <c r="DF1340" s="406" t="s">
        <v>85</v>
      </c>
      <c r="DG1340" s="407">
        <v>45867</v>
      </c>
      <c r="DH1340" s="405" t="s">
        <v>1842</v>
      </c>
      <c r="DI1340" s="406">
        <v>465455</v>
      </c>
      <c r="DJ1340" s="408">
        <v>5</v>
      </c>
      <c r="DK1340" s="405">
        <v>1</v>
      </c>
      <c r="DL1340" s="82">
        <v>447.02</v>
      </c>
      <c r="DM1340" s="409">
        <v>2.2351000000000001</v>
      </c>
      <c r="DN1340" s="82" t="s">
        <v>85</v>
      </c>
      <c r="DO1340" s="82" t="s">
        <v>85</v>
      </c>
      <c r="DP1340" s="410" t="s">
        <v>85</v>
      </c>
    </row>
    <row r="1341" spans="1:120" x14ac:dyDescent="0.25">
      <c r="A1341" s="16" t="s">
        <v>1853</v>
      </c>
      <c r="B1341" s="16" t="s">
        <v>1854</v>
      </c>
      <c r="C1341" s="16" t="s">
        <v>1855</v>
      </c>
      <c r="D1341" s="16" t="s">
        <v>1542</v>
      </c>
      <c r="E1341" s="16" t="s">
        <v>1856</v>
      </c>
      <c r="F1341" s="16" t="s">
        <v>1857</v>
      </c>
      <c r="G1341" s="16" t="s">
        <v>1858</v>
      </c>
      <c r="H1341" s="16" t="s">
        <v>1859</v>
      </c>
      <c r="I1341" s="16" t="s">
        <v>1781</v>
      </c>
      <c r="J1341" s="16" t="s">
        <v>995</v>
      </c>
      <c r="K1341" s="16" t="s">
        <v>1782</v>
      </c>
      <c r="L1341" s="16" t="s">
        <v>85</v>
      </c>
      <c r="M1341" s="16" t="s">
        <v>1165</v>
      </c>
      <c r="N1341" s="16" t="s">
        <v>914</v>
      </c>
      <c r="O1341" s="16" t="s">
        <v>1166</v>
      </c>
      <c r="P1341" s="16" t="s">
        <v>914</v>
      </c>
      <c r="Q1341" s="16" t="s">
        <v>1166</v>
      </c>
      <c r="R1341" s="16" t="s">
        <v>915</v>
      </c>
      <c r="S1341" s="16" t="s">
        <v>915</v>
      </c>
      <c r="T1341" s="16" t="s">
        <v>1167</v>
      </c>
      <c r="U1341" s="16" t="s">
        <v>1168</v>
      </c>
      <c r="V1341" s="16" t="s">
        <v>916</v>
      </c>
      <c r="W1341" s="16" t="s">
        <v>1168</v>
      </c>
      <c r="X1341" s="16" t="s">
        <v>934</v>
      </c>
      <c r="Y1341" s="16" t="s">
        <v>934</v>
      </c>
      <c r="Z1341" s="16" t="s">
        <v>935</v>
      </c>
      <c r="DA1341" s="405" t="s">
        <v>5</v>
      </c>
      <c r="DB1341" s="405" t="s">
        <v>363</v>
      </c>
      <c r="DC1341" s="406" t="s">
        <v>85</v>
      </c>
      <c r="DD1341" s="405" t="s">
        <v>917</v>
      </c>
      <c r="DE1341" s="405" t="s">
        <v>5</v>
      </c>
      <c r="DF1341" s="406" t="s">
        <v>85</v>
      </c>
      <c r="DG1341" s="407">
        <v>45867</v>
      </c>
      <c r="DH1341" s="405" t="s">
        <v>1856</v>
      </c>
      <c r="DI1341" s="406">
        <v>465455</v>
      </c>
      <c r="DJ1341" s="408">
        <v>5</v>
      </c>
      <c r="DK1341" s="405">
        <v>1</v>
      </c>
      <c r="DL1341" s="82">
        <v>468.28</v>
      </c>
      <c r="DM1341" s="409">
        <v>2.3413999999999997</v>
      </c>
      <c r="DN1341" s="82" t="s">
        <v>85</v>
      </c>
      <c r="DO1341" s="82" t="s">
        <v>85</v>
      </c>
      <c r="DP1341" s="410" t="s">
        <v>85</v>
      </c>
    </row>
    <row r="1342" spans="1:120" x14ac:dyDescent="0.25">
      <c r="A1342" s="16" t="s">
        <v>1860</v>
      </c>
      <c r="B1342" s="16" t="s">
        <v>1861</v>
      </c>
      <c r="C1342" s="16" t="s">
        <v>1862</v>
      </c>
      <c r="D1342" s="16" t="s">
        <v>1542</v>
      </c>
      <c r="E1342" s="16" t="s">
        <v>1863</v>
      </c>
      <c r="F1342" s="16" t="s">
        <v>1864</v>
      </c>
      <c r="G1342" s="16" t="s">
        <v>1865</v>
      </c>
      <c r="H1342" s="16" t="s">
        <v>1866</v>
      </c>
      <c r="I1342" s="16" t="s">
        <v>1048</v>
      </c>
      <c r="J1342" s="16" t="s">
        <v>1036</v>
      </c>
      <c r="K1342" s="16" t="s">
        <v>1049</v>
      </c>
      <c r="L1342" s="16" t="s">
        <v>85</v>
      </c>
      <c r="M1342" s="16" t="s">
        <v>1216</v>
      </c>
      <c r="N1342" s="16" t="s">
        <v>914</v>
      </c>
      <c r="O1342" s="16" t="s">
        <v>946</v>
      </c>
      <c r="P1342" s="16" t="s">
        <v>914</v>
      </c>
      <c r="Q1342" s="16" t="s">
        <v>946</v>
      </c>
      <c r="R1342" s="16" t="s">
        <v>915</v>
      </c>
      <c r="S1342" s="16" t="s">
        <v>915</v>
      </c>
      <c r="T1342" s="16" t="s">
        <v>1216</v>
      </c>
      <c r="U1342" s="16" t="s">
        <v>1217</v>
      </c>
      <c r="V1342" s="16" t="s">
        <v>916</v>
      </c>
      <c r="W1342" s="16" t="s">
        <v>1217</v>
      </c>
      <c r="X1342" s="16" t="s">
        <v>934</v>
      </c>
      <c r="Y1342" s="16" t="s">
        <v>934</v>
      </c>
      <c r="Z1342" s="16" t="s">
        <v>935</v>
      </c>
      <c r="DA1342" s="405" t="s">
        <v>5</v>
      </c>
      <c r="DB1342" s="405" t="s">
        <v>363</v>
      </c>
      <c r="DC1342" s="406" t="s">
        <v>85</v>
      </c>
      <c r="DD1342" s="405" t="s">
        <v>917</v>
      </c>
      <c r="DE1342" s="405" t="s">
        <v>5</v>
      </c>
      <c r="DF1342" s="406" t="s">
        <v>85</v>
      </c>
      <c r="DG1342" s="407">
        <v>45867</v>
      </c>
      <c r="DH1342" s="405" t="s">
        <v>1863</v>
      </c>
      <c r="DI1342" s="406">
        <v>465455</v>
      </c>
      <c r="DJ1342" s="408">
        <v>5</v>
      </c>
      <c r="DK1342" s="405">
        <v>1</v>
      </c>
      <c r="DL1342" s="82">
        <v>319.22000000000003</v>
      </c>
      <c r="DM1342" s="409">
        <v>1.5961000000000001</v>
      </c>
      <c r="DN1342" s="82" t="s">
        <v>85</v>
      </c>
      <c r="DO1342" s="82" t="s">
        <v>85</v>
      </c>
      <c r="DP1342" s="410" t="s">
        <v>85</v>
      </c>
    </row>
    <row r="1343" spans="1:120" x14ac:dyDescent="0.25">
      <c r="A1343" s="16" t="s">
        <v>1867</v>
      </c>
      <c r="B1343" s="16" t="s">
        <v>1868</v>
      </c>
      <c r="C1343" s="16" t="s">
        <v>1869</v>
      </c>
      <c r="D1343" s="16" t="s">
        <v>1542</v>
      </c>
      <c r="E1343" s="16" t="s">
        <v>1870</v>
      </c>
      <c r="F1343" s="16" t="s">
        <v>1871</v>
      </c>
      <c r="G1343" s="16" t="s">
        <v>1872</v>
      </c>
      <c r="H1343" s="16" t="s">
        <v>1873</v>
      </c>
      <c r="I1343" s="16" t="s">
        <v>1781</v>
      </c>
      <c r="J1343" s="16" t="s">
        <v>995</v>
      </c>
      <c r="K1343" s="16" t="s">
        <v>1782</v>
      </c>
      <c r="L1343" s="16" t="s">
        <v>85</v>
      </c>
      <c r="M1343" s="16" t="s">
        <v>1165</v>
      </c>
      <c r="N1343" s="16" t="s">
        <v>914</v>
      </c>
      <c r="O1343" s="16" t="s">
        <v>1166</v>
      </c>
      <c r="P1343" s="16" t="s">
        <v>914</v>
      </c>
      <c r="Q1343" s="16" t="s">
        <v>1166</v>
      </c>
      <c r="R1343" s="16" t="s">
        <v>915</v>
      </c>
      <c r="S1343" s="16" t="s">
        <v>915</v>
      </c>
      <c r="T1343" s="16" t="s">
        <v>1167</v>
      </c>
      <c r="U1343" s="16" t="s">
        <v>1168</v>
      </c>
      <c r="V1343" s="16" t="s">
        <v>916</v>
      </c>
      <c r="W1343" s="16" t="s">
        <v>1168</v>
      </c>
      <c r="X1343" s="16" t="s">
        <v>934</v>
      </c>
      <c r="Y1343" s="16" t="s">
        <v>934</v>
      </c>
      <c r="Z1343" s="16" t="s">
        <v>935</v>
      </c>
      <c r="DA1343" s="405" t="s">
        <v>5</v>
      </c>
      <c r="DB1343" s="405" t="s">
        <v>363</v>
      </c>
      <c r="DC1343" s="406" t="s">
        <v>85</v>
      </c>
      <c r="DD1343" s="405" t="s">
        <v>917</v>
      </c>
      <c r="DE1343" s="405" t="s">
        <v>5</v>
      </c>
      <c r="DF1343" s="406" t="s">
        <v>85</v>
      </c>
      <c r="DG1343" s="407">
        <v>45867</v>
      </c>
      <c r="DH1343" s="405" t="s">
        <v>1870</v>
      </c>
      <c r="DI1343" s="406">
        <v>465455</v>
      </c>
      <c r="DJ1343" s="408">
        <v>5</v>
      </c>
      <c r="DK1343" s="405">
        <v>1</v>
      </c>
      <c r="DL1343" s="82">
        <v>468.28</v>
      </c>
      <c r="DM1343" s="409">
        <v>2.3413999999999997</v>
      </c>
      <c r="DN1343" s="82" t="s">
        <v>85</v>
      </c>
      <c r="DO1343" s="82" t="s">
        <v>85</v>
      </c>
      <c r="DP1343" s="410" t="s">
        <v>85</v>
      </c>
    </row>
    <row r="1344" spans="1:120" x14ac:dyDescent="0.25">
      <c r="A1344" s="16" t="s">
        <v>1874</v>
      </c>
      <c r="B1344" s="16" t="s">
        <v>1875</v>
      </c>
      <c r="C1344" s="16" t="s">
        <v>1876</v>
      </c>
      <c r="D1344" s="16" t="s">
        <v>1542</v>
      </c>
      <c r="E1344" s="16" t="s">
        <v>1877</v>
      </c>
      <c r="F1344" s="16" t="s">
        <v>1878</v>
      </c>
      <c r="G1344" s="16" t="s">
        <v>1879</v>
      </c>
      <c r="H1344" s="16" t="s">
        <v>1878</v>
      </c>
      <c r="I1344" s="16" t="s">
        <v>1880</v>
      </c>
      <c r="J1344" s="16" t="s">
        <v>928</v>
      </c>
      <c r="K1344" s="16" t="s">
        <v>1881</v>
      </c>
      <c r="L1344" s="16" t="s">
        <v>85</v>
      </c>
      <c r="M1344" s="16" t="s">
        <v>1322</v>
      </c>
      <c r="N1344" s="16" t="s">
        <v>914</v>
      </c>
      <c r="O1344" s="16" t="s">
        <v>1323</v>
      </c>
      <c r="P1344" s="16" t="s">
        <v>914</v>
      </c>
      <c r="Q1344" s="16" t="s">
        <v>1323</v>
      </c>
      <c r="R1344" s="16" t="s">
        <v>915</v>
      </c>
      <c r="S1344" s="16" t="s">
        <v>915</v>
      </c>
      <c r="T1344" s="16" t="s">
        <v>1322</v>
      </c>
      <c r="U1344" s="16" t="s">
        <v>1324</v>
      </c>
      <c r="V1344" s="16" t="s">
        <v>916</v>
      </c>
      <c r="W1344" s="16" t="s">
        <v>1324</v>
      </c>
      <c r="X1344" s="16" t="s">
        <v>934</v>
      </c>
      <c r="Y1344" s="16" t="s">
        <v>934</v>
      </c>
      <c r="Z1344" s="16" t="s">
        <v>935</v>
      </c>
      <c r="DA1344" s="405" t="s">
        <v>5</v>
      </c>
      <c r="DB1344" s="405" t="s">
        <v>363</v>
      </c>
      <c r="DC1344" s="406" t="s">
        <v>85</v>
      </c>
      <c r="DD1344" s="405" t="s">
        <v>917</v>
      </c>
      <c r="DE1344" s="405" t="s">
        <v>5</v>
      </c>
      <c r="DF1344" s="406" t="s">
        <v>85</v>
      </c>
      <c r="DG1344" s="407">
        <v>45867</v>
      </c>
      <c r="DH1344" s="405" t="s">
        <v>1877</v>
      </c>
      <c r="DI1344" s="406">
        <v>465455</v>
      </c>
      <c r="DJ1344" s="408">
        <v>5</v>
      </c>
      <c r="DK1344" s="405">
        <v>1</v>
      </c>
      <c r="DL1344" s="82">
        <v>332.47</v>
      </c>
      <c r="DM1344" s="409">
        <v>1.6623500000000002</v>
      </c>
      <c r="DN1344" s="82" t="s">
        <v>85</v>
      </c>
      <c r="DO1344" s="82" t="s">
        <v>85</v>
      </c>
      <c r="DP1344" s="410" t="s">
        <v>85</v>
      </c>
    </row>
    <row r="1345" spans="1:120" x14ac:dyDescent="0.25">
      <c r="A1345" s="16" t="s">
        <v>1009</v>
      </c>
      <c r="B1345" s="16" t="s">
        <v>1010</v>
      </c>
      <c r="C1345" s="16" t="s">
        <v>1011</v>
      </c>
      <c r="D1345" s="16" t="s">
        <v>1012</v>
      </c>
      <c r="E1345" s="16" t="s">
        <v>1013</v>
      </c>
      <c r="F1345" s="16" t="s">
        <v>1014</v>
      </c>
      <c r="G1345" s="16" t="s">
        <v>1015</v>
      </c>
      <c r="H1345" s="16" t="s">
        <v>1016</v>
      </c>
      <c r="I1345" s="16" t="s">
        <v>1017</v>
      </c>
      <c r="J1345" s="16" t="s">
        <v>995</v>
      </c>
      <c r="K1345" s="16" t="s">
        <v>1018</v>
      </c>
      <c r="L1345" s="16" t="s">
        <v>85</v>
      </c>
      <c r="M1345" s="16" t="s">
        <v>997</v>
      </c>
      <c r="N1345" s="16" t="s">
        <v>914</v>
      </c>
      <c r="O1345" s="16" t="s">
        <v>998</v>
      </c>
      <c r="P1345" s="16" t="s">
        <v>914</v>
      </c>
      <c r="Q1345" s="16" t="s">
        <v>998</v>
      </c>
      <c r="R1345" s="16" t="s">
        <v>915</v>
      </c>
      <c r="S1345" s="16" t="s">
        <v>915</v>
      </c>
      <c r="T1345" s="16" t="s">
        <v>999</v>
      </c>
      <c r="U1345" s="16" t="s">
        <v>1000</v>
      </c>
      <c r="V1345" s="16" t="s">
        <v>916</v>
      </c>
      <c r="W1345" s="16" t="s">
        <v>1000</v>
      </c>
      <c r="X1345" s="16" t="s">
        <v>934</v>
      </c>
      <c r="Y1345" s="16" t="s">
        <v>934</v>
      </c>
      <c r="Z1345" s="16" t="s">
        <v>935</v>
      </c>
      <c r="DA1345" s="405" t="s">
        <v>5</v>
      </c>
      <c r="DB1345" s="405" t="s">
        <v>363</v>
      </c>
      <c r="DC1345" s="406" t="s">
        <v>85</v>
      </c>
      <c r="DD1345" s="405" t="s">
        <v>917</v>
      </c>
      <c r="DE1345" s="405" t="s">
        <v>5</v>
      </c>
      <c r="DF1345" s="406" t="s">
        <v>85</v>
      </c>
      <c r="DG1345" s="407">
        <v>45868</v>
      </c>
      <c r="DH1345" s="405" t="s">
        <v>1013</v>
      </c>
      <c r="DI1345" s="406">
        <v>465455</v>
      </c>
      <c r="DJ1345" s="408">
        <v>5</v>
      </c>
      <c r="DK1345" s="405">
        <v>1</v>
      </c>
      <c r="DL1345" s="82">
        <v>456.57</v>
      </c>
      <c r="DM1345" s="409">
        <v>2.2828499999999998</v>
      </c>
      <c r="DN1345" s="82" t="s">
        <v>85</v>
      </c>
      <c r="DO1345" s="82" t="s">
        <v>85</v>
      </c>
      <c r="DP1345" s="410" t="s">
        <v>85</v>
      </c>
    </row>
    <row r="1346" spans="1:120" x14ac:dyDescent="0.25">
      <c r="A1346" s="16" t="s">
        <v>1262</v>
      </c>
      <c r="B1346" s="16" t="s">
        <v>1263</v>
      </c>
      <c r="C1346" s="16" t="s">
        <v>1264</v>
      </c>
      <c r="D1346" s="16" t="s">
        <v>1012</v>
      </c>
      <c r="E1346" s="16" t="s">
        <v>1265</v>
      </c>
      <c r="F1346" s="16" t="s">
        <v>1266</v>
      </c>
      <c r="G1346" s="16" t="s">
        <v>1267</v>
      </c>
      <c r="H1346" s="16" t="s">
        <v>1268</v>
      </c>
      <c r="I1346" s="16" t="s">
        <v>1269</v>
      </c>
      <c r="J1346" s="16" t="s">
        <v>943</v>
      </c>
      <c r="K1346" s="16" t="s">
        <v>1270</v>
      </c>
      <c r="L1346" s="16" t="s">
        <v>85</v>
      </c>
      <c r="M1346" s="16" t="s">
        <v>945</v>
      </c>
      <c r="N1346" s="16" t="s">
        <v>914</v>
      </c>
      <c r="O1346" s="16" t="s">
        <v>946</v>
      </c>
      <c r="P1346" s="16" t="s">
        <v>914</v>
      </c>
      <c r="Q1346" s="16" t="s">
        <v>946</v>
      </c>
      <c r="R1346" s="16" t="s">
        <v>915</v>
      </c>
      <c r="S1346" s="16" t="s">
        <v>915</v>
      </c>
      <c r="T1346" s="16" t="s">
        <v>945</v>
      </c>
      <c r="U1346" s="16" t="s">
        <v>947</v>
      </c>
      <c r="V1346" s="16" t="s">
        <v>916</v>
      </c>
      <c r="W1346" s="16" t="s">
        <v>947</v>
      </c>
      <c r="X1346" s="16" t="s">
        <v>934</v>
      </c>
      <c r="Y1346" s="16" t="s">
        <v>934</v>
      </c>
      <c r="Z1346" s="16" t="s">
        <v>935</v>
      </c>
      <c r="DA1346" s="405" t="s">
        <v>5</v>
      </c>
      <c r="DB1346" s="405" t="s">
        <v>363</v>
      </c>
      <c r="DC1346" s="406" t="s">
        <v>85</v>
      </c>
      <c r="DD1346" s="405" t="s">
        <v>917</v>
      </c>
      <c r="DE1346" s="405" t="s">
        <v>5</v>
      </c>
      <c r="DF1346" s="406" t="s">
        <v>85</v>
      </c>
      <c r="DG1346" s="407">
        <v>45868</v>
      </c>
      <c r="DH1346" s="405" t="s">
        <v>1265</v>
      </c>
      <c r="DI1346" s="406">
        <v>465455</v>
      </c>
      <c r="DJ1346" s="408">
        <v>5</v>
      </c>
      <c r="DK1346" s="405">
        <v>1</v>
      </c>
      <c r="DL1346" s="82">
        <v>319.27</v>
      </c>
      <c r="DM1346" s="409">
        <v>1.5963499999999999</v>
      </c>
      <c r="DN1346" s="82" t="s">
        <v>85</v>
      </c>
      <c r="DO1346" s="82" t="s">
        <v>85</v>
      </c>
      <c r="DP1346" s="410" t="s">
        <v>85</v>
      </c>
    </row>
    <row r="1347" spans="1:120" x14ac:dyDescent="0.25">
      <c r="A1347" s="16" t="s">
        <v>1271</v>
      </c>
      <c r="B1347" s="16" t="s">
        <v>1272</v>
      </c>
      <c r="C1347" s="16" t="s">
        <v>1273</v>
      </c>
      <c r="D1347" s="16" t="s">
        <v>1012</v>
      </c>
      <c r="E1347" s="16" t="s">
        <v>1274</v>
      </c>
      <c r="F1347" s="16" t="s">
        <v>1275</v>
      </c>
      <c r="G1347" s="16" t="s">
        <v>1276</v>
      </c>
      <c r="H1347" s="16" t="s">
        <v>1277</v>
      </c>
      <c r="I1347" s="16" t="s">
        <v>1278</v>
      </c>
      <c r="J1347" s="16" t="s">
        <v>1109</v>
      </c>
      <c r="K1347" s="16" t="s">
        <v>1279</v>
      </c>
      <c r="L1347" s="16" t="s">
        <v>85</v>
      </c>
      <c r="M1347" s="16" t="s">
        <v>1111</v>
      </c>
      <c r="N1347" s="16" t="s">
        <v>914</v>
      </c>
      <c r="O1347" s="16" t="s">
        <v>1112</v>
      </c>
      <c r="P1347" s="16" t="s">
        <v>914</v>
      </c>
      <c r="Q1347" s="16" t="s">
        <v>1112</v>
      </c>
      <c r="R1347" s="16" t="s">
        <v>915</v>
      </c>
      <c r="S1347" s="16" t="s">
        <v>915</v>
      </c>
      <c r="T1347" s="16" t="s">
        <v>1113</v>
      </c>
      <c r="U1347" s="16" t="s">
        <v>1114</v>
      </c>
      <c r="V1347" s="16" t="s">
        <v>916</v>
      </c>
      <c r="W1347" s="16" t="s">
        <v>1114</v>
      </c>
      <c r="X1347" s="16" t="s">
        <v>934</v>
      </c>
      <c r="Y1347" s="16" t="s">
        <v>934</v>
      </c>
      <c r="Z1347" s="16" t="s">
        <v>935</v>
      </c>
      <c r="DA1347" s="405" t="s">
        <v>5</v>
      </c>
      <c r="DB1347" s="405" t="s">
        <v>363</v>
      </c>
      <c r="DC1347" s="406" t="s">
        <v>85</v>
      </c>
      <c r="DD1347" s="405" t="s">
        <v>917</v>
      </c>
      <c r="DE1347" s="405" t="s">
        <v>5</v>
      </c>
      <c r="DF1347" s="406" t="s">
        <v>85</v>
      </c>
      <c r="DG1347" s="407">
        <v>45868</v>
      </c>
      <c r="DH1347" s="405" t="s">
        <v>1274</v>
      </c>
      <c r="DI1347" s="406">
        <v>465455</v>
      </c>
      <c r="DJ1347" s="408">
        <v>5</v>
      </c>
      <c r="DK1347" s="405">
        <v>1</v>
      </c>
      <c r="DL1347" s="82">
        <v>519.73</v>
      </c>
      <c r="DM1347" s="409">
        <v>2.5986500000000001</v>
      </c>
      <c r="DN1347" s="82" t="s">
        <v>85</v>
      </c>
      <c r="DO1347" s="82" t="s">
        <v>85</v>
      </c>
      <c r="DP1347" s="410" t="s">
        <v>85</v>
      </c>
    </row>
    <row r="1348" spans="1:120" x14ac:dyDescent="0.25">
      <c r="A1348" s="16" t="s">
        <v>1280</v>
      </c>
      <c r="B1348" s="16" t="s">
        <v>1281</v>
      </c>
      <c r="C1348" s="16" t="s">
        <v>1282</v>
      </c>
      <c r="D1348" s="16" t="s">
        <v>1012</v>
      </c>
      <c r="E1348" s="16" t="s">
        <v>1283</v>
      </c>
      <c r="F1348" s="16" t="s">
        <v>1284</v>
      </c>
      <c r="G1348" s="16" t="s">
        <v>1285</v>
      </c>
      <c r="H1348" s="16" t="s">
        <v>1286</v>
      </c>
      <c r="I1348" s="16" t="s">
        <v>1287</v>
      </c>
      <c r="J1348" s="16" t="s">
        <v>943</v>
      </c>
      <c r="K1348" s="16" t="s">
        <v>1288</v>
      </c>
      <c r="L1348" s="16" t="s">
        <v>85</v>
      </c>
      <c r="M1348" s="16" t="s">
        <v>984</v>
      </c>
      <c r="N1348" s="16" t="s">
        <v>914</v>
      </c>
      <c r="O1348" s="16" t="s">
        <v>985</v>
      </c>
      <c r="P1348" s="16" t="s">
        <v>914</v>
      </c>
      <c r="Q1348" s="16" t="s">
        <v>985</v>
      </c>
      <c r="R1348" s="16" t="s">
        <v>915</v>
      </c>
      <c r="S1348" s="16" t="s">
        <v>915</v>
      </c>
      <c r="T1348" s="16" t="s">
        <v>986</v>
      </c>
      <c r="U1348" s="16" t="s">
        <v>987</v>
      </c>
      <c r="V1348" s="16" t="s">
        <v>916</v>
      </c>
      <c r="W1348" s="16" t="s">
        <v>987</v>
      </c>
      <c r="X1348" s="16" t="s">
        <v>934</v>
      </c>
      <c r="Y1348" s="16" t="s">
        <v>934</v>
      </c>
      <c r="Z1348" s="16" t="s">
        <v>935</v>
      </c>
      <c r="DA1348" s="405" t="s">
        <v>5</v>
      </c>
      <c r="DB1348" s="405" t="s">
        <v>363</v>
      </c>
      <c r="DC1348" s="406" t="s">
        <v>85</v>
      </c>
      <c r="DD1348" s="405" t="s">
        <v>917</v>
      </c>
      <c r="DE1348" s="405" t="s">
        <v>5</v>
      </c>
      <c r="DF1348" s="406" t="s">
        <v>85</v>
      </c>
      <c r="DG1348" s="407">
        <v>45868</v>
      </c>
      <c r="DH1348" s="405" t="s">
        <v>1283</v>
      </c>
      <c r="DI1348" s="406">
        <v>465455</v>
      </c>
      <c r="DJ1348" s="408">
        <v>5</v>
      </c>
      <c r="DK1348" s="405">
        <v>1</v>
      </c>
      <c r="DL1348" s="82">
        <v>340.55</v>
      </c>
      <c r="DM1348" s="409">
        <v>1.70275</v>
      </c>
      <c r="DN1348" s="82" t="s">
        <v>85</v>
      </c>
      <c r="DO1348" s="82" t="s">
        <v>85</v>
      </c>
      <c r="DP1348" s="410" t="s">
        <v>85</v>
      </c>
    </row>
    <row r="1349" spans="1:120" x14ac:dyDescent="0.25">
      <c r="A1349" s="16" t="s">
        <v>1289</v>
      </c>
      <c r="B1349" s="16" t="s">
        <v>1290</v>
      </c>
      <c r="C1349" s="16" t="s">
        <v>1291</v>
      </c>
      <c r="D1349" s="16" t="s">
        <v>1012</v>
      </c>
      <c r="E1349" s="16" t="s">
        <v>1292</v>
      </c>
      <c r="F1349" s="16" t="s">
        <v>1293</v>
      </c>
      <c r="G1349" s="16" t="s">
        <v>1294</v>
      </c>
      <c r="H1349" s="16" t="s">
        <v>1293</v>
      </c>
      <c r="I1349" s="16" t="s">
        <v>1214</v>
      </c>
      <c r="J1349" s="16" t="s">
        <v>1036</v>
      </c>
      <c r="K1349" s="16" t="s">
        <v>1215</v>
      </c>
      <c r="L1349" s="16" t="s">
        <v>85</v>
      </c>
      <c r="M1349" s="16" t="s">
        <v>1038</v>
      </c>
      <c r="N1349" s="16" t="s">
        <v>914</v>
      </c>
      <c r="O1349" s="16" t="s">
        <v>1039</v>
      </c>
      <c r="P1349" s="16" t="s">
        <v>914</v>
      </c>
      <c r="Q1349" s="16" t="s">
        <v>1039</v>
      </c>
      <c r="R1349" s="16" t="s">
        <v>915</v>
      </c>
      <c r="S1349" s="16" t="s">
        <v>915</v>
      </c>
      <c r="T1349" s="16" t="s">
        <v>1038</v>
      </c>
      <c r="U1349" s="16" t="s">
        <v>1040</v>
      </c>
      <c r="V1349" s="16" t="s">
        <v>916</v>
      </c>
      <c r="W1349" s="16" t="s">
        <v>1040</v>
      </c>
      <c r="X1349" s="16" t="s">
        <v>934</v>
      </c>
      <c r="Y1349" s="16" t="s">
        <v>934</v>
      </c>
      <c r="Z1349" s="16" t="s">
        <v>935</v>
      </c>
      <c r="DA1349" s="405" t="s">
        <v>5</v>
      </c>
      <c r="DB1349" s="405" t="s">
        <v>363</v>
      </c>
      <c r="DC1349" s="406" t="s">
        <v>85</v>
      </c>
      <c r="DD1349" s="405" t="s">
        <v>917</v>
      </c>
      <c r="DE1349" s="405" t="s">
        <v>5</v>
      </c>
      <c r="DF1349" s="406" t="s">
        <v>85</v>
      </c>
      <c r="DG1349" s="407">
        <v>45868</v>
      </c>
      <c r="DH1349" s="405" t="s">
        <v>1292</v>
      </c>
      <c r="DI1349" s="406">
        <v>465455</v>
      </c>
      <c r="DJ1349" s="408">
        <v>5</v>
      </c>
      <c r="DK1349" s="405">
        <v>1</v>
      </c>
      <c r="DL1349" s="82">
        <v>311.23</v>
      </c>
      <c r="DM1349" s="409">
        <v>1.5561500000000001</v>
      </c>
      <c r="DN1349" s="82" t="s">
        <v>85</v>
      </c>
      <c r="DO1349" s="82" t="s">
        <v>85</v>
      </c>
      <c r="DP1349" s="410" t="s">
        <v>85</v>
      </c>
    </row>
    <row r="1350" spans="1:120" x14ac:dyDescent="0.25">
      <c r="A1350" s="16" t="s">
        <v>1289</v>
      </c>
      <c r="B1350" s="16" t="s">
        <v>1290</v>
      </c>
      <c r="C1350" s="16" t="s">
        <v>1291</v>
      </c>
      <c r="D1350" s="16" t="s">
        <v>1012</v>
      </c>
      <c r="E1350" s="16" t="s">
        <v>1292</v>
      </c>
      <c r="F1350" s="16" t="s">
        <v>1293</v>
      </c>
      <c r="G1350" s="16" t="s">
        <v>1294</v>
      </c>
      <c r="H1350" s="16" t="s">
        <v>1293</v>
      </c>
      <c r="I1350" s="16" t="s">
        <v>1218</v>
      </c>
      <c r="J1350" s="16" t="s">
        <v>1036</v>
      </c>
      <c r="K1350" s="16" t="s">
        <v>1219</v>
      </c>
      <c r="L1350" s="16" t="s">
        <v>85</v>
      </c>
      <c r="M1350" s="16" t="s">
        <v>1038</v>
      </c>
      <c r="N1350" s="16" t="s">
        <v>914</v>
      </c>
      <c r="O1350" s="16" t="s">
        <v>1039</v>
      </c>
      <c r="P1350" s="16" t="s">
        <v>914</v>
      </c>
      <c r="Q1350" s="16" t="s">
        <v>1039</v>
      </c>
      <c r="R1350" s="16" t="s">
        <v>915</v>
      </c>
      <c r="S1350" s="16" t="s">
        <v>915</v>
      </c>
      <c r="T1350" s="16" t="s">
        <v>1038</v>
      </c>
      <c r="U1350" s="16" t="s">
        <v>1040</v>
      </c>
      <c r="V1350" s="16" t="s">
        <v>916</v>
      </c>
      <c r="W1350" s="16" t="s">
        <v>1040</v>
      </c>
      <c r="X1350" s="16" t="s">
        <v>934</v>
      </c>
      <c r="Y1350" s="16" t="s">
        <v>934</v>
      </c>
      <c r="Z1350" s="16" t="s">
        <v>935</v>
      </c>
      <c r="DA1350" s="405" t="s">
        <v>5</v>
      </c>
      <c r="DB1350" s="405" t="s">
        <v>363</v>
      </c>
      <c r="DC1350" s="406" t="s">
        <v>85</v>
      </c>
      <c r="DD1350" s="405" t="s">
        <v>917</v>
      </c>
      <c r="DE1350" s="405" t="s">
        <v>5</v>
      </c>
      <c r="DF1350" s="406" t="s">
        <v>85</v>
      </c>
      <c r="DG1350" s="407">
        <v>45868</v>
      </c>
      <c r="DH1350" s="405" t="s">
        <v>1292</v>
      </c>
      <c r="DI1350" s="406">
        <v>465455</v>
      </c>
      <c r="DJ1350" s="408">
        <v>5</v>
      </c>
      <c r="DK1350" s="405">
        <v>1</v>
      </c>
      <c r="DL1350" s="82">
        <v>311.23</v>
      </c>
      <c r="DM1350" s="409">
        <v>1.5561500000000001</v>
      </c>
      <c r="DN1350" s="82" t="s">
        <v>85</v>
      </c>
      <c r="DO1350" s="82" t="s">
        <v>85</v>
      </c>
      <c r="DP1350" s="410" t="s">
        <v>85</v>
      </c>
    </row>
    <row r="1351" spans="1:120" x14ac:dyDescent="0.25">
      <c r="A1351" s="16" t="s">
        <v>1295</v>
      </c>
      <c r="B1351" s="16" t="s">
        <v>1296</v>
      </c>
      <c r="C1351" s="16" t="s">
        <v>1297</v>
      </c>
      <c r="D1351" s="16" t="s">
        <v>1012</v>
      </c>
      <c r="E1351" s="16" t="s">
        <v>1298</v>
      </c>
      <c r="F1351" s="16" t="s">
        <v>1299</v>
      </c>
      <c r="G1351" s="16" t="s">
        <v>1300</v>
      </c>
      <c r="H1351" s="16" t="s">
        <v>1299</v>
      </c>
      <c r="I1351" s="16" t="s">
        <v>1301</v>
      </c>
      <c r="J1351" s="16" t="s">
        <v>928</v>
      </c>
      <c r="K1351" s="16" t="s">
        <v>1302</v>
      </c>
      <c r="L1351" s="16" t="s">
        <v>85</v>
      </c>
      <c r="M1351" s="16" t="s">
        <v>930</v>
      </c>
      <c r="N1351" s="16" t="s">
        <v>914</v>
      </c>
      <c r="O1351" s="16" t="s">
        <v>931</v>
      </c>
      <c r="P1351" s="16" t="s">
        <v>914</v>
      </c>
      <c r="Q1351" s="16" t="s">
        <v>931</v>
      </c>
      <c r="R1351" s="16" t="s">
        <v>915</v>
      </c>
      <c r="S1351" s="16" t="s">
        <v>915</v>
      </c>
      <c r="T1351" s="16" t="s">
        <v>932</v>
      </c>
      <c r="U1351" s="16" t="s">
        <v>933</v>
      </c>
      <c r="V1351" s="16" t="s">
        <v>916</v>
      </c>
      <c r="W1351" s="16" t="s">
        <v>933</v>
      </c>
      <c r="X1351" s="16" t="s">
        <v>934</v>
      </c>
      <c r="Y1351" s="16" t="s">
        <v>934</v>
      </c>
      <c r="Z1351" s="16" t="s">
        <v>935</v>
      </c>
      <c r="DA1351" s="405" t="s">
        <v>5</v>
      </c>
      <c r="DB1351" s="405" t="s">
        <v>363</v>
      </c>
      <c r="DC1351" s="406" t="s">
        <v>85</v>
      </c>
      <c r="DD1351" s="405" t="s">
        <v>917</v>
      </c>
      <c r="DE1351" s="405" t="s">
        <v>5</v>
      </c>
      <c r="DF1351" s="406" t="s">
        <v>85</v>
      </c>
      <c r="DG1351" s="407">
        <v>45868</v>
      </c>
      <c r="DH1351" s="405" t="s">
        <v>1298</v>
      </c>
      <c r="DI1351" s="406">
        <v>465455</v>
      </c>
      <c r="DJ1351" s="408">
        <v>5</v>
      </c>
      <c r="DK1351" s="405">
        <v>1</v>
      </c>
      <c r="DL1351" s="82">
        <v>325.83</v>
      </c>
      <c r="DM1351" s="409">
        <v>1.6291499999999999</v>
      </c>
      <c r="DN1351" s="82" t="s">
        <v>85</v>
      </c>
      <c r="DO1351" s="82" t="s">
        <v>85</v>
      </c>
      <c r="DP1351" s="410" t="s">
        <v>85</v>
      </c>
    </row>
    <row r="1352" spans="1:120" x14ac:dyDescent="0.25">
      <c r="A1352" s="16" t="s">
        <v>1303</v>
      </c>
      <c r="B1352" s="16" t="s">
        <v>1304</v>
      </c>
      <c r="C1352" s="16" t="s">
        <v>1305</v>
      </c>
      <c r="D1352" s="16" t="s">
        <v>1012</v>
      </c>
      <c r="E1352" s="16" t="s">
        <v>1306</v>
      </c>
      <c r="F1352" s="16" t="s">
        <v>1307</v>
      </c>
      <c r="G1352" s="16" t="s">
        <v>1308</v>
      </c>
      <c r="H1352" s="16" t="s">
        <v>1307</v>
      </c>
      <c r="I1352" s="16" t="s">
        <v>1309</v>
      </c>
      <c r="J1352" s="16" t="s">
        <v>1109</v>
      </c>
      <c r="K1352" s="16" t="s">
        <v>1310</v>
      </c>
      <c r="L1352" s="16" t="s">
        <v>85</v>
      </c>
      <c r="M1352" s="16" t="s">
        <v>1311</v>
      </c>
      <c r="N1352" s="16" t="s">
        <v>914</v>
      </c>
      <c r="O1352" s="16" t="s">
        <v>1312</v>
      </c>
      <c r="P1352" s="16" t="s">
        <v>914</v>
      </c>
      <c r="Q1352" s="16" t="s">
        <v>1312</v>
      </c>
      <c r="R1352" s="16" t="s">
        <v>915</v>
      </c>
      <c r="S1352" s="16" t="s">
        <v>915</v>
      </c>
      <c r="T1352" s="16" t="s">
        <v>1311</v>
      </c>
      <c r="U1352" s="16" t="s">
        <v>1313</v>
      </c>
      <c r="V1352" s="16" t="s">
        <v>916</v>
      </c>
      <c r="W1352" s="16" t="s">
        <v>1313</v>
      </c>
      <c r="X1352" s="16" t="s">
        <v>934</v>
      </c>
      <c r="Y1352" s="16" t="s">
        <v>934</v>
      </c>
      <c r="Z1352" s="16" t="s">
        <v>935</v>
      </c>
      <c r="DA1352" s="405" t="s">
        <v>5</v>
      </c>
      <c r="DB1352" s="405" t="s">
        <v>363</v>
      </c>
      <c r="DC1352" s="406" t="s">
        <v>85</v>
      </c>
      <c r="DD1352" s="405" t="s">
        <v>917</v>
      </c>
      <c r="DE1352" s="405" t="s">
        <v>5</v>
      </c>
      <c r="DF1352" s="406" t="s">
        <v>85</v>
      </c>
      <c r="DG1352" s="407">
        <v>45868</v>
      </c>
      <c r="DH1352" s="405" t="s">
        <v>1306</v>
      </c>
      <c r="DI1352" s="406">
        <v>465455</v>
      </c>
      <c r="DJ1352" s="408">
        <v>5</v>
      </c>
      <c r="DK1352" s="405">
        <v>1</v>
      </c>
      <c r="DL1352" s="82">
        <v>531.54</v>
      </c>
      <c r="DM1352" s="409">
        <v>2.6576999999999997</v>
      </c>
      <c r="DN1352" s="82" t="s">
        <v>85</v>
      </c>
      <c r="DO1352" s="82" t="s">
        <v>85</v>
      </c>
      <c r="DP1352" s="410" t="s">
        <v>85</v>
      </c>
    </row>
    <row r="1353" spans="1:120" x14ac:dyDescent="0.25">
      <c r="A1353" s="16" t="s">
        <v>1314</v>
      </c>
      <c r="B1353" s="16" t="s">
        <v>1315</v>
      </c>
      <c r="C1353" s="16" t="s">
        <v>1316</v>
      </c>
      <c r="D1353" s="16" t="s">
        <v>1012</v>
      </c>
      <c r="E1353" s="16" t="s">
        <v>1317</v>
      </c>
      <c r="F1353" s="16" t="s">
        <v>1318</v>
      </c>
      <c r="G1353" s="16" t="s">
        <v>1319</v>
      </c>
      <c r="H1353" s="16" t="s">
        <v>1318</v>
      </c>
      <c r="I1353" s="16" t="s">
        <v>1320</v>
      </c>
      <c r="J1353" s="16" t="s">
        <v>928</v>
      </c>
      <c r="K1353" s="16" t="s">
        <v>1321</v>
      </c>
      <c r="L1353" s="16" t="s">
        <v>85</v>
      </c>
      <c r="M1353" s="16" t="s">
        <v>1322</v>
      </c>
      <c r="N1353" s="16" t="s">
        <v>914</v>
      </c>
      <c r="O1353" s="16" t="s">
        <v>1323</v>
      </c>
      <c r="P1353" s="16" t="s">
        <v>914</v>
      </c>
      <c r="Q1353" s="16" t="s">
        <v>1323</v>
      </c>
      <c r="R1353" s="16" t="s">
        <v>915</v>
      </c>
      <c r="S1353" s="16" t="s">
        <v>915</v>
      </c>
      <c r="T1353" s="16" t="s">
        <v>1322</v>
      </c>
      <c r="U1353" s="16" t="s">
        <v>1324</v>
      </c>
      <c r="V1353" s="16" t="s">
        <v>916</v>
      </c>
      <c r="W1353" s="16" t="s">
        <v>1324</v>
      </c>
      <c r="X1353" s="16" t="s">
        <v>934</v>
      </c>
      <c r="Y1353" s="16" t="s">
        <v>934</v>
      </c>
      <c r="Z1353" s="16" t="s">
        <v>935</v>
      </c>
      <c r="DA1353" s="405" t="s">
        <v>5</v>
      </c>
      <c r="DB1353" s="405" t="s">
        <v>363</v>
      </c>
      <c r="DC1353" s="406" t="s">
        <v>85</v>
      </c>
      <c r="DD1353" s="405" t="s">
        <v>917</v>
      </c>
      <c r="DE1353" s="405" t="s">
        <v>5</v>
      </c>
      <c r="DF1353" s="406" t="s">
        <v>85</v>
      </c>
      <c r="DG1353" s="407">
        <v>45868</v>
      </c>
      <c r="DH1353" s="405" t="s">
        <v>1317</v>
      </c>
      <c r="DI1353" s="406">
        <v>465455</v>
      </c>
      <c r="DJ1353" s="408">
        <v>5</v>
      </c>
      <c r="DK1353" s="405">
        <v>1</v>
      </c>
      <c r="DL1353" s="82">
        <v>332.47</v>
      </c>
      <c r="DM1353" s="409">
        <v>1.6623500000000002</v>
      </c>
      <c r="DN1353" s="82" t="s">
        <v>85</v>
      </c>
      <c r="DO1353" s="82" t="s">
        <v>85</v>
      </c>
      <c r="DP1353" s="410" t="s">
        <v>85</v>
      </c>
    </row>
    <row r="1354" spans="1:120" x14ac:dyDescent="0.25">
      <c r="A1354" s="16" t="s">
        <v>1325</v>
      </c>
      <c r="B1354" s="16" t="s">
        <v>1326</v>
      </c>
      <c r="C1354" s="16" t="s">
        <v>1327</v>
      </c>
      <c r="D1354" s="16" t="s">
        <v>1012</v>
      </c>
      <c r="E1354" s="16" t="s">
        <v>1328</v>
      </c>
      <c r="F1354" s="16" t="s">
        <v>1329</v>
      </c>
      <c r="G1354" s="16" t="s">
        <v>1330</v>
      </c>
      <c r="H1354" s="16" t="s">
        <v>1331</v>
      </c>
      <c r="I1354" s="16" t="s">
        <v>1332</v>
      </c>
      <c r="J1354" s="16" t="s">
        <v>1123</v>
      </c>
      <c r="K1354" s="16" t="s">
        <v>1333</v>
      </c>
      <c r="L1354" s="16" t="s">
        <v>85</v>
      </c>
      <c r="M1354" s="16" t="s">
        <v>1238</v>
      </c>
      <c r="N1354" s="16" t="s">
        <v>914</v>
      </c>
      <c r="O1354" s="16" t="s">
        <v>1239</v>
      </c>
      <c r="P1354" s="16" t="s">
        <v>914</v>
      </c>
      <c r="Q1354" s="16" t="s">
        <v>1239</v>
      </c>
      <c r="R1354" s="16" t="s">
        <v>915</v>
      </c>
      <c r="S1354" s="16" t="s">
        <v>915</v>
      </c>
      <c r="T1354" s="16" t="s">
        <v>1238</v>
      </c>
      <c r="U1354" s="16" t="s">
        <v>1240</v>
      </c>
      <c r="V1354" s="16" t="s">
        <v>916</v>
      </c>
      <c r="W1354" s="16" t="s">
        <v>1240</v>
      </c>
      <c r="X1354" s="16" t="s">
        <v>934</v>
      </c>
      <c r="Y1354" s="16" t="s">
        <v>934</v>
      </c>
      <c r="Z1354" s="16" t="s">
        <v>935</v>
      </c>
      <c r="DA1354" s="405" t="s">
        <v>5</v>
      </c>
      <c r="DB1354" s="405" t="s">
        <v>363</v>
      </c>
      <c r="DC1354" s="406" t="s">
        <v>85</v>
      </c>
      <c r="DD1354" s="405" t="s">
        <v>917</v>
      </c>
      <c r="DE1354" s="405" t="s">
        <v>5</v>
      </c>
      <c r="DF1354" s="406" t="s">
        <v>85</v>
      </c>
      <c r="DG1354" s="407">
        <v>45868</v>
      </c>
      <c r="DH1354" s="405" t="s">
        <v>1328</v>
      </c>
      <c r="DI1354" s="406">
        <v>465455</v>
      </c>
      <c r="DJ1354" s="408">
        <v>5</v>
      </c>
      <c r="DK1354" s="405">
        <v>1</v>
      </c>
      <c r="DL1354" s="82">
        <v>383.16</v>
      </c>
      <c r="DM1354" s="409">
        <v>1.9158000000000002</v>
      </c>
      <c r="DN1354" s="82" t="s">
        <v>85</v>
      </c>
      <c r="DO1354" s="82" t="s">
        <v>85</v>
      </c>
      <c r="DP1354" s="410" t="s">
        <v>85</v>
      </c>
    </row>
    <row r="1355" spans="1:120" x14ac:dyDescent="0.25">
      <c r="A1355" s="16" t="s">
        <v>1334</v>
      </c>
      <c r="B1355" s="16" t="s">
        <v>1335</v>
      </c>
      <c r="C1355" s="16" t="s">
        <v>1336</v>
      </c>
      <c r="D1355" s="16" t="s">
        <v>1012</v>
      </c>
      <c r="E1355" s="16" t="s">
        <v>1337</v>
      </c>
      <c r="F1355" s="16" t="s">
        <v>1338</v>
      </c>
      <c r="G1355" s="16" t="s">
        <v>1339</v>
      </c>
      <c r="H1355" s="16" t="s">
        <v>1338</v>
      </c>
      <c r="I1355" s="16" t="s">
        <v>994</v>
      </c>
      <c r="J1355" s="16" t="s">
        <v>995</v>
      </c>
      <c r="K1355" s="16" t="s">
        <v>996</v>
      </c>
      <c r="L1355" s="16" t="s">
        <v>85</v>
      </c>
      <c r="M1355" s="16" t="s">
        <v>1165</v>
      </c>
      <c r="N1355" s="16" t="s">
        <v>914</v>
      </c>
      <c r="O1355" s="16" t="s">
        <v>1166</v>
      </c>
      <c r="P1355" s="16" t="s">
        <v>914</v>
      </c>
      <c r="Q1355" s="16" t="s">
        <v>1166</v>
      </c>
      <c r="R1355" s="16" t="s">
        <v>915</v>
      </c>
      <c r="S1355" s="16" t="s">
        <v>915</v>
      </c>
      <c r="T1355" s="16" t="s">
        <v>1167</v>
      </c>
      <c r="U1355" s="16" t="s">
        <v>1168</v>
      </c>
      <c r="V1355" s="16" t="s">
        <v>916</v>
      </c>
      <c r="W1355" s="16" t="s">
        <v>1168</v>
      </c>
      <c r="X1355" s="16" t="s">
        <v>934</v>
      </c>
      <c r="Y1355" s="16" t="s">
        <v>934</v>
      </c>
      <c r="Z1355" s="16" t="s">
        <v>935</v>
      </c>
      <c r="DA1355" s="405" t="s">
        <v>5</v>
      </c>
      <c r="DB1355" s="405" t="s">
        <v>363</v>
      </c>
      <c r="DC1355" s="406" t="s">
        <v>85</v>
      </c>
      <c r="DD1355" s="405" t="s">
        <v>917</v>
      </c>
      <c r="DE1355" s="405" t="s">
        <v>5</v>
      </c>
      <c r="DF1355" s="406" t="s">
        <v>85</v>
      </c>
      <c r="DG1355" s="407">
        <v>45868</v>
      </c>
      <c r="DH1355" s="405" t="s">
        <v>1337</v>
      </c>
      <c r="DI1355" s="406">
        <v>465455</v>
      </c>
      <c r="DJ1355" s="408">
        <v>5</v>
      </c>
      <c r="DK1355" s="405">
        <v>1</v>
      </c>
      <c r="DL1355" s="82">
        <v>468.28</v>
      </c>
      <c r="DM1355" s="409">
        <v>2.3413999999999997</v>
      </c>
      <c r="DN1355" s="82" t="s">
        <v>85</v>
      </c>
      <c r="DO1355" s="82" t="s">
        <v>85</v>
      </c>
      <c r="DP1355" s="410" t="s">
        <v>85</v>
      </c>
    </row>
    <row r="1356" spans="1:120" x14ac:dyDescent="0.25">
      <c r="A1356" s="16" t="s">
        <v>1334</v>
      </c>
      <c r="B1356" s="16" t="s">
        <v>1335</v>
      </c>
      <c r="C1356" s="16" t="s">
        <v>1336</v>
      </c>
      <c r="D1356" s="16" t="s">
        <v>1012</v>
      </c>
      <c r="E1356" s="16" t="s">
        <v>1337</v>
      </c>
      <c r="F1356" s="16" t="s">
        <v>1338</v>
      </c>
      <c r="G1356" s="16" t="s">
        <v>1339</v>
      </c>
      <c r="H1356" s="16" t="s">
        <v>1338</v>
      </c>
      <c r="I1356" s="16" t="s">
        <v>1163</v>
      </c>
      <c r="J1356" s="16" t="s">
        <v>995</v>
      </c>
      <c r="K1356" s="16" t="s">
        <v>1164</v>
      </c>
      <c r="L1356" s="16" t="s">
        <v>85</v>
      </c>
      <c r="M1356" s="16" t="s">
        <v>1165</v>
      </c>
      <c r="N1356" s="16" t="s">
        <v>914</v>
      </c>
      <c r="O1356" s="16" t="s">
        <v>1166</v>
      </c>
      <c r="P1356" s="16" t="s">
        <v>914</v>
      </c>
      <c r="Q1356" s="16" t="s">
        <v>1166</v>
      </c>
      <c r="R1356" s="16" t="s">
        <v>915</v>
      </c>
      <c r="S1356" s="16" t="s">
        <v>915</v>
      </c>
      <c r="T1356" s="16" t="s">
        <v>1167</v>
      </c>
      <c r="U1356" s="16" t="s">
        <v>1168</v>
      </c>
      <c r="V1356" s="16" t="s">
        <v>916</v>
      </c>
      <c r="W1356" s="16" t="s">
        <v>1168</v>
      </c>
      <c r="X1356" s="16" t="s">
        <v>934</v>
      </c>
      <c r="Y1356" s="16" t="s">
        <v>934</v>
      </c>
      <c r="Z1356" s="16" t="s">
        <v>935</v>
      </c>
      <c r="DA1356" s="405" t="s">
        <v>5</v>
      </c>
      <c r="DB1356" s="405" t="s">
        <v>363</v>
      </c>
      <c r="DC1356" s="406" t="s">
        <v>85</v>
      </c>
      <c r="DD1356" s="405" t="s">
        <v>917</v>
      </c>
      <c r="DE1356" s="405" t="s">
        <v>5</v>
      </c>
      <c r="DF1356" s="406" t="s">
        <v>85</v>
      </c>
      <c r="DG1356" s="407">
        <v>45868</v>
      </c>
      <c r="DH1356" s="405" t="s">
        <v>1337</v>
      </c>
      <c r="DI1356" s="406">
        <v>465455</v>
      </c>
      <c r="DJ1356" s="408">
        <v>5</v>
      </c>
      <c r="DK1356" s="405">
        <v>1</v>
      </c>
      <c r="DL1356" s="82">
        <v>468.28</v>
      </c>
      <c r="DM1356" s="409">
        <v>2.3413999999999997</v>
      </c>
      <c r="DN1356" s="82" t="s">
        <v>85</v>
      </c>
      <c r="DO1356" s="82" t="s">
        <v>85</v>
      </c>
      <c r="DP1356" s="410" t="s">
        <v>85</v>
      </c>
    </row>
    <row r="1357" spans="1:120" x14ac:dyDescent="0.25">
      <c r="A1357" s="16" t="s">
        <v>1340</v>
      </c>
      <c r="B1357" s="16" t="s">
        <v>1341</v>
      </c>
      <c r="C1357" s="16" t="s">
        <v>1342</v>
      </c>
      <c r="D1357" s="16" t="s">
        <v>1012</v>
      </c>
      <c r="E1357" s="16" t="s">
        <v>1343</v>
      </c>
      <c r="F1357" s="16" t="s">
        <v>1344</v>
      </c>
      <c r="G1357" s="16" t="s">
        <v>1345</v>
      </c>
      <c r="H1357" s="16" t="s">
        <v>1346</v>
      </c>
      <c r="I1357" s="16" t="s">
        <v>1347</v>
      </c>
      <c r="J1357" s="16" t="s">
        <v>1348</v>
      </c>
      <c r="K1357" s="16" t="s">
        <v>1349</v>
      </c>
      <c r="L1357" s="16" t="s">
        <v>85</v>
      </c>
      <c r="M1357" s="16" t="s">
        <v>1350</v>
      </c>
      <c r="N1357" s="16" t="s">
        <v>914</v>
      </c>
      <c r="O1357" s="16" t="s">
        <v>1351</v>
      </c>
      <c r="P1357" s="16" t="s">
        <v>914</v>
      </c>
      <c r="Q1357" s="16" t="s">
        <v>1351</v>
      </c>
      <c r="R1357" s="16" t="s">
        <v>915</v>
      </c>
      <c r="S1357" s="16" t="s">
        <v>915</v>
      </c>
      <c r="T1357" s="16" t="s">
        <v>1352</v>
      </c>
      <c r="U1357" s="16" t="s">
        <v>1353</v>
      </c>
      <c r="V1357" s="16" t="s">
        <v>916</v>
      </c>
      <c r="W1357" s="16" t="s">
        <v>1353</v>
      </c>
      <c r="X1357" s="16" t="s">
        <v>934</v>
      </c>
      <c r="Y1357" s="16" t="s">
        <v>934</v>
      </c>
      <c r="Z1357" s="16" t="s">
        <v>935</v>
      </c>
      <c r="DA1357" s="405" t="s">
        <v>5</v>
      </c>
      <c r="DB1357" s="405" t="s">
        <v>363</v>
      </c>
      <c r="DC1357" s="406" t="s">
        <v>85</v>
      </c>
      <c r="DD1357" s="405" t="s">
        <v>917</v>
      </c>
      <c r="DE1357" s="405" t="s">
        <v>5</v>
      </c>
      <c r="DF1357" s="406" t="s">
        <v>85</v>
      </c>
      <c r="DG1357" s="407">
        <v>45868</v>
      </c>
      <c r="DH1357" s="405" t="s">
        <v>1343</v>
      </c>
      <c r="DI1357" s="406">
        <v>465455</v>
      </c>
      <c r="DJ1357" s="408">
        <v>5</v>
      </c>
      <c r="DK1357" s="405">
        <v>1</v>
      </c>
      <c r="DL1357" s="82">
        <v>303.3</v>
      </c>
      <c r="DM1357" s="409">
        <v>1.5165000000000002</v>
      </c>
      <c r="DN1357" s="82" t="s">
        <v>85</v>
      </c>
      <c r="DO1357" s="82" t="s">
        <v>85</v>
      </c>
      <c r="DP1357" s="410" t="s">
        <v>85</v>
      </c>
    </row>
    <row r="1358" spans="1:120" x14ac:dyDescent="0.25">
      <c r="A1358" s="16" t="s">
        <v>1340</v>
      </c>
      <c r="B1358" s="16" t="s">
        <v>1341</v>
      </c>
      <c r="C1358" s="16" t="s">
        <v>1342</v>
      </c>
      <c r="D1358" s="16" t="s">
        <v>1012</v>
      </c>
      <c r="E1358" s="16" t="s">
        <v>1343</v>
      </c>
      <c r="F1358" s="16" t="s">
        <v>1344</v>
      </c>
      <c r="G1358" s="16" t="s">
        <v>1345</v>
      </c>
      <c r="H1358" s="16" t="s">
        <v>1346</v>
      </c>
      <c r="I1358" s="16" t="s">
        <v>1355</v>
      </c>
      <c r="J1358" s="16" t="s">
        <v>1356</v>
      </c>
      <c r="K1358" s="16" t="s">
        <v>1357</v>
      </c>
      <c r="L1358" s="16" t="s">
        <v>85</v>
      </c>
      <c r="M1358" s="16" t="s">
        <v>1350</v>
      </c>
      <c r="N1358" s="16" t="s">
        <v>914</v>
      </c>
      <c r="O1358" s="16" t="s">
        <v>1351</v>
      </c>
      <c r="P1358" s="16" t="s">
        <v>914</v>
      </c>
      <c r="Q1358" s="16" t="s">
        <v>1351</v>
      </c>
      <c r="R1358" s="16" t="s">
        <v>915</v>
      </c>
      <c r="S1358" s="16" t="s">
        <v>915</v>
      </c>
      <c r="T1358" s="16" t="s">
        <v>1352</v>
      </c>
      <c r="U1358" s="16" t="s">
        <v>1353</v>
      </c>
      <c r="V1358" s="16" t="s">
        <v>916</v>
      </c>
      <c r="W1358" s="16" t="s">
        <v>1353</v>
      </c>
      <c r="X1358" s="16" t="s">
        <v>934</v>
      </c>
      <c r="Y1358" s="16" t="s">
        <v>934</v>
      </c>
      <c r="Z1358" s="16" t="s">
        <v>935</v>
      </c>
      <c r="DA1358" s="405" t="s">
        <v>5</v>
      </c>
      <c r="DB1358" s="405" t="s">
        <v>363</v>
      </c>
      <c r="DC1358" s="406" t="s">
        <v>85</v>
      </c>
      <c r="DD1358" s="405" t="s">
        <v>917</v>
      </c>
      <c r="DE1358" s="405" t="s">
        <v>5</v>
      </c>
      <c r="DF1358" s="406" t="s">
        <v>85</v>
      </c>
      <c r="DG1358" s="407">
        <v>45868</v>
      </c>
      <c r="DH1358" s="405" t="s">
        <v>1343</v>
      </c>
      <c r="DI1358" s="406">
        <v>465455</v>
      </c>
      <c r="DJ1358" s="408">
        <v>5</v>
      </c>
      <c r="DK1358" s="405">
        <v>1</v>
      </c>
      <c r="DL1358" s="82">
        <v>303.3</v>
      </c>
      <c r="DM1358" s="409">
        <v>1.5165000000000002</v>
      </c>
      <c r="DN1358" s="82" t="s">
        <v>85</v>
      </c>
      <c r="DO1358" s="82" t="s">
        <v>85</v>
      </c>
      <c r="DP1358" s="410" t="s">
        <v>85</v>
      </c>
    </row>
    <row r="1359" spans="1:120" x14ac:dyDescent="0.25">
      <c r="A1359" s="16" t="s">
        <v>1340</v>
      </c>
      <c r="B1359" s="16" t="s">
        <v>1341</v>
      </c>
      <c r="C1359" s="16" t="s">
        <v>1342</v>
      </c>
      <c r="D1359" s="16" t="s">
        <v>1012</v>
      </c>
      <c r="E1359" s="16" t="s">
        <v>1343</v>
      </c>
      <c r="F1359" s="16" t="s">
        <v>1344</v>
      </c>
      <c r="G1359" s="16" t="s">
        <v>1345</v>
      </c>
      <c r="H1359" s="16" t="s">
        <v>1346</v>
      </c>
      <c r="I1359" s="16" t="s">
        <v>1358</v>
      </c>
      <c r="J1359" s="16" t="s">
        <v>1359</v>
      </c>
      <c r="K1359" s="16" t="s">
        <v>1360</v>
      </c>
      <c r="L1359" s="16" t="s">
        <v>85</v>
      </c>
      <c r="M1359" s="16" t="s">
        <v>1350</v>
      </c>
      <c r="N1359" s="16" t="s">
        <v>914</v>
      </c>
      <c r="O1359" s="16" t="s">
        <v>1351</v>
      </c>
      <c r="P1359" s="16" t="s">
        <v>914</v>
      </c>
      <c r="Q1359" s="16" t="s">
        <v>1351</v>
      </c>
      <c r="R1359" s="16" t="s">
        <v>915</v>
      </c>
      <c r="S1359" s="16" t="s">
        <v>915</v>
      </c>
      <c r="T1359" s="16" t="s">
        <v>1352</v>
      </c>
      <c r="U1359" s="16" t="s">
        <v>1353</v>
      </c>
      <c r="V1359" s="16" t="s">
        <v>916</v>
      </c>
      <c r="W1359" s="16" t="s">
        <v>1353</v>
      </c>
      <c r="X1359" s="16" t="s">
        <v>934</v>
      </c>
      <c r="Y1359" s="16" t="s">
        <v>934</v>
      </c>
      <c r="Z1359" s="16" t="s">
        <v>935</v>
      </c>
      <c r="DA1359" s="405" t="s">
        <v>5</v>
      </c>
      <c r="DB1359" s="405" t="s">
        <v>363</v>
      </c>
      <c r="DC1359" s="406" t="s">
        <v>85</v>
      </c>
      <c r="DD1359" s="405" t="s">
        <v>917</v>
      </c>
      <c r="DE1359" s="405" t="s">
        <v>5</v>
      </c>
      <c r="DF1359" s="406" t="s">
        <v>85</v>
      </c>
      <c r="DG1359" s="407">
        <v>45868</v>
      </c>
      <c r="DH1359" s="405" t="s">
        <v>1343</v>
      </c>
      <c r="DI1359" s="406">
        <v>465455</v>
      </c>
      <c r="DJ1359" s="408">
        <v>5</v>
      </c>
      <c r="DK1359" s="405">
        <v>1</v>
      </c>
      <c r="DL1359" s="82">
        <v>303.3</v>
      </c>
      <c r="DM1359" s="409">
        <v>1.5165000000000002</v>
      </c>
      <c r="DN1359" s="82" t="s">
        <v>85</v>
      </c>
      <c r="DO1359" s="82" t="s">
        <v>85</v>
      </c>
      <c r="DP1359" s="410" t="s">
        <v>85</v>
      </c>
    </row>
    <row r="1360" spans="1:120" x14ac:dyDescent="0.25">
      <c r="A1360" s="16" t="s">
        <v>1361</v>
      </c>
      <c r="B1360" s="16" t="s">
        <v>1362</v>
      </c>
      <c r="C1360" s="16" t="s">
        <v>1363</v>
      </c>
      <c r="D1360" s="16" t="s">
        <v>1012</v>
      </c>
      <c r="E1360" s="16" t="s">
        <v>1364</v>
      </c>
      <c r="F1360" s="16" t="s">
        <v>1365</v>
      </c>
      <c r="G1360" s="16" t="s">
        <v>1366</v>
      </c>
      <c r="H1360" s="16" t="s">
        <v>1367</v>
      </c>
      <c r="I1360" s="16" t="s">
        <v>1368</v>
      </c>
      <c r="J1360" s="16" t="s">
        <v>1123</v>
      </c>
      <c r="K1360" s="16" t="s">
        <v>1369</v>
      </c>
      <c r="L1360" s="16" t="s">
        <v>85</v>
      </c>
      <c r="M1360" s="16" t="s">
        <v>1238</v>
      </c>
      <c r="N1360" s="16" t="s">
        <v>914</v>
      </c>
      <c r="O1360" s="16" t="s">
        <v>1239</v>
      </c>
      <c r="P1360" s="16" t="s">
        <v>914</v>
      </c>
      <c r="Q1360" s="16" t="s">
        <v>1239</v>
      </c>
      <c r="R1360" s="16" t="s">
        <v>915</v>
      </c>
      <c r="S1360" s="16" t="s">
        <v>915</v>
      </c>
      <c r="T1360" s="16" t="s">
        <v>1238</v>
      </c>
      <c r="U1360" s="16" t="s">
        <v>1240</v>
      </c>
      <c r="V1360" s="16" t="s">
        <v>916</v>
      </c>
      <c r="W1360" s="16" t="s">
        <v>1240</v>
      </c>
      <c r="X1360" s="16" t="s">
        <v>934</v>
      </c>
      <c r="Y1360" s="16" t="s">
        <v>934</v>
      </c>
      <c r="Z1360" s="16" t="s">
        <v>935</v>
      </c>
      <c r="DA1360" s="405" t="s">
        <v>5</v>
      </c>
      <c r="DB1360" s="405" t="s">
        <v>363</v>
      </c>
      <c r="DC1360" s="406" t="s">
        <v>85</v>
      </c>
      <c r="DD1360" s="405" t="s">
        <v>917</v>
      </c>
      <c r="DE1360" s="405" t="s">
        <v>5</v>
      </c>
      <c r="DF1360" s="406" t="s">
        <v>85</v>
      </c>
      <c r="DG1360" s="407">
        <v>45868</v>
      </c>
      <c r="DH1360" s="405" t="s">
        <v>1364</v>
      </c>
      <c r="DI1360" s="406">
        <v>465455</v>
      </c>
      <c r="DJ1360" s="408">
        <v>5</v>
      </c>
      <c r="DK1360" s="405">
        <v>1</v>
      </c>
      <c r="DL1360" s="82">
        <v>383.16</v>
      </c>
      <c r="DM1360" s="409">
        <v>1.9158000000000002</v>
      </c>
      <c r="DN1360" s="82" t="s">
        <v>85</v>
      </c>
      <c r="DO1360" s="82" t="s">
        <v>85</v>
      </c>
      <c r="DP1360" s="410" t="s">
        <v>85</v>
      </c>
    </row>
    <row r="1361" spans="1:120" x14ac:dyDescent="0.25">
      <c r="A1361" s="16" t="s">
        <v>1370</v>
      </c>
      <c r="B1361" s="16" t="s">
        <v>1371</v>
      </c>
      <c r="C1361" s="16" t="s">
        <v>1372</v>
      </c>
      <c r="D1361" s="16" t="s">
        <v>1012</v>
      </c>
      <c r="E1361" s="16" t="s">
        <v>1373</v>
      </c>
      <c r="F1361" s="16" t="s">
        <v>1374</v>
      </c>
      <c r="G1361" s="16" t="s">
        <v>1375</v>
      </c>
      <c r="H1361" s="16" t="s">
        <v>1376</v>
      </c>
      <c r="I1361" s="16" t="s">
        <v>1377</v>
      </c>
      <c r="J1361" s="16" t="s">
        <v>943</v>
      </c>
      <c r="K1361" s="16" t="s">
        <v>1378</v>
      </c>
      <c r="L1361" s="16" t="s">
        <v>85</v>
      </c>
      <c r="M1361" s="16" t="s">
        <v>984</v>
      </c>
      <c r="N1361" s="16" t="s">
        <v>914</v>
      </c>
      <c r="O1361" s="16" t="s">
        <v>985</v>
      </c>
      <c r="P1361" s="16" t="s">
        <v>914</v>
      </c>
      <c r="Q1361" s="16" t="s">
        <v>985</v>
      </c>
      <c r="R1361" s="16" t="s">
        <v>915</v>
      </c>
      <c r="S1361" s="16" t="s">
        <v>915</v>
      </c>
      <c r="T1361" s="16" t="s">
        <v>986</v>
      </c>
      <c r="U1361" s="16" t="s">
        <v>987</v>
      </c>
      <c r="V1361" s="16" t="s">
        <v>916</v>
      </c>
      <c r="W1361" s="16" t="s">
        <v>987</v>
      </c>
      <c r="X1361" s="16" t="s">
        <v>934</v>
      </c>
      <c r="Y1361" s="16" t="s">
        <v>934</v>
      </c>
      <c r="Z1361" s="16" t="s">
        <v>935</v>
      </c>
      <c r="DA1361" s="405" t="s">
        <v>5</v>
      </c>
      <c r="DB1361" s="405" t="s">
        <v>363</v>
      </c>
      <c r="DC1361" s="406" t="s">
        <v>85</v>
      </c>
      <c r="DD1361" s="405" t="s">
        <v>917</v>
      </c>
      <c r="DE1361" s="405" t="s">
        <v>5</v>
      </c>
      <c r="DF1361" s="406" t="s">
        <v>85</v>
      </c>
      <c r="DG1361" s="407">
        <v>45868</v>
      </c>
      <c r="DH1361" s="405" t="s">
        <v>1373</v>
      </c>
      <c r="DI1361" s="406">
        <v>465455</v>
      </c>
      <c r="DJ1361" s="408">
        <v>5</v>
      </c>
      <c r="DK1361" s="405">
        <v>1</v>
      </c>
      <c r="DL1361" s="82">
        <v>340.55</v>
      </c>
      <c r="DM1361" s="409">
        <v>1.70275</v>
      </c>
      <c r="DN1361" s="82" t="s">
        <v>85</v>
      </c>
      <c r="DO1361" s="82" t="s">
        <v>85</v>
      </c>
      <c r="DP1361" s="410" t="s">
        <v>85</v>
      </c>
    </row>
    <row r="1362" spans="1:120" x14ac:dyDescent="0.25">
      <c r="A1362" s="16" t="s">
        <v>1379</v>
      </c>
      <c r="B1362" s="16" t="s">
        <v>1380</v>
      </c>
      <c r="C1362" s="16" t="s">
        <v>1381</v>
      </c>
      <c r="D1362" s="16" t="s">
        <v>1012</v>
      </c>
      <c r="E1362" s="16" t="s">
        <v>1382</v>
      </c>
      <c r="F1362" s="16" t="s">
        <v>1383</v>
      </c>
      <c r="G1362" s="16" t="s">
        <v>1384</v>
      </c>
      <c r="H1362" s="16" t="s">
        <v>1385</v>
      </c>
      <c r="I1362" s="16" t="s">
        <v>1386</v>
      </c>
      <c r="J1362" s="16" t="s">
        <v>1109</v>
      </c>
      <c r="K1362" s="16" t="s">
        <v>1387</v>
      </c>
      <c r="L1362" s="16" t="s">
        <v>85</v>
      </c>
      <c r="M1362" s="16" t="s">
        <v>1311</v>
      </c>
      <c r="N1362" s="16" t="s">
        <v>914</v>
      </c>
      <c r="O1362" s="16" t="s">
        <v>1312</v>
      </c>
      <c r="P1362" s="16" t="s">
        <v>914</v>
      </c>
      <c r="Q1362" s="16" t="s">
        <v>1312</v>
      </c>
      <c r="R1362" s="16" t="s">
        <v>915</v>
      </c>
      <c r="S1362" s="16" t="s">
        <v>915</v>
      </c>
      <c r="T1362" s="16" t="s">
        <v>1311</v>
      </c>
      <c r="U1362" s="16" t="s">
        <v>1313</v>
      </c>
      <c r="V1362" s="16" t="s">
        <v>916</v>
      </c>
      <c r="W1362" s="16" t="s">
        <v>1313</v>
      </c>
      <c r="X1362" s="16" t="s">
        <v>934</v>
      </c>
      <c r="Y1362" s="16" t="s">
        <v>934</v>
      </c>
      <c r="Z1362" s="16" t="s">
        <v>935</v>
      </c>
      <c r="DA1362" s="405" t="s">
        <v>5</v>
      </c>
      <c r="DB1362" s="405" t="s">
        <v>363</v>
      </c>
      <c r="DC1362" s="406" t="s">
        <v>85</v>
      </c>
      <c r="DD1362" s="405" t="s">
        <v>917</v>
      </c>
      <c r="DE1362" s="405" t="s">
        <v>5</v>
      </c>
      <c r="DF1362" s="406" t="s">
        <v>85</v>
      </c>
      <c r="DG1362" s="407">
        <v>45868</v>
      </c>
      <c r="DH1362" s="405" t="s">
        <v>1382</v>
      </c>
      <c r="DI1362" s="406">
        <v>465455</v>
      </c>
      <c r="DJ1362" s="408">
        <v>5</v>
      </c>
      <c r="DK1362" s="405">
        <v>1</v>
      </c>
      <c r="DL1362" s="82">
        <v>531.54</v>
      </c>
      <c r="DM1362" s="409">
        <v>2.6576999999999997</v>
      </c>
      <c r="DN1362" s="82" t="s">
        <v>85</v>
      </c>
      <c r="DO1362" s="82" t="s">
        <v>85</v>
      </c>
      <c r="DP1362" s="410" t="s">
        <v>85</v>
      </c>
    </row>
    <row r="1363" spans="1:120" x14ac:dyDescent="0.25">
      <c r="A1363" s="16" t="s">
        <v>1388</v>
      </c>
      <c r="B1363" s="16" t="s">
        <v>1389</v>
      </c>
      <c r="C1363" s="16" t="s">
        <v>1390</v>
      </c>
      <c r="D1363" s="16" t="s">
        <v>1012</v>
      </c>
      <c r="E1363" s="16" t="s">
        <v>1391</v>
      </c>
      <c r="F1363" s="16" t="s">
        <v>1392</v>
      </c>
      <c r="G1363" s="16" t="s">
        <v>1393</v>
      </c>
      <c r="H1363" s="16" t="s">
        <v>1392</v>
      </c>
      <c r="I1363" s="16" t="s">
        <v>1394</v>
      </c>
      <c r="J1363" s="16" t="s">
        <v>956</v>
      </c>
      <c r="K1363" s="16" t="s">
        <v>1395</v>
      </c>
      <c r="L1363" s="16" t="s">
        <v>85</v>
      </c>
      <c r="M1363" s="16" t="s">
        <v>1396</v>
      </c>
      <c r="N1363" s="16" t="s">
        <v>914</v>
      </c>
      <c r="O1363" s="16" t="s">
        <v>1397</v>
      </c>
      <c r="P1363" s="16" t="s">
        <v>914</v>
      </c>
      <c r="Q1363" s="16" t="s">
        <v>1397</v>
      </c>
      <c r="R1363" s="16" t="s">
        <v>915</v>
      </c>
      <c r="S1363" s="16" t="s">
        <v>915</v>
      </c>
      <c r="T1363" s="16" t="s">
        <v>1396</v>
      </c>
      <c r="U1363" s="16" t="s">
        <v>1398</v>
      </c>
      <c r="V1363" s="16" t="s">
        <v>916</v>
      </c>
      <c r="W1363" s="16" t="s">
        <v>1398</v>
      </c>
      <c r="X1363" s="16" t="s">
        <v>934</v>
      </c>
      <c r="Y1363" s="16" t="s">
        <v>934</v>
      </c>
      <c r="Z1363" s="16" t="s">
        <v>935</v>
      </c>
      <c r="DA1363" s="405" t="s">
        <v>5</v>
      </c>
      <c r="DB1363" s="405" t="s">
        <v>363</v>
      </c>
      <c r="DC1363" s="406" t="s">
        <v>85</v>
      </c>
      <c r="DD1363" s="405" t="s">
        <v>917</v>
      </c>
      <c r="DE1363" s="405" t="s">
        <v>5</v>
      </c>
      <c r="DF1363" s="406" t="s">
        <v>85</v>
      </c>
      <c r="DG1363" s="407">
        <v>45868</v>
      </c>
      <c r="DH1363" s="405" t="s">
        <v>1391</v>
      </c>
      <c r="DI1363" s="406">
        <v>465455</v>
      </c>
      <c r="DJ1363" s="408">
        <v>5</v>
      </c>
      <c r="DK1363" s="405">
        <v>1</v>
      </c>
      <c r="DL1363" s="82">
        <v>265.92</v>
      </c>
      <c r="DM1363" s="409">
        <v>1.3296000000000001</v>
      </c>
      <c r="DN1363" s="82" t="s">
        <v>85</v>
      </c>
      <c r="DO1363" s="82" t="s">
        <v>85</v>
      </c>
      <c r="DP1363" s="410" t="s">
        <v>85</v>
      </c>
    </row>
    <row r="1364" spans="1:120" x14ac:dyDescent="0.25">
      <c r="A1364" s="16" t="s">
        <v>1399</v>
      </c>
      <c r="B1364" s="16" t="s">
        <v>1400</v>
      </c>
      <c r="C1364" s="16" t="s">
        <v>1401</v>
      </c>
      <c r="D1364" s="16" t="s">
        <v>1012</v>
      </c>
      <c r="E1364" s="16" t="s">
        <v>1402</v>
      </c>
      <c r="F1364" s="16" t="s">
        <v>1403</v>
      </c>
      <c r="G1364" s="16" t="s">
        <v>1404</v>
      </c>
      <c r="H1364" s="16" t="s">
        <v>1405</v>
      </c>
      <c r="I1364" s="16" t="s">
        <v>1406</v>
      </c>
      <c r="J1364" s="16" t="s">
        <v>1359</v>
      </c>
      <c r="K1364" s="16" t="s">
        <v>1407</v>
      </c>
      <c r="L1364" s="16" t="s">
        <v>85</v>
      </c>
      <c r="M1364" s="16" t="s">
        <v>1350</v>
      </c>
      <c r="N1364" s="16" t="s">
        <v>914</v>
      </c>
      <c r="O1364" s="16" t="s">
        <v>1351</v>
      </c>
      <c r="P1364" s="16" t="s">
        <v>914</v>
      </c>
      <c r="Q1364" s="16" t="s">
        <v>1351</v>
      </c>
      <c r="R1364" s="16" t="s">
        <v>915</v>
      </c>
      <c r="S1364" s="16" t="s">
        <v>915</v>
      </c>
      <c r="T1364" s="16" t="s">
        <v>1352</v>
      </c>
      <c r="U1364" s="16" t="s">
        <v>1353</v>
      </c>
      <c r="V1364" s="16" t="s">
        <v>916</v>
      </c>
      <c r="W1364" s="16" t="s">
        <v>1353</v>
      </c>
      <c r="X1364" s="16" t="s">
        <v>934</v>
      </c>
      <c r="Y1364" s="16" t="s">
        <v>934</v>
      </c>
      <c r="Z1364" s="16" t="s">
        <v>935</v>
      </c>
      <c r="DA1364" s="405" t="s">
        <v>5</v>
      </c>
      <c r="DB1364" s="405" t="s">
        <v>363</v>
      </c>
      <c r="DC1364" s="406" t="s">
        <v>85</v>
      </c>
      <c r="DD1364" s="405" t="s">
        <v>917</v>
      </c>
      <c r="DE1364" s="405" t="s">
        <v>5</v>
      </c>
      <c r="DF1364" s="406" t="s">
        <v>85</v>
      </c>
      <c r="DG1364" s="407">
        <v>45868</v>
      </c>
      <c r="DH1364" s="405" t="s">
        <v>1402</v>
      </c>
      <c r="DI1364" s="406">
        <v>465455</v>
      </c>
      <c r="DJ1364" s="408">
        <v>5</v>
      </c>
      <c r="DK1364" s="405">
        <v>1</v>
      </c>
      <c r="DL1364" s="82">
        <v>303.3</v>
      </c>
      <c r="DM1364" s="409">
        <v>1.5165000000000002</v>
      </c>
      <c r="DN1364" s="82" t="s">
        <v>85</v>
      </c>
      <c r="DO1364" s="82" t="s">
        <v>85</v>
      </c>
      <c r="DP1364" s="410" t="s">
        <v>85</v>
      </c>
    </row>
    <row r="1365" spans="1:120" x14ac:dyDescent="0.25">
      <c r="A1365" s="16" t="s">
        <v>1408</v>
      </c>
      <c r="B1365" s="16" t="s">
        <v>1409</v>
      </c>
      <c r="C1365" s="16" t="s">
        <v>1410</v>
      </c>
      <c r="D1365" s="16" t="s">
        <v>1012</v>
      </c>
      <c r="E1365" s="16" t="s">
        <v>1411</v>
      </c>
      <c r="F1365" s="16" t="s">
        <v>1412</v>
      </c>
      <c r="G1365" s="16" t="s">
        <v>1413</v>
      </c>
      <c r="H1365" s="16" t="s">
        <v>1412</v>
      </c>
      <c r="I1365" s="16" t="s">
        <v>1414</v>
      </c>
      <c r="J1365" s="16" t="s">
        <v>1109</v>
      </c>
      <c r="K1365" s="16" t="s">
        <v>1415</v>
      </c>
      <c r="L1365" s="16" t="s">
        <v>85</v>
      </c>
      <c r="M1365" s="16" t="s">
        <v>1311</v>
      </c>
      <c r="N1365" s="16" t="s">
        <v>914</v>
      </c>
      <c r="O1365" s="16" t="s">
        <v>1312</v>
      </c>
      <c r="P1365" s="16" t="s">
        <v>914</v>
      </c>
      <c r="Q1365" s="16" t="s">
        <v>1312</v>
      </c>
      <c r="R1365" s="16" t="s">
        <v>915</v>
      </c>
      <c r="S1365" s="16" t="s">
        <v>915</v>
      </c>
      <c r="T1365" s="16" t="s">
        <v>1311</v>
      </c>
      <c r="U1365" s="16" t="s">
        <v>1313</v>
      </c>
      <c r="V1365" s="16" t="s">
        <v>916</v>
      </c>
      <c r="W1365" s="16" t="s">
        <v>1313</v>
      </c>
      <c r="X1365" s="16" t="s">
        <v>934</v>
      </c>
      <c r="Y1365" s="16" t="s">
        <v>934</v>
      </c>
      <c r="Z1365" s="16" t="s">
        <v>935</v>
      </c>
      <c r="DA1365" s="405" t="s">
        <v>5</v>
      </c>
      <c r="DB1365" s="405" t="s">
        <v>363</v>
      </c>
      <c r="DC1365" s="406" t="s">
        <v>85</v>
      </c>
      <c r="DD1365" s="405" t="s">
        <v>917</v>
      </c>
      <c r="DE1365" s="405" t="s">
        <v>5</v>
      </c>
      <c r="DF1365" s="406" t="s">
        <v>85</v>
      </c>
      <c r="DG1365" s="407">
        <v>45868</v>
      </c>
      <c r="DH1365" s="405" t="s">
        <v>1411</v>
      </c>
      <c r="DI1365" s="406">
        <v>465455</v>
      </c>
      <c r="DJ1365" s="408">
        <v>5</v>
      </c>
      <c r="DK1365" s="405">
        <v>1</v>
      </c>
      <c r="DL1365" s="82">
        <v>531.54</v>
      </c>
      <c r="DM1365" s="409">
        <v>2.6576999999999997</v>
      </c>
      <c r="DN1365" s="82" t="s">
        <v>85</v>
      </c>
      <c r="DO1365" s="82" t="s">
        <v>85</v>
      </c>
      <c r="DP1365" s="410" t="s">
        <v>85</v>
      </c>
    </row>
    <row r="1366" spans="1:120" x14ac:dyDescent="0.25">
      <c r="A1366" s="16" t="s">
        <v>1416</v>
      </c>
      <c r="B1366" s="16" t="s">
        <v>1417</v>
      </c>
      <c r="C1366" s="16" t="s">
        <v>1418</v>
      </c>
      <c r="D1366" s="16" t="s">
        <v>1012</v>
      </c>
      <c r="E1366" s="16" t="s">
        <v>1419</v>
      </c>
      <c r="F1366" s="16" t="s">
        <v>1420</v>
      </c>
      <c r="G1366" s="16" t="s">
        <v>1421</v>
      </c>
      <c r="H1366" s="16" t="s">
        <v>1422</v>
      </c>
      <c r="I1366" s="16" t="s">
        <v>1423</v>
      </c>
      <c r="J1366" s="16" t="s">
        <v>928</v>
      </c>
      <c r="K1366" s="16" t="s">
        <v>1424</v>
      </c>
      <c r="L1366" s="16" t="s">
        <v>85</v>
      </c>
      <c r="M1366" s="16" t="s">
        <v>1322</v>
      </c>
      <c r="N1366" s="16" t="s">
        <v>914</v>
      </c>
      <c r="O1366" s="16" t="s">
        <v>1323</v>
      </c>
      <c r="P1366" s="16" t="s">
        <v>914</v>
      </c>
      <c r="Q1366" s="16" t="s">
        <v>1323</v>
      </c>
      <c r="R1366" s="16" t="s">
        <v>915</v>
      </c>
      <c r="S1366" s="16" t="s">
        <v>915</v>
      </c>
      <c r="T1366" s="16" t="s">
        <v>1322</v>
      </c>
      <c r="U1366" s="16" t="s">
        <v>1324</v>
      </c>
      <c r="V1366" s="16" t="s">
        <v>916</v>
      </c>
      <c r="W1366" s="16" t="s">
        <v>1324</v>
      </c>
      <c r="X1366" s="16" t="s">
        <v>934</v>
      </c>
      <c r="Y1366" s="16" t="s">
        <v>934</v>
      </c>
      <c r="Z1366" s="16" t="s">
        <v>935</v>
      </c>
      <c r="DA1366" s="405" t="s">
        <v>5</v>
      </c>
      <c r="DB1366" s="405" t="s">
        <v>363</v>
      </c>
      <c r="DC1366" s="406" t="s">
        <v>85</v>
      </c>
      <c r="DD1366" s="405" t="s">
        <v>917</v>
      </c>
      <c r="DE1366" s="405" t="s">
        <v>5</v>
      </c>
      <c r="DF1366" s="406" t="s">
        <v>85</v>
      </c>
      <c r="DG1366" s="407">
        <v>45868</v>
      </c>
      <c r="DH1366" s="405" t="s">
        <v>1419</v>
      </c>
      <c r="DI1366" s="406">
        <v>465455</v>
      </c>
      <c r="DJ1366" s="408">
        <v>5</v>
      </c>
      <c r="DK1366" s="405">
        <v>1</v>
      </c>
      <c r="DL1366" s="82">
        <v>332.47</v>
      </c>
      <c r="DM1366" s="409">
        <v>1.6623500000000002</v>
      </c>
      <c r="DN1366" s="82" t="s">
        <v>85</v>
      </c>
      <c r="DO1366" s="82" t="s">
        <v>85</v>
      </c>
      <c r="DP1366" s="410" t="s">
        <v>85</v>
      </c>
    </row>
    <row r="1367" spans="1:120" x14ac:dyDescent="0.25">
      <c r="A1367" s="16" t="s">
        <v>1425</v>
      </c>
      <c r="B1367" s="16" t="s">
        <v>1426</v>
      </c>
      <c r="C1367" s="16" t="s">
        <v>1427</v>
      </c>
      <c r="D1367" s="16" t="s">
        <v>1012</v>
      </c>
      <c r="E1367" s="16" t="s">
        <v>1428</v>
      </c>
      <c r="F1367" s="16" t="s">
        <v>1429</v>
      </c>
      <c r="G1367" s="16" t="s">
        <v>1430</v>
      </c>
      <c r="H1367" s="16" t="s">
        <v>1431</v>
      </c>
      <c r="I1367" s="16" t="s">
        <v>1432</v>
      </c>
      <c r="J1367" s="16" t="s">
        <v>956</v>
      </c>
      <c r="K1367" s="16" t="s">
        <v>1433</v>
      </c>
      <c r="L1367" s="16" t="s">
        <v>85</v>
      </c>
      <c r="M1367" s="16" t="s">
        <v>1396</v>
      </c>
      <c r="N1367" s="16" t="s">
        <v>914</v>
      </c>
      <c r="O1367" s="16" t="s">
        <v>1397</v>
      </c>
      <c r="P1367" s="16" t="s">
        <v>914</v>
      </c>
      <c r="Q1367" s="16" t="s">
        <v>1397</v>
      </c>
      <c r="R1367" s="16" t="s">
        <v>915</v>
      </c>
      <c r="S1367" s="16" t="s">
        <v>915</v>
      </c>
      <c r="T1367" s="16" t="s">
        <v>1396</v>
      </c>
      <c r="U1367" s="16" t="s">
        <v>1398</v>
      </c>
      <c r="V1367" s="16" t="s">
        <v>916</v>
      </c>
      <c r="W1367" s="16" t="s">
        <v>1398</v>
      </c>
      <c r="X1367" s="16" t="s">
        <v>934</v>
      </c>
      <c r="Y1367" s="16" t="s">
        <v>934</v>
      </c>
      <c r="Z1367" s="16" t="s">
        <v>935</v>
      </c>
      <c r="DA1367" s="405" t="s">
        <v>5</v>
      </c>
      <c r="DB1367" s="405" t="s">
        <v>363</v>
      </c>
      <c r="DC1367" s="406" t="s">
        <v>85</v>
      </c>
      <c r="DD1367" s="405" t="s">
        <v>917</v>
      </c>
      <c r="DE1367" s="405" t="s">
        <v>5</v>
      </c>
      <c r="DF1367" s="406" t="s">
        <v>85</v>
      </c>
      <c r="DG1367" s="407">
        <v>45868</v>
      </c>
      <c r="DH1367" s="405" t="s">
        <v>1428</v>
      </c>
      <c r="DI1367" s="406">
        <v>465455</v>
      </c>
      <c r="DJ1367" s="408">
        <v>5</v>
      </c>
      <c r="DK1367" s="405">
        <v>1</v>
      </c>
      <c r="DL1367" s="82">
        <v>265.92</v>
      </c>
      <c r="DM1367" s="409">
        <v>1.3296000000000001</v>
      </c>
      <c r="DN1367" s="82" t="s">
        <v>85</v>
      </c>
      <c r="DO1367" s="82" t="s">
        <v>85</v>
      </c>
      <c r="DP1367" s="410" t="s">
        <v>85</v>
      </c>
    </row>
    <row r="1368" spans="1:120" x14ac:dyDescent="0.25">
      <c r="A1368" s="16" t="s">
        <v>1434</v>
      </c>
      <c r="B1368" s="16" t="s">
        <v>1435</v>
      </c>
      <c r="C1368" s="16" t="s">
        <v>1436</v>
      </c>
      <c r="D1368" s="16" t="s">
        <v>1012</v>
      </c>
      <c r="E1368" s="16" t="s">
        <v>1437</v>
      </c>
      <c r="F1368" s="16" t="s">
        <v>1438</v>
      </c>
      <c r="G1368" s="16" t="s">
        <v>1439</v>
      </c>
      <c r="H1368" s="16" t="s">
        <v>1440</v>
      </c>
      <c r="I1368" s="16" t="s">
        <v>1090</v>
      </c>
      <c r="J1368" s="16" t="s">
        <v>943</v>
      </c>
      <c r="K1368" s="16" t="s">
        <v>1091</v>
      </c>
      <c r="L1368" s="16" t="s">
        <v>85</v>
      </c>
      <c r="M1368" s="16" t="s">
        <v>984</v>
      </c>
      <c r="N1368" s="16" t="s">
        <v>914</v>
      </c>
      <c r="O1368" s="16" t="s">
        <v>985</v>
      </c>
      <c r="P1368" s="16" t="s">
        <v>914</v>
      </c>
      <c r="Q1368" s="16" t="s">
        <v>985</v>
      </c>
      <c r="R1368" s="16" t="s">
        <v>915</v>
      </c>
      <c r="S1368" s="16" t="s">
        <v>915</v>
      </c>
      <c r="T1368" s="16" t="s">
        <v>986</v>
      </c>
      <c r="U1368" s="16" t="s">
        <v>987</v>
      </c>
      <c r="V1368" s="16" t="s">
        <v>916</v>
      </c>
      <c r="W1368" s="16" t="s">
        <v>987</v>
      </c>
      <c r="X1368" s="16" t="s">
        <v>934</v>
      </c>
      <c r="Y1368" s="16" t="s">
        <v>934</v>
      </c>
      <c r="Z1368" s="16" t="s">
        <v>935</v>
      </c>
      <c r="DA1368" s="405" t="s">
        <v>5</v>
      </c>
      <c r="DB1368" s="405" t="s">
        <v>363</v>
      </c>
      <c r="DC1368" s="406" t="s">
        <v>85</v>
      </c>
      <c r="DD1368" s="405" t="s">
        <v>917</v>
      </c>
      <c r="DE1368" s="405" t="s">
        <v>5</v>
      </c>
      <c r="DF1368" s="406" t="s">
        <v>85</v>
      </c>
      <c r="DG1368" s="407">
        <v>45868</v>
      </c>
      <c r="DH1368" s="405" t="s">
        <v>1437</v>
      </c>
      <c r="DI1368" s="406">
        <v>465455</v>
      </c>
      <c r="DJ1368" s="408">
        <v>5</v>
      </c>
      <c r="DK1368" s="405">
        <v>1</v>
      </c>
      <c r="DL1368" s="82">
        <v>340.55</v>
      </c>
      <c r="DM1368" s="409">
        <v>1.70275</v>
      </c>
      <c r="DN1368" s="82" t="s">
        <v>85</v>
      </c>
      <c r="DO1368" s="82" t="s">
        <v>85</v>
      </c>
      <c r="DP1368" s="410" t="s">
        <v>85</v>
      </c>
    </row>
    <row r="1369" spans="1:120" x14ac:dyDescent="0.25">
      <c r="A1369" s="16" t="s">
        <v>1441</v>
      </c>
      <c r="B1369" s="16" t="s">
        <v>1442</v>
      </c>
      <c r="C1369" s="16" t="s">
        <v>1443</v>
      </c>
      <c r="D1369" s="16" t="s">
        <v>1012</v>
      </c>
      <c r="E1369" s="16" t="s">
        <v>1444</v>
      </c>
      <c r="F1369" s="16" t="s">
        <v>1445</v>
      </c>
      <c r="G1369" s="16" t="s">
        <v>1446</v>
      </c>
      <c r="H1369" s="16" t="s">
        <v>1447</v>
      </c>
      <c r="I1369" s="16" t="s">
        <v>1448</v>
      </c>
      <c r="J1369" s="16" t="s">
        <v>1036</v>
      </c>
      <c r="K1369" s="16" t="s">
        <v>1449</v>
      </c>
      <c r="L1369" s="16" t="s">
        <v>85</v>
      </c>
      <c r="M1369" s="16" t="s">
        <v>1216</v>
      </c>
      <c r="N1369" s="16" t="s">
        <v>914</v>
      </c>
      <c r="O1369" s="16" t="s">
        <v>946</v>
      </c>
      <c r="P1369" s="16" t="s">
        <v>914</v>
      </c>
      <c r="Q1369" s="16" t="s">
        <v>946</v>
      </c>
      <c r="R1369" s="16" t="s">
        <v>915</v>
      </c>
      <c r="S1369" s="16" t="s">
        <v>915</v>
      </c>
      <c r="T1369" s="16" t="s">
        <v>1216</v>
      </c>
      <c r="U1369" s="16" t="s">
        <v>1217</v>
      </c>
      <c r="V1369" s="16" t="s">
        <v>916</v>
      </c>
      <c r="W1369" s="16" t="s">
        <v>1217</v>
      </c>
      <c r="X1369" s="16" t="s">
        <v>934</v>
      </c>
      <c r="Y1369" s="16" t="s">
        <v>934</v>
      </c>
      <c r="Z1369" s="16" t="s">
        <v>935</v>
      </c>
      <c r="DA1369" s="405" t="s">
        <v>5</v>
      </c>
      <c r="DB1369" s="405" t="s">
        <v>363</v>
      </c>
      <c r="DC1369" s="406" t="s">
        <v>85</v>
      </c>
      <c r="DD1369" s="405" t="s">
        <v>917</v>
      </c>
      <c r="DE1369" s="405" t="s">
        <v>5</v>
      </c>
      <c r="DF1369" s="406" t="s">
        <v>85</v>
      </c>
      <c r="DG1369" s="407">
        <v>45868</v>
      </c>
      <c r="DH1369" s="405" t="s">
        <v>1444</v>
      </c>
      <c r="DI1369" s="406">
        <v>465455</v>
      </c>
      <c r="DJ1369" s="408">
        <v>5</v>
      </c>
      <c r="DK1369" s="405">
        <v>1</v>
      </c>
      <c r="DL1369" s="82">
        <v>319.22000000000003</v>
      </c>
      <c r="DM1369" s="409">
        <v>1.5961000000000001</v>
      </c>
      <c r="DN1369" s="82" t="s">
        <v>85</v>
      </c>
      <c r="DO1369" s="82" t="s">
        <v>85</v>
      </c>
      <c r="DP1369" s="410" t="s">
        <v>85</v>
      </c>
    </row>
    <row r="1370" spans="1:120" x14ac:dyDescent="0.25">
      <c r="A1370" s="16" t="s">
        <v>1450</v>
      </c>
      <c r="B1370" s="16" t="s">
        <v>1451</v>
      </c>
      <c r="C1370" s="16" t="s">
        <v>1452</v>
      </c>
      <c r="D1370" s="16" t="s">
        <v>1012</v>
      </c>
      <c r="E1370" s="16" t="s">
        <v>1453</v>
      </c>
      <c r="F1370" s="16" t="s">
        <v>1454</v>
      </c>
      <c r="G1370" s="16" t="s">
        <v>1455</v>
      </c>
      <c r="H1370" s="16" t="s">
        <v>1454</v>
      </c>
      <c r="I1370" s="16" t="s">
        <v>1456</v>
      </c>
      <c r="J1370" s="16" t="s">
        <v>928</v>
      </c>
      <c r="K1370" s="16" t="s">
        <v>1457</v>
      </c>
      <c r="L1370" s="16" t="s">
        <v>85</v>
      </c>
      <c r="M1370" s="16" t="s">
        <v>1322</v>
      </c>
      <c r="N1370" s="16" t="s">
        <v>914</v>
      </c>
      <c r="O1370" s="16" t="s">
        <v>1323</v>
      </c>
      <c r="P1370" s="16" t="s">
        <v>914</v>
      </c>
      <c r="Q1370" s="16" t="s">
        <v>1323</v>
      </c>
      <c r="R1370" s="16" t="s">
        <v>915</v>
      </c>
      <c r="S1370" s="16" t="s">
        <v>915</v>
      </c>
      <c r="T1370" s="16" t="s">
        <v>1322</v>
      </c>
      <c r="U1370" s="16" t="s">
        <v>1324</v>
      </c>
      <c r="V1370" s="16" t="s">
        <v>916</v>
      </c>
      <c r="W1370" s="16" t="s">
        <v>1324</v>
      </c>
      <c r="X1370" s="16" t="s">
        <v>934</v>
      </c>
      <c r="Y1370" s="16" t="s">
        <v>934</v>
      </c>
      <c r="Z1370" s="16" t="s">
        <v>935</v>
      </c>
      <c r="DA1370" s="405" t="s">
        <v>5</v>
      </c>
      <c r="DB1370" s="405" t="s">
        <v>363</v>
      </c>
      <c r="DC1370" s="406" t="s">
        <v>85</v>
      </c>
      <c r="DD1370" s="405" t="s">
        <v>917</v>
      </c>
      <c r="DE1370" s="405" t="s">
        <v>5</v>
      </c>
      <c r="DF1370" s="406" t="s">
        <v>85</v>
      </c>
      <c r="DG1370" s="407">
        <v>45868</v>
      </c>
      <c r="DH1370" s="405" t="s">
        <v>1453</v>
      </c>
      <c r="DI1370" s="406">
        <v>465455</v>
      </c>
      <c r="DJ1370" s="408">
        <v>5</v>
      </c>
      <c r="DK1370" s="405">
        <v>1</v>
      </c>
      <c r="DL1370" s="82">
        <v>332.47</v>
      </c>
      <c r="DM1370" s="409">
        <v>1.6623500000000002</v>
      </c>
      <c r="DN1370" s="82" t="s">
        <v>85</v>
      </c>
      <c r="DO1370" s="82" t="s">
        <v>85</v>
      </c>
      <c r="DP1370" s="410" t="s">
        <v>85</v>
      </c>
    </row>
    <row r="1371" spans="1:120" x14ac:dyDescent="0.25">
      <c r="A1371" s="16" t="s">
        <v>1458</v>
      </c>
      <c r="B1371" s="16" t="s">
        <v>1459</v>
      </c>
      <c r="C1371" s="16" t="s">
        <v>1460</v>
      </c>
      <c r="D1371" s="16" t="s">
        <v>1012</v>
      </c>
      <c r="E1371" s="16" t="s">
        <v>1461</v>
      </c>
      <c r="F1371" s="16" t="s">
        <v>1462</v>
      </c>
      <c r="G1371" s="16" t="s">
        <v>1463</v>
      </c>
      <c r="H1371" s="16" t="s">
        <v>1464</v>
      </c>
      <c r="I1371" s="16" t="s">
        <v>1465</v>
      </c>
      <c r="J1371" s="16" t="s">
        <v>943</v>
      </c>
      <c r="K1371" s="16" t="s">
        <v>1466</v>
      </c>
      <c r="L1371" s="16" t="s">
        <v>85</v>
      </c>
      <c r="M1371" s="16" t="s">
        <v>984</v>
      </c>
      <c r="N1371" s="16" t="s">
        <v>914</v>
      </c>
      <c r="O1371" s="16" t="s">
        <v>985</v>
      </c>
      <c r="P1371" s="16" t="s">
        <v>914</v>
      </c>
      <c r="Q1371" s="16" t="s">
        <v>985</v>
      </c>
      <c r="R1371" s="16" t="s">
        <v>915</v>
      </c>
      <c r="S1371" s="16" t="s">
        <v>915</v>
      </c>
      <c r="T1371" s="16" t="s">
        <v>986</v>
      </c>
      <c r="U1371" s="16" t="s">
        <v>987</v>
      </c>
      <c r="V1371" s="16" t="s">
        <v>916</v>
      </c>
      <c r="W1371" s="16" t="s">
        <v>987</v>
      </c>
      <c r="X1371" s="16" t="s">
        <v>934</v>
      </c>
      <c r="Y1371" s="16" t="s">
        <v>934</v>
      </c>
      <c r="Z1371" s="16" t="s">
        <v>935</v>
      </c>
      <c r="DA1371" s="405" t="s">
        <v>5</v>
      </c>
      <c r="DB1371" s="405" t="s">
        <v>363</v>
      </c>
      <c r="DC1371" s="406" t="s">
        <v>85</v>
      </c>
      <c r="DD1371" s="405" t="s">
        <v>917</v>
      </c>
      <c r="DE1371" s="405" t="s">
        <v>5</v>
      </c>
      <c r="DF1371" s="406" t="s">
        <v>85</v>
      </c>
      <c r="DG1371" s="407">
        <v>45868</v>
      </c>
      <c r="DH1371" s="405" t="s">
        <v>1461</v>
      </c>
      <c r="DI1371" s="406">
        <v>465455</v>
      </c>
      <c r="DJ1371" s="408">
        <v>5</v>
      </c>
      <c r="DK1371" s="405">
        <v>1</v>
      </c>
      <c r="DL1371" s="82">
        <v>340.55</v>
      </c>
      <c r="DM1371" s="409">
        <v>1.70275</v>
      </c>
      <c r="DN1371" s="82" t="s">
        <v>85</v>
      </c>
      <c r="DO1371" s="82" t="s">
        <v>85</v>
      </c>
      <c r="DP1371" s="410" t="s">
        <v>85</v>
      </c>
    </row>
    <row r="1372" spans="1:120" x14ac:dyDescent="0.25">
      <c r="A1372" s="16" t="s">
        <v>1467</v>
      </c>
      <c r="B1372" s="16" t="s">
        <v>1468</v>
      </c>
      <c r="C1372" s="16" t="s">
        <v>1469</v>
      </c>
      <c r="D1372" s="16" t="s">
        <v>1012</v>
      </c>
      <c r="E1372" s="16" t="s">
        <v>1470</v>
      </c>
      <c r="F1372" s="16" t="s">
        <v>1471</v>
      </c>
      <c r="G1372" s="16" t="s">
        <v>1472</v>
      </c>
      <c r="H1372" s="16" t="s">
        <v>1473</v>
      </c>
      <c r="I1372" s="16" t="s">
        <v>1474</v>
      </c>
      <c r="J1372" s="16" t="s">
        <v>928</v>
      </c>
      <c r="K1372" s="16" t="s">
        <v>1475</v>
      </c>
      <c r="L1372" s="16" t="s">
        <v>85</v>
      </c>
      <c r="M1372" s="16" t="s">
        <v>1322</v>
      </c>
      <c r="N1372" s="16" t="s">
        <v>914</v>
      </c>
      <c r="O1372" s="16" t="s">
        <v>1323</v>
      </c>
      <c r="P1372" s="16" t="s">
        <v>914</v>
      </c>
      <c r="Q1372" s="16" t="s">
        <v>1323</v>
      </c>
      <c r="R1372" s="16" t="s">
        <v>915</v>
      </c>
      <c r="S1372" s="16" t="s">
        <v>915</v>
      </c>
      <c r="T1372" s="16" t="s">
        <v>1322</v>
      </c>
      <c r="U1372" s="16" t="s">
        <v>1324</v>
      </c>
      <c r="V1372" s="16" t="s">
        <v>916</v>
      </c>
      <c r="W1372" s="16" t="s">
        <v>1324</v>
      </c>
      <c r="X1372" s="16" t="s">
        <v>934</v>
      </c>
      <c r="Y1372" s="16" t="s">
        <v>934</v>
      </c>
      <c r="Z1372" s="16" t="s">
        <v>935</v>
      </c>
      <c r="DA1372" s="405" t="s">
        <v>5</v>
      </c>
      <c r="DB1372" s="405" t="s">
        <v>363</v>
      </c>
      <c r="DC1372" s="406" t="s">
        <v>85</v>
      </c>
      <c r="DD1372" s="405" t="s">
        <v>917</v>
      </c>
      <c r="DE1372" s="405" t="s">
        <v>5</v>
      </c>
      <c r="DF1372" s="406" t="s">
        <v>85</v>
      </c>
      <c r="DG1372" s="407">
        <v>45868</v>
      </c>
      <c r="DH1372" s="405" t="s">
        <v>1470</v>
      </c>
      <c r="DI1372" s="406">
        <v>465455</v>
      </c>
      <c r="DJ1372" s="408">
        <v>5</v>
      </c>
      <c r="DK1372" s="405">
        <v>1</v>
      </c>
      <c r="DL1372" s="82">
        <v>332.47</v>
      </c>
      <c r="DM1372" s="409">
        <v>1.6623500000000002</v>
      </c>
      <c r="DN1372" s="82" t="s">
        <v>85</v>
      </c>
      <c r="DO1372" s="82" t="s">
        <v>85</v>
      </c>
      <c r="DP1372" s="410" t="s">
        <v>85</v>
      </c>
    </row>
    <row r="1373" spans="1:120" x14ac:dyDescent="0.25">
      <c r="A1373" s="16" t="s">
        <v>1476</v>
      </c>
      <c r="B1373" s="16" t="s">
        <v>1477</v>
      </c>
      <c r="C1373" s="16" t="s">
        <v>1478</v>
      </c>
      <c r="D1373" s="16" t="s">
        <v>1012</v>
      </c>
      <c r="E1373" s="16" t="s">
        <v>1479</v>
      </c>
      <c r="F1373" s="16" t="s">
        <v>1480</v>
      </c>
      <c r="G1373" s="16" t="s">
        <v>1481</v>
      </c>
      <c r="H1373" s="16" t="s">
        <v>1482</v>
      </c>
      <c r="I1373" s="16" t="s">
        <v>1150</v>
      </c>
      <c r="J1373" s="16" t="s">
        <v>943</v>
      </c>
      <c r="K1373" s="16" t="s">
        <v>1151</v>
      </c>
      <c r="L1373" s="16" t="s">
        <v>85</v>
      </c>
      <c r="M1373" s="16" t="s">
        <v>984</v>
      </c>
      <c r="N1373" s="16" t="s">
        <v>914</v>
      </c>
      <c r="O1373" s="16" t="s">
        <v>985</v>
      </c>
      <c r="P1373" s="16" t="s">
        <v>914</v>
      </c>
      <c r="Q1373" s="16" t="s">
        <v>985</v>
      </c>
      <c r="R1373" s="16" t="s">
        <v>915</v>
      </c>
      <c r="S1373" s="16" t="s">
        <v>915</v>
      </c>
      <c r="T1373" s="16" t="s">
        <v>986</v>
      </c>
      <c r="U1373" s="16" t="s">
        <v>987</v>
      </c>
      <c r="V1373" s="16" t="s">
        <v>916</v>
      </c>
      <c r="W1373" s="16" t="s">
        <v>987</v>
      </c>
      <c r="X1373" s="16" t="s">
        <v>934</v>
      </c>
      <c r="Y1373" s="16" t="s">
        <v>934</v>
      </c>
      <c r="Z1373" s="16" t="s">
        <v>935</v>
      </c>
      <c r="DA1373" s="405" t="s">
        <v>5</v>
      </c>
      <c r="DB1373" s="405" t="s">
        <v>363</v>
      </c>
      <c r="DC1373" s="406" t="s">
        <v>85</v>
      </c>
      <c r="DD1373" s="405" t="s">
        <v>917</v>
      </c>
      <c r="DE1373" s="405" t="s">
        <v>5</v>
      </c>
      <c r="DF1373" s="406" t="s">
        <v>85</v>
      </c>
      <c r="DG1373" s="407">
        <v>45868</v>
      </c>
      <c r="DH1373" s="405" t="s">
        <v>1479</v>
      </c>
      <c r="DI1373" s="406">
        <v>465455</v>
      </c>
      <c r="DJ1373" s="408">
        <v>5</v>
      </c>
      <c r="DK1373" s="405">
        <v>1</v>
      </c>
      <c r="DL1373" s="82">
        <v>340.55</v>
      </c>
      <c r="DM1373" s="409">
        <v>1.70275</v>
      </c>
      <c r="DN1373" s="82" t="s">
        <v>85</v>
      </c>
      <c r="DO1373" s="82" t="s">
        <v>85</v>
      </c>
      <c r="DP1373" s="410" t="s">
        <v>85</v>
      </c>
    </row>
    <row r="1374" spans="1:120" x14ac:dyDescent="0.25">
      <c r="A1374" s="16" t="s">
        <v>1483</v>
      </c>
      <c r="B1374" s="16" t="s">
        <v>1484</v>
      </c>
      <c r="C1374" s="16" t="s">
        <v>1485</v>
      </c>
      <c r="D1374" s="16" t="s">
        <v>1012</v>
      </c>
      <c r="E1374" s="16" t="s">
        <v>1486</v>
      </c>
      <c r="F1374" s="16" t="s">
        <v>1480</v>
      </c>
      <c r="G1374" s="16" t="s">
        <v>1487</v>
      </c>
      <c r="H1374" s="16" t="s">
        <v>1480</v>
      </c>
      <c r="I1374" s="16" t="s">
        <v>1150</v>
      </c>
      <c r="J1374" s="16" t="s">
        <v>943</v>
      </c>
      <c r="K1374" s="16" t="s">
        <v>1151</v>
      </c>
      <c r="L1374" s="16" t="s">
        <v>85</v>
      </c>
      <c r="M1374" s="16" t="s">
        <v>984</v>
      </c>
      <c r="N1374" s="16" t="s">
        <v>914</v>
      </c>
      <c r="O1374" s="16" t="s">
        <v>985</v>
      </c>
      <c r="P1374" s="16" t="s">
        <v>914</v>
      </c>
      <c r="Q1374" s="16" t="s">
        <v>985</v>
      </c>
      <c r="R1374" s="16" t="s">
        <v>915</v>
      </c>
      <c r="S1374" s="16" t="s">
        <v>915</v>
      </c>
      <c r="T1374" s="16" t="s">
        <v>986</v>
      </c>
      <c r="U1374" s="16" t="s">
        <v>987</v>
      </c>
      <c r="V1374" s="16" t="s">
        <v>916</v>
      </c>
      <c r="W1374" s="16" t="s">
        <v>987</v>
      </c>
      <c r="X1374" s="16" t="s">
        <v>934</v>
      </c>
      <c r="Y1374" s="16" t="s">
        <v>934</v>
      </c>
      <c r="Z1374" s="16" t="s">
        <v>935</v>
      </c>
      <c r="DA1374" s="405" t="s">
        <v>5</v>
      </c>
      <c r="DB1374" s="405" t="s">
        <v>363</v>
      </c>
      <c r="DC1374" s="406" t="s">
        <v>85</v>
      </c>
      <c r="DD1374" s="405" t="s">
        <v>917</v>
      </c>
      <c r="DE1374" s="405" t="s">
        <v>5</v>
      </c>
      <c r="DF1374" s="406" t="s">
        <v>85</v>
      </c>
      <c r="DG1374" s="407">
        <v>45868</v>
      </c>
      <c r="DH1374" s="405" t="s">
        <v>1486</v>
      </c>
      <c r="DI1374" s="406">
        <v>465455</v>
      </c>
      <c r="DJ1374" s="408">
        <v>5</v>
      </c>
      <c r="DK1374" s="405">
        <v>1</v>
      </c>
      <c r="DL1374" s="82">
        <v>340.55</v>
      </c>
      <c r="DM1374" s="409">
        <v>1.70275</v>
      </c>
      <c r="DN1374" s="82" t="s">
        <v>85</v>
      </c>
      <c r="DO1374" s="82" t="s">
        <v>85</v>
      </c>
      <c r="DP1374" s="410" t="s">
        <v>85</v>
      </c>
    </row>
    <row r="1375" spans="1:120" x14ac:dyDescent="0.25">
      <c r="A1375" s="16" t="s">
        <v>1488</v>
      </c>
      <c r="B1375" s="16" t="s">
        <v>1489</v>
      </c>
      <c r="C1375" s="16" t="s">
        <v>1490</v>
      </c>
      <c r="D1375" s="16" t="s">
        <v>1012</v>
      </c>
      <c r="E1375" s="16" t="s">
        <v>1491</v>
      </c>
      <c r="F1375" s="16" t="s">
        <v>1492</v>
      </c>
      <c r="G1375" s="16" t="s">
        <v>1493</v>
      </c>
      <c r="H1375" s="16" t="s">
        <v>1492</v>
      </c>
      <c r="I1375" s="16" t="s">
        <v>1150</v>
      </c>
      <c r="J1375" s="16" t="s">
        <v>943</v>
      </c>
      <c r="K1375" s="16" t="s">
        <v>1151</v>
      </c>
      <c r="L1375" s="16" t="s">
        <v>85</v>
      </c>
      <c r="M1375" s="16" t="s">
        <v>984</v>
      </c>
      <c r="N1375" s="16" t="s">
        <v>914</v>
      </c>
      <c r="O1375" s="16" t="s">
        <v>985</v>
      </c>
      <c r="P1375" s="16" t="s">
        <v>914</v>
      </c>
      <c r="Q1375" s="16" t="s">
        <v>985</v>
      </c>
      <c r="R1375" s="16" t="s">
        <v>915</v>
      </c>
      <c r="S1375" s="16" t="s">
        <v>915</v>
      </c>
      <c r="T1375" s="16" t="s">
        <v>986</v>
      </c>
      <c r="U1375" s="16" t="s">
        <v>987</v>
      </c>
      <c r="V1375" s="16" t="s">
        <v>916</v>
      </c>
      <c r="W1375" s="16" t="s">
        <v>987</v>
      </c>
      <c r="X1375" s="16" t="s">
        <v>934</v>
      </c>
      <c r="Y1375" s="16" t="s">
        <v>934</v>
      </c>
      <c r="Z1375" s="16" t="s">
        <v>935</v>
      </c>
      <c r="DA1375" s="405" t="s">
        <v>5</v>
      </c>
      <c r="DB1375" s="405" t="s">
        <v>363</v>
      </c>
      <c r="DC1375" s="406" t="s">
        <v>85</v>
      </c>
      <c r="DD1375" s="405" t="s">
        <v>917</v>
      </c>
      <c r="DE1375" s="405" t="s">
        <v>5</v>
      </c>
      <c r="DF1375" s="406" t="s">
        <v>85</v>
      </c>
      <c r="DG1375" s="407">
        <v>45868</v>
      </c>
      <c r="DH1375" s="405" t="s">
        <v>1491</v>
      </c>
      <c r="DI1375" s="406">
        <v>465455</v>
      </c>
      <c r="DJ1375" s="408">
        <v>5</v>
      </c>
      <c r="DK1375" s="405">
        <v>1</v>
      </c>
      <c r="DL1375" s="82">
        <v>340.55</v>
      </c>
      <c r="DM1375" s="409">
        <v>1.70275</v>
      </c>
      <c r="DN1375" s="82" t="s">
        <v>85</v>
      </c>
      <c r="DO1375" s="82" t="s">
        <v>85</v>
      </c>
      <c r="DP1375" s="410" t="s">
        <v>85</v>
      </c>
    </row>
    <row r="1376" spans="1:120" x14ac:dyDescent="0.25">
      <c r="A1376" s="16" t="s">
        <v>1488</v>
      </c>
      <c r="B1376" s="16" t="s">
        <v>1489</v>
      </c>
      <c r="C1376" s="16" t="s">
        <v>1490</v>
      </c>
      <c r="D1376" s="16" t="s">
        <v>1012</v>
      </c>
      <c r="E1376" s="16" t="s">
        <v>1491</v>
      </c>
      <c r="F1376" s="16" t="s">
        <v>1492</v>
      </c>
      <c r="G1376" s="16" t="s">
        <v>1493</v>
      </c>
      <c r="H1376" s="16" t="s">
        <v>1492</v>
      </c>
      <c r="I1376" s="16" t="s">
        <v>1494</v>
      </c>
      <c r="J1376" s="16" t="s">
        <v>943</v>
      </c>
      <c r="K1376" s="16" t="s">
        <v>1495</v>
      </c>
      <c r="L1376" s="16" t="s">
        <v>85</v>
      </c>
      <c r="M1376" s="16" t="s">
        <v>984</v>
      </c>
      <c r="N1376" s="16" t="s">
        <v>914</v>
      </c>
      <c r="O1376" s="16" t="s">
        <v>985</v>
      </c>
      <c r="P1376" s="16" t="s">
        <v>914</v>
      </c>
      <c r="Q1376" s="16" t="s">
        <v>985</v>
      </c>
      <c r="R1376" s="16" t="s">
        <v>915</v>
      </c>
      <c r="S1376" s="16" t="s">
        <v>915</v>
      </c>
      <c r="T1376" s="16" t="s">
        <v>986</v>
      </c>
      <c r="U1376" s="16" t="s">
        <v>987</v>
      </c>
      <c r="V1376" s="16" t="s">
        <v>916</v>
      </c>
      <c r="W1376" s="16" t="s">
        <v>987</v>
      </c>
      <c r="X1376" s="16" t="s">
        <v>934</v>
      </c>
      <c r="Y1376" s="16" t="s">
        <v>934</v>
      </c>
      <c r="Z1376" s="16" t="s">
        <v>935</v>
      </c>
      <c r="DA1376" s="405" t="s">
        <v>5</v>
      </c>
      <c r="DB1376" s="405" t="s">
        <v>363</v>
      </c>
      <c r="DC1376" s="406" t="s">
        <v>85</v>
      </c>
      <c r="DD1376" s="405" t="s">
        <v>917</v>
      </c>
      <c r="DE1376" s="405" t="s">
        <v>5</v>
      </c>
      <c r="DF1376" s="406" t="s">
        <v>85</v>
      </c>
      <c r="DG1376" s="407">
        <v>45868</v>
      </c>
      <c r="DH1376" s="405" t="s">
        <v>1491</v>
      </c>
      <c r="DI1376" s="406">
        <v>465455</v>
      </c>
      <c r="DJ1376" s="408">
        <v>5</v>
      </c>
      <c r="DK1376" s="405">
        <v>1</v>
      </c>
      <c r="DL1376" s="82">
        <v>340.55</v>
      </c>
      <c r="DM1376" s="409">
        <v>1.70275</v>
      </c>
      <c r="DN1376" s="82" t="s">
        <v>85</v>
      </c>
      <c r="DO1376" s="82" t="s">
        <v>85</v>
      </c>
      <c r="DP1376" s="410" t="s">
        <v>85</v>
      </c>
    </row>
    <row r="1377" spans="1:120" x14ac:dyDescent="0.25">
      <c r="A1377" s="16" t="s">
        <v>1496</v>
      </c>
      <c r="B1377" s="16" t="s">
        <v>1497</v>
      </c>
      <c r="C1377" s="16" t="s">
        <v>1498</v>
      </c>
      <c r="D1377" s="16" t="s">
        <v>1012</v>
      </c>
      <c r="E1377" s="16" t="s">
        <v>1499</v>
      </c>
      <c r="F1377" s="16" t="s">
        <v>1500</v>
      </c>
      <c r="G1377" s="16" t="s">
        <v>1501</v>
      </c>
      <c r="H1377" s="16" t="s">
        <v>1500</v>
      </c>
      <c r="I1377" s="16" t="s">
        <v>1090</v>
      </c>
      <c r="J1377" s="16" t="s">
        <v>943</v>
      </c>
      <c r="K1377" s="16" t="s">
        <v>1091</v>
      </c>
      <c r="L1377" s="16" t="s">
        <v>85</v>
      </c>
      <c r="M1377" s="16" t="s">
        <v>984</v>
      </c>
      <c r="N1377" s="16" t="s">
        <v>914</v>
      </c>
      <c r="O1377" s="16" t="s">
        <v>985</v>
      </c>
      <c r="P1377" s="16" t="s">
        <v>914</v>
      </c>
      <c r="Q1377" s="16" t="s">
        <v>985</v>
      </c>
      <c r="R1377" s="16" t="s">
        <v>915</v>
      </c>
      <c r="S1377" s="16" t="s">
        <v>915</v>
      </c>
      <c r="T1377" s="16" t="s">
        <v>986</v>
      </c>
      <c r="U1377" s="16" t="s">
        <v>987</v>
      </c>
      <c r="V1377" s="16" t="s">
        <v>916</v>
      </c>
      <c r="W1377" s="16" t="s">
        <v>987</v>
      </c>
      <c r="X1377" s="16" t="s">
        <v>934</v>
      </c>
      <c r="Y1377" s="16" t="s">
        <v>934</v>
      </c>
      <c r="Z1377" s="16" t="s">
        <v>935</v>
      </c>
      <c r="DA1377" s="405" t="s">
        <v>5</v>
      </c>
      <c r="DB1377" s="405" t="s">
        <v>363</v>
      </c>
      <c r="DC1377" s="406" t="s">
        <v>85</v>
      </c>
      <c r="DD1377" s="405" t="s">
        <v>917</v>
      </c>
      <c r="DE1377" s="405" t="s">
        <v>5</v>
      </c>
      <c r="DF1377" s="406" t="s">
        <v>85</v>
      </c>
      <c r="DG1377" s="407">
        <v>45868</v>
      </c>
      <c r="DH1377" s="405" t="s">
        <v>1499</v>
      </c>
      <c r="DI1377" s="406">
        <v>465455</v>
      </c>
      <c r="DJ1377" s="408">
        <v>5</v>
      </c>
      <c r="DK1377" s="405">
        <v>1</v>
      </c>
      <c r="DL1377" s="82">
        <v>340.55</v>
      </c>
      <c r="DM1377" s="409">
        <v>1.70275</v>
      </c>
      <c r="DN1377" s="82" t="s">
        <v>85</v>
      </c>
      <c r="DO1377" s="82" t="s">
        <v>85</v>
      </c>
      <c r="DP1377" s="410" t="s">
        <v>85</v>
      </c>
    </row>
    <row r="1378" spans="1:120" x14ac:dyDescent="0.25">
      <c r="A1378" s="16" t="s">
        <v>1502</v>
      </c>
      <c r="B1378" s="16" t="s">
        <v>1503</v>
      </c>
      <c r="C1378" s="16" t="s">
        <v>1504</v>
      </c>
      <c r="D1378" s="16" t="s">
        <v>1012</v>
      </c>
      <c r="E1378" s="16" t="s">
        <v>1505</v>
      </c>
      <c r="F1378" s="16" t="s">
        <v>1506</v>
      </c>
      <c r="G1378" s="16" t="s">
        <v>1507</v>
      </c>
      <c r="H1378" s="16" t="s">
        <v>1506</v>
      </c>
      <c r="I1378" s="16" t="s">
        <v>1508</v>
      </c>
      <c r="J1378" s="16" t="s">
        <v>1509</v>
      </c>
      <c r="K1378" s="16" t="s">
        <v>1510</v>
      </c>
      <c r="L1378" s="16" t="s">
        <v>85</v>
      </c>
      <c r="M1378" s="16" t="s">
        <v>1511</v>
      </c>
      <c r="N1378" s="16" t="s">
        <v>914</v>
      </c>
      <c r="O1378" s="16" t="s">
        <v>1512</v>
      </c>
      <c r="P1378" s="16" t="s">
        <v>914</v>
      </c>
      <c r="Q1378" s="16" t="s">
        <v>1512</v>
      </c>
      <c r="R1378" s="16" t="s">
        <v>915</v>
      </c>
      <c r="S1378" s="16" t="s">
        <v>915</v>
      </c>
      <c r="T1378" s="16" t="s">
        <v>1511</v>
      </c>
      <c r="U1378" s="16" t="s">
        <v>1513</v>
      </c>
      <c r="V1378" s="16" t="s">
        <v>916</v>
      </c>
      <c r="W1378" s="16" t="s">
        <v>1513</v>
      </c>
      <c r="X1378" s="16" t="s">
        <v>934</v>
      </c>
      <c r="Y1378" s="16" t="s">
        <v>934</v>
      </c>
      <c r="Z1378" s="16" t="s">
        <v>935</v>
      </c>
      <c r="DA1378" s="405" t="s">
        <v>5</v>
      </c>
      <c r="DB1378" s="405" t="s">
        <v>363</v>
      </c>
      <c r="DC1378" s="406" t="s">
        <v>85</v>
      </c>
      <c r="DD1378" s="405" t="s">
        <v>917</v>
      </c>
      <c r="DE1378" s="405" t="s">
        <v>5</v>
      </c>
      <c r="DF1378" s="406" t="s">
        <v>85</v>
      </c>
      <c r="DG1378" s="407">
        <v>45868</v>
      </c>
      <c r="DH1378" s="405" t="s">
        <v>1505</v>
      </c>
      <c r="DI1378" s="406">
        <v>465455</v>
      </c>
      <c r="DJ1378" s="408">
        <v>5</v>
      </c>
      <c r="DK1378" s="405">
        <v>1</v>
      </c>
      <c r="DL1378" s="82">
        <v>526.82000000000005</v>
      </c>
      <c r="DM1378" s="409">
        <v>2.6341000000000001</v>
      </c>
      <c r="DN1378" s="82" t="s">
        <v>85</v>
      </c>
      <c r="DO1378" s="82" t="s">
        <v>85</v>
      </c>
      <c r="DP1378" s="410" t="s">
        <v>85</v>
      </c>
    </row>
    <row r="1379" spans="1:120" x14ac:dyDescent="0.25">
      <c r="A1379" s="16" t="s">
        <v>1514</v>
      </c>
      <c r="B1379" s="16" t="s">
        <v>1515</v>
      </c>
      <c r="C1379" s="16" t="s">
        <v>1516</v>
      </c>
      <c r="D1379" s="16" t="s">
        <v>1012</v>
      </c>
      <c r="E1379" s="16" t="s">
        <v>1517</v>
      </c>
      <c r="F1379" s="16" t="s">
        <v>1506</v>
      </c>
      <c r="G1379" s="16" t="s">
        <v>1518</v>
      </c>
      <c r="H1379" s="16" t="s">
        <v>1506</v>
      </c>
      <c r="I1379" s="16" t="s">
        <v>1519</v>
      </c>
      <c r="J1379" s="16" t="s">
        <v>1520</v>
      </c>
      <c r="K1379" s="16" t="s">
        <v>1521</v>
      </c>
      <c r="L1379" s="16" t="s">
        <v>85</v>
      </c>
      <c r="M1379" s="16" t="s">
        <v>1522</v>
      </c>
      <c r="N1379" s="16" t="s">
        <v>914</v>
      </c>
      <c r="O1379" s="16" t="s">
        <v>1523</v>
      </c>
      <c r="P1379" s="16" t="s">
        <v>914</v>
      </c>
      <c r="Q1379" s="16" t="s">
        <v>1523</v>
      </c>
      <c r="R1379" s="16" t="s">
        <v>915</v>
      </c>
      <c r="S1379" s="16" t="s">
        <v>915</v>
      </c>
      <c r="T1379" s="16" t="s">
        <v>1524</v>
      </c>
      <c r="U1379" s="16" t="s">
        <v>1525</v>
      </c>
      <c r="V1379" s="16" t="s">
        <v>916</v>
      </c>
      <c r="W1379" s="16" t="s">
        <v>1525</v>
      </c>
      <c r="X1379" s="16" t="s">
        <v>934</v>
      </c>
      <c r="Y1379" s="16" t="s">
        <v>934</v>
      </c>
      <c r="Z1379" s="16" t="s">
        <v>935</v>
      </c>
      <c r="DA1379" s="405" t="s">
        <v>5</v>
      </c>
      <c r="DB1379" s="405" t="s">
        <v>363</v>
      </c>
      <c r="DC1379" s="406" t="s">
        <v>85</v>
      </c>
      <c r="DD1379" s="405" t="s">
        <v>917</v>
      </c>
      <c r="DE1379" s="405" t="s">
        <v>5</v>
      </c>
      <c r="DF1379" s="406" t="s">
        <v>85</v>
      </c>
      <c r="DG1379" s="407">
        <v>45868</v>
      </c>
      <c r="DH1379" s="405" t="s">
        <v>1517</v>
      </c>
      <c r="DI1379" s="406">
        <v>465455</v>
      </c>
      <c r="DJ1379" s="408">
        <v>5</v>
      </c>
      <c r="DK1379" s="405">
        <v>1</v>
      </c>
      <c r="DL1379" s="82">
        <v>186.15</v>
      </c>
      <c r="DM1379" s="409">
        <v>0.93075000000000008</v>
      </c>
      <c r="DN1379" s="82" t="s">
        <v>85</v>
      </c>
      <c r="DO1379" s="82" t="s">
        <v>85</v>
      </c>
      <c r="DP1379" s="410" t="s">
        <v>85</v>
      </c>
    </row>
    <row r="1380" spans="1:120" x14ac:dyDescent="0.25">
      <c r="A1380" s="16" t="s">
        <v>1526</v>
      </c>
      <c r="B1380" s="16" t="s">
        <v>1527</v>
      </c>
      <c r="C1380" s="16" t="s">
        <v>1528</v>
      </c>
      <c r="D1380" s="16" t="s">
        <v>1012</v>
      </c>
      <c r="E1380" s="16" t="s">
        <v>1529</v>
      </c>
      <c r="F1380" s="16" t="s">
        <v>1530</v>
      </c>
      <c r="G1380" s="16" t="s">
        <v>1531</v>
      </c>
      <c r="H1380" s="16" t="s">
        <v>1530</v>
      </c>
      <c r="I1380" s="16" t="s">
        <v>994</v>
      </c>
      <c r="J1380" s="16" t="s">
        <v>995</v>
      </c>
      <c r="K1380" s="16" t="s">
        <v>996</v>
      </c>
      <c r="L1380" s="16" t="s">
        <v>85</v>
      </c>
      <c r="M1380" s="16" t="s">
        <v>1165</v>
      </c>
      <c r="N1380" s="16" t="s">
        <v>914</v>
      </c>
      <c r="O1380" s="16" t="s">
        <v>1166</v>
      </c>
      <c r="P1380" s="16" t="s">
        <v>914</v>
      </c>
      <c r="Q1380" s="16" t="s">
        <v>1166</v>
      </c>
      <c r="R1380" s="16" t="s">
        <v>915</v>
      </c>
      <c r="S1380" s="16" t="s">
        <v>915</v>
      </c>
      <c r="T1380" s="16" t="s">
        <v>1167</v>
      </c>
      <c r="U1380" s="16" t="s">
        <v>1168</v>
      </c>
      <c r="V1380" s="16" t="s">
        <v>916</v>
      </c>
      <c r="W1380" s="16" t="s">
        <v>1168</v>
      </c>
      <c r="X1380" s="16" t="s">
        <v>934</v>
      </c>
      <c r="Y1380" s="16" t="s">
        <v>934</v>
      </c>
      <c r="Z1380" s="16" t="s">
        <v>935</v>
      </c>
      <c r="DA1380" s="405" t="s">
        <v>5</v>
      </c>
      <c r="DB1380" s="405" t="s">
        <v>363</v>
      </c>
      <c r="DC1380" s="406" t="s">
        <v>85</v>
      </c>
      <c r="DD1380" s="405" t="s">
        <v>917</v>
      </c>
      <c r="DE1380" s="405" t="s">
        <v>5</v>
      </c>
      <c r="DF1380" s="406" t="s">
        <v>85</v>
      </c>
      <c r="DG1380" s="407">
        <v>45868</v>
      </c>
      <c r="DH1380" s="405" t="s">
        <v>1529</v>
      </c>
      <c r="DI1380" s="406">
        <v>465455</v>
      </c>
      <c r="DJ1380" s="408">
        <v>5</v>
      </c>
      <c r="DK1380" s="405">
        <v>1</v>
      </c>
      <c r="DL1380" s="82">
        <v>468.28</v>
      </c>
      <c r="DM1380" s="409">
        <v>2.3413999999999997</v>
      </c>
      <c r="DN1380" s="82" t="s">
        <v>85</v>
      </c>
      <c r="DO1380" s="82" t="s">
        <v>85</v>
      </c>
      <c r="DP1380" s="410" t="s">
        <v>85</v>
      </c>
    </row>
    <row r="1381" spans="1:120" x14ac:dyDescent="0.25">
      <c r="A1381" s="16" t="s">
        <v>1532</v>
      </c>
      <c r="B1381" s="16" t="s">
        <v>1533</v>
      </c>
      <c r="C1381" s="16" t="s">
        <v>1534</v>
      </c>
      <c r="D1381" s="16" t="s">
        <v>1012</v>
      </c>
      <c r="E1381" s="16" t="s">
        <v>1535</v>
      </c>
      <c r="F1381" s="16" t="s">
        <v>1536</v>
      </c>
      <c r="G1381" s="16" t="s">
        <v>1537</v>
      </c>
      <c r="H1381" s="16" t="s">
        <v>1538</v>
      </c>
      <c r="I1381" s="16" t="s">
        <v>1248</v>
      </c>
      <c r="J1381" s="16" t="s">
        <v>995</v>
      </c>
      <c r="K1381" s="16" t="s">
        <v>1249</v>
      </c>
      <c r="L1381" s="16" t="s">
        <v>85</v>
      </c>
      <c r="M1381" s="16" t="s">
        <v>1165</v>
      </c>
      <c r="N1381" s="16" t="s">
        <v>914</v>
      </c>
      <c r="O1381" s="16" t="s">
        <v>1166</v>
      </c>
      <c r="P1381" s="16" t="s">
        <v>914</v>
      </c>
      <c r="Q1381" s="16" t="s">
        <v>1166</v>
      </c>
      <c r="R1381" s="16" t="s">
        <v>915</v>
      </c>
      <c r="S1381" s="16" t="s">
        <v>915</v>
      </c>
      <c r="T1381" s="16" t="s">
        <v>1167</v>
      </c>
      <c r="U1381" s="16" t="s">
        <v>1168</v>
      </c>
      <c r="V1381" s="16" t="s">
        <v>916</v>
      </c>
      <c r="W1381" s="16" t="s">
        <v>1168</v>
      </c>
      <c r="X1381" s="16" t="s">
        <v>934</v>
      </c>
      <c r="Y1381" s="16" t="s">
        <v>934</v>
      </c>
      <c r="Z1381" s="16" t="s">
        <v>935</v>
      </c>
      <c r="DA1381" s="405" t="s">
        <v>5</v>
      </c>
      <c r="DB1381" s="405" t="s">
        <v>363</v>
      </c>
      <c r="DC1381" s="406" t="s">
        <v>85</v>
      </c>
      <c r="DD1381" s="405" t="s">
        <v>917</v>
      </c>
      <c r="DE1381" s="405" t="s">
        <v>5</v>
      </c>
      <c r="DF1381" s="406" t="s">
        <v>85</v>
      </c>
      <c r="DG1381" s="407">
        <v>45868</v>
      </c>
      <c r="DH1381" s="405" t="s">
        <v>1535</v>
      </c>
      <c r="DI1381" s="406">
        <v>465455</v>
      </c>
      <c r="DJ1381" s="408">
        <v>5</v>
      </c>
      <c r="DK1381" s="405">
        <v>1</v>
      </c>
      <c r="DL1381" s="82">
        <v>468.28</v>
      </c>
      <c r="DM1381" s="409">
        <v>2.3413999999999997</v>
      </c>
      <c r="DN1381" s="82" t="s">
        <v>85</v>
      </c>
      <c r="DO1381" s="82" t="s">
        <v>85</v>
      </c>
      <c r="DP1381" s="410" t="s">
        <v>85</v>
      </c>
    </row>
    <row r="1382" spans="1:120" x14ac:dyDescent="0.25">
      <c r="A1382" s="16" t="s">
        <v>920</v>
      </c>
      <c r="B1382" s="16" t="s">
        <v>921</v>
      </c>
      <c r="C1382" s="16" t="s">
        <v>922</v>
      </c>
      <c r="D1382" s="16" t="s">
        <v>923</v>
      </c>
      <c r="E1382" s="16" t="s">
        <v>924</v>
      </c>
      <c r="F1382" s="16" t="s">
        <v>925</v>
      </c>
      <c r="G1382" s="16" t="s">
        <v>926</v>
      </c>
      <c r="H1382" s="16" t="s">
        <v>925</v>
      </c>
      <c r="I1382" s="16" t="s">
        <v>927</v>
      </c>
      <c r="J1382" s="16" t="s">
        <v>928</v>
      </c>
      <c r="K1382" s="16" t="s">
        <v>929</v>
      </c>
      <c r="L1382" s="16" t="s">
        <v>85</v>
      </c>
      <c r="M1382" s="16" t="s">
        <v>930</v>
      </c>
      <c r="N1382" s="16" t="s">
        <v>914</v>
      </c>
      <c r="O1382" s="16" t="s">
        <v>931</v>
      </c>
      <c r="P1382" s="16" t="s">
        <v>914</v>
      </c>
      <c r="Q1382" s="16" t="s">
        <v>931</v>
      </c>
      <c r="R1382" s="16" t="s">
        <v>915</v>
      </c>
      <c r="S1382" s="16" t="s">
        <v>915</v>
      </c>
      <c r="T1382" s="16" t="s">
        <v>932</v>
      </c>
      <c r="U1382" s="16" t="s">
        <v>933</v>
      </c>
      <c r="V1382" s="16" t="s">
        <v>916</v>
      </c>
      <c r="W1382" s="16" t="s">
        <v>933</v>
      </c>
      <c r="X1382" s="16" t="s">
        <v>934</v>
      </c>
      <c r="Y1382" s="16" t="s">
        <v>934</v>
      </c>
      <c r="Z1382" s="16" t="s">
        <v>935</v>
      </c>
      <c r="DA1382" s="405" t="s">
        <v>5</v>
      </c>
      <c r="DB1382" s="405" t="s">
        <v>363</v>
      </c>
      <c r="DC1382" s="406" t="s">
        <v>85</v>
      </c>
      <c r="DD1382" s="405" t="s">
        <v>917</v>
      </c>
      <c r="DE1382" s="405" t="s">
        <v>5</v>
      </c>
      <c r="DF1382" s="406" t="s">
        <v>85</v>
      </c>
      <c r="DG1382" s="407">
        <v>45869</v>
      </c>
      <c r="DH1382" s="405" t="s">
        <v>924</v>
      </c>
      <c r="DI1382" s="406">
        <v>465455</v>
      </c>
      <c r="DJ1382" s="408">
        <v>5</v>
      </c>
      <c r="DK1382" s="405">
        <v>1</v>
      </c>
      <c r="DL1382" s="82">
        <v>325.83</v>
      </c>
      <c r="DM1382" s="409">
        <v>1.6291499999999999</v>
      </c>
      <c r="DN1382" s="82" t="s">
        <v>85</v>
      </c>
      <c r="DO1382" s="82" t="s">
        <v>85</v>
      </c>
      <c r="DP1382" s="410" t="s">
        <v>85</v>
      </c>
    </row>
    <row r="1383" spans="1:120" x14ac:dyDescent="0.25">
      <c r="A1383" s="16" t="s">
        <v>936</v>
      </c>
      <c r="B1383" s="16" t="s">
        <v>937</v>
      </c>
      <c r="C1383" s="16" t="s">
        <v>938</v>
      </c>
      <c r="D1383" s="16" t="s">
        <v>923</v>
      </c>
      <c r="E1383" s="16" t="s">
        <v>939</v>
      </c>
      <c r="F1383" s="16" t="s">
        <v>940</v>
      </c>
      <c r="G1383" s="16" t="s">
        <v>941</v>
      </c>
      <c r="H1383" s="16" t="s">
        <v>940</v>
      </c>
      <c r="I1383" s="16" t="s">
        <v>942</v>
      </c>
      <c r="J1383" s="16" t="s">
        <v>943</v>
      </c>
      <c r="K1383" s="16" t="s">
        <v>944</v>
      </c>
      <c r="L1383" s="16" t="s">
        <v>85</v>
      </c>
      <c r="M1383" s="16" t="s">
        <v>945</v>
      </c>
      <c r="N1383" s="16" t="s">
        <v>914</v>
      </c>
      <c r="O1383" s="16" t="s">
        <v>946</v>
      </c>
      <c r="P1383" s="16" t="s">
        <v>914</v>
      </c>
      <c r="Q1383" s="16" t="s">
        <v>946</v>
      </c>
      <c r="R1383" s="16" t="s">
        <v>915</v>
      </c>
      <c r="S1383" s="16" t="s">
        <v>915</v>
      </c>
      <c r="T1383" s="16" t="s">
        <v>945</v>
      </c>
      <c r="U1383" s="16" t="s">
        <v>947</v>
      </c>
      <c r="V1383" s="16" t="s">
        <v>916</v>
      </c>
      <c r="W1383" s="16" t="s">
        <v>947</v>
      </c>
      <c r="X1383" s="16" t="s">
        <v>934</v>
      </c>
      <c r="Y1383" s="16" t="s">
        <v>934</v>
      </c>
      <c r="Z1383" s="16" t="s">
        <v>935</v>
      </c>
      <c r="DA1383" s="405" t="s">
        <v>5</v>
      </c>
      <c r="DB1383" s="405" t="s">
        <v>363</v>
      </c>
      <c r="DC1383" s="406" t="s">
        <v>85</v>
      </c>
      <c r="DD1383" s="405" t="s">
        <v>917</v>
      </c>
      <c r="DE1383" s="405" t="s">
        <v>5</v>
      </c>
      <c r="DF1383" s="406" t="s">
        <v>85</v>
      </c>
      <c r="DG1383" s="407">
        <v>45869</v>
      </c>
      <c r="DH1383" s="405" t="s">
        <v>939</v>
      </c>
      <c r="DI1383" s="406">
        <v>465455</v>
      </c>
      <c r="DJ1383" s="408">
        <v>5</v>
      </c>
      <c r="DK1383" s="405">
        <v>1</v>
      </c>
      <c r="DL1383" s="82">
        <v>319.27</v>
      </c>
      <c r="DM1383" s="409">
        <v>1.5963499999999999</v>
      </c>
      <c r="DN1383" s="82" t="s">
        <v>85</v>
      </c>
      <c r="DO1383" s="82" t="s">
        <v>85</v>
      </c>
      <c r="DP1383" s="410" t="s">
        <v>85</v>
      </c>
    </row>
    <row r="1384" spans="1:120" x14ac:dyDescent="0.25">
      <c r="A1384" s="16" t="s">
        <v>948</v>
      </c>
      <c r="B1384" s="16" t="s">
        <v>949</v>
      </c>
      <c r="C1384" s="16" t="s">
        <v>950</v>
      </c>
      <c r="D1384" s="16" t="s">
        <v>923</v>
      </c>
      <c r="E1384" s="16" t="s">
        <v>951</v>
      </c>
      <c r="F1384" s="16" t="s">
        <v>952</v>
      </c>
      <c r="G1384" s="16" t="s">
        <v>953</v>
      </c>
      <c r="H1384" s="16" t="s">
        <v>954</v>
      </c>
      <c r="I1384" s="16" t="s">
        <v>955</v>
      </c>
      <c r="J1384" s="16" t="s">
        <v>956</v>
      </c>
      <c r="K1384" s="16" t="s">
        <v>957</v>
      </c>
      <c r="L1384" s="16" t="s">
        <v>85</v>
      </c>
      <c r="M1384" s="16" t="s">
        <v>958</v>
      </c>
      <c r="N1384" s="16" t="s">
        <v>914</v>
      </c>
      <c r="O1384" s="16" t="s">
        <v>959</v>
      </c>
      <c r="P1384" s="16" t="s">
        <v>914</v>
      </c>
      <c r="Q1384" s="16" t="s">
        <v>959</v>
      </c>
      <c r="R1384" s="16" t="s">
        <v>915</v>
      </c>
      <c r="S1384" s="16" t="s">
        <v>915</v>
      </c>
      <c r="T1384" s="16" t="s">
        <v>960</v>
      </c>
      <c r="U1384" s="16" t="s">
        <v>961</v>
      </c>
      <c r="V1384" s="16" t="s">
        <v>916</v>
      </c>
      <c r="W1384" s="16" t="s">
        <v>961</v>
      </c>
      <c r="X1384" s="16" t="s">
        <v>934</v>
      </c>
      <c r="Y1384" s="16" t="s">
        <v>934</v>
      </c>
      <c r="Z1384" s="16" t="s">
        <v>935</v>
      </c>
      <c r="DA1384" s="405" t="s">
        <v>5</v>
      </c>
      <c r="DB1384" s="405" t="s">
        <v>363</v>
      </c>
      <c r="DC1384" s="406" t="s">
        <v>85</v>
      </c>
      <c r="DD1384" s="405" t="s">
        <v>917</v>
      </c>
      <c r="DE1384" s="405" t="s">
        <v>5</v>
      </c>
      <c r="DF1384" s="406" t="s">
        <v>85</v>
      </c>
      <c r="DG1384" s="407">
        <v>45869</v>
      </c>
      <c r="DH1384" s="405" t="s">
        <v>951</v>
      </c>
      <c r="DI1384" s="406">
        <v>465455</v>
      </c>
      <c r="DJ1384" s="408">
        <v>5</v>
      </c>
      <c r="DK1384" s="405">
        <v>1</v>
      </c>
      <c r="DL1384" s="82">
        <v>260.61</v>
      </c>
      <c r="DM1384" s="409">
        <v>1.30305</v>
      </c>
      <c r="DN1384" s="82" t="s">
        <v>85</v>
      </c>
      <c r="DO1384" s="82" t="s">
        <v>85</v>
      </c>
      <c r="DP1384" s="410" t="s">
        <v>85</v>
      </c>
    </row>
    <row r="1385" spans="1:120" x14ac:dyDescent="0.25">
      <c r="A1385" s="16" t="s">
        <v>962</v>
      </c>
      <c r="B1385" s="16" t="s">
        <v>963</v>
      </c>
      <c r="C1385" s="16" t="s">
        <v>964</v>
      </c>
      <c r="D1385" s="16" t="s">
        <v>923</v>
      </c>
      <c r="E1385" s="16" t="s">
        <v>965</v>
      </c>
      <c r="F1385" s="16" t="s">
        <v>966</v>
      </c>
      <c r="G1385" s="16" t="s">
        <v>967</v>
      </c>
      <c r="H1385" s="16" t="s">
        <v>966</v>
      </c>
      <c r="I1385" s="16" t="s">
        <v>968</v>
      </c>
      <c r="J1385" s="16" t="s">
        <v>943</v>
      </c>
      <c r="K1385" s="16" t="s">
        <v>969</v>
      </c>
      <c r="L1385" s="16" t="s">
        <v>85</v>
      </c>
      <c r="M1385" s="16" t="s">
        <v>945</v>
      </c>
      <c r="N1385" s="16" t="s">
        <v>914</v>
      </c>
      <c r="O1385" s="16" t="s">
        <v>946</v>
      </c>
      <c r="P1385" s="16" t="s">
        <v>914</v>
      </c>
      <c r="Q1385" s="16" t="s">
        <v>946</v>
      </c>
      <c r="R1385" s="16" t="s">
        <v>915</v>
      </c>
      <c r="S1385" s="16" t="s">
        <v>915</v>
      </c>
      <c r="T1385" s="16" t="s">
        <v>945</v>
      </c>
      <c r="U1385" s="16" t="s">
        <v>947</v>
      </c>
      <c r="V1385" s="16" t="s">
        <v>916</v>
      </c>
      <c r="W1385" s="16" t="s">
        <v>947</v>
      </c>
      <c r="X1385" s="16" t="s">
        <v>934</v>
      </c>
      <c r="Y1385" s="16" t="s">
        <v>934</v>
      </c>
      <c r="Z1385" s="16" t="s">
        <v>935</v>
      </c>
      <c r="DA1385" s="405" t="s">
        <v>5</v>
      </c>
      <c r="DB1385" s="405" t="s">
        <v>363</v>
      </c>
      <c r="DC1385" s="406" t="s">
        <v>85</v>
      </c>
      <c r="DD1385" s="405" t="s">
        <v>917</v>
      </c>
      <c r="DE1385" s="405" t="s">
        <v>5</v>
      </c>
      <c r="DF1385" s="406" t="s">
        <v>85</v>
      </c>
      <c r="DG1385" s="407">
        <v>45869</v>
      </c>
      <c r="DH1385" s="405" t="s">
        <v>965</v>
      </c>
      <c r="DI1385" s="406">
        <v>465455</v>
      </c>
      <c r="DJ1385" s="408">
        <v>5</v>
      </c>
      <c r="DK1385" s="405">
        <v>1</v>
      </c>
      <c r="DL1385" s="82">
        <v>319.27</v>
      </c>
      <c r="DM1385" s="409">
        <v>1.5963499999999999</v>
      </c>
      <c r="DN1385" s="82" t="s">
        <v>85</v>
      </c>
      <c r="DO1385" s="82" t="s">
        <v>85</v>
      </c>
      <c r="DP1385" s="410" t="s">
        <v>85</v>
      </c>
    </row>
    <row r="1386" spans="1:120" x14ac:dyDescent="0.25">
      <c r="A1386" s="16" t="s">
        <v>970</v>
      </c>
      <c r="B1386" s="16" t="s">
        <v>971</v>
      </c>
      <c r="C1386" s="16" t="s">
        <v>972</v>
      </c>
      <c r="D1386" s="16" t="s">
        <v>923</v>
      </c>
      <c r="E1386" s="16" t="s">
        <v>973</v>
      </c>
      <c r="F1386" s="16" t="s">
        <v>974</v>
      </c>
      <c r="G1386" s="16" t="s">
        <v>975</v>
      </c>
      <c r="H1386" s="16" t="s">
        <v>974</v>
      </c>
      <c r="I1386" s="16" t="s">
        <v>976</v>
      </c>
      <c r="J1386" s="16" t="s">
        <v>956</v>
      </c>
      <c r="K1386" s="16" t="s">
        <v>977</v>
      </c>
      <c r="L1386" s="16" t="s">
        <v>85</v>
      </c>
      <c r="M1386" s="16" t="s">
        <v>958</v>
      </c>
      <c r="N1386" s="16" t="s">
        <v>914</v>
      </c>
      <c r="O1386" s="16" t="s">
        <v>959</v>
      </c>
      <c r="P1386" s="16" t="s">
        <v>914</v>
      </c>
      <c r="Q1386" s="16" t="s">
        <v>959</v>
      </c>
      <c r="R1386" s="16" t="s">
        <v>915</v>
      </c>
      <c r="S1386" s="16" t="s">
        <v>915</v>
      </c>
      <c r="T1386" s="16" t="s">
        <v>960</v>
      </c>
      <c r="U1386" s="16" t="s">
        <v>961</v>
      </c>
      <c r="V1386" s="16" t="s">
        <v>916</v>
      </c>
      <c r="W1386" s="16" t="s">
        <v>961</v>
      </c>
      <c r="X1386" s="16" t="s">
        <v>934</v>
      </c>
      <c r="Y1386" s="16" t="s">
        <v>934</v>
      </c>
      <c r="Z1386" s="16" t="s">
        <v>935</v>
      </c>
      <c r="DA1386" s="405" t="s">
        <v>5</v>
      </c>
      <c r="DB1386" s="405" t="s">
        <v>363</v>
      </c>
      <c r="DC1386" s="406" t="s">
        <v>85</v>
      </c>
      <c r="DD1386" s="405" t="s">
        <v>917</v>
      </c>
      <c r="DE1386" s="405" t="s">
        <v>5</v>
      </c>
      <c r="DF1386" s="406" t="s">
        <v>85</v>
      </c>
      <c r="DG1386" s="407">
        <v>45869</v>
      </c>
      <c r="DH1386" s="405" t="s">
        <v>973</v>
      </c>
      <c r="DI1386" s="406">
        <v>465455</v>
      </c>
      <c r="DJ1386" s="408">
        <v>5</v>
      </c>
      <c r="DK1386" s="405">
        <v>1</v>
      </c>
      <c r="DL1386" s="82">
        <v>260.61</v>
      </c>
      <c r="DM1386" s="409">
        <v>1.30305</v>
      </c>
      <c r="DN1386" s="82" t="s">
        <v>85</v>
      </c>
      <c r="DO1386" s="82" t="s">
        <v>85</v>
      </c>
      <c r="DP1386" s="410" t="s">
        <v>85</v>
      </c>
    </row>
    <row r="1387" spans="1:120" x14ac:dyDescent="0.25">
      <c r="A1387" s="16" t="s">
        <v>978</v>
      </c>
      <c r="B1387" s="16" t="s">
        <v>979</v>
      </c>
      <c r="C1387" s="16" t="s">
        <v>980</v>
      </c>
      <c r="D1387" s="16" t="s">
        <v>923</v>
      </c>
      <c r="E1387" s="16" t="s">
        <v>981</v>
      </c>
      <c r="F1387" s="16" t="s">
        <v>982</v>
      </c>
      <c r="G1387" s="16" t="s">
        <v>983</v>
      </c>
      <c r="H1387" s="16" t="s">
        <v>982</v>
      </c>
      <c r="I1387" s="16" t="s">
        <v>968</v>
      </c>
      <c r="J1387" s="16" t="s">
        <v>943</v>
      </c>
      <c r="K1387" s="16" t="s">
        <v>969</v>
      </c>
      <c r="L1387" s="16" t="s">
        <v>85</v>
      </c>
      <c r="M1387" s="16" t="s">
        <v>984</v>
      </c>
      <c r="N1387" s="16" t="s">
        <v>914</v>
      </c>
      <c r="O1387" s="16" t="s">
        <v>985</v>
      </c>
      <c r="P1387" s="16" t="s">
        <v>914</v>
      </c>
      <c r="Q1387" s="16" t="s">
        <v>985</v>
      </c>
      <c r="R1387" s="16" t="s">
        <v>915</v>
      </c>
      <c r="S1387" s="16" t="s">
        <v>915</v>
      </c>
      <c r="T1387" s="16" t="s">
        <v>986</v>
      </c>
      <c r="U1387" s="16" t="s">
        <v>987</v>
      </c>
      <c r="V1387" s="16" t="s">
        <v>916</v>
      </c>
      <c r="W1387" s="16" t="s">
        <v>987</v>
      </c>
      <c r="X1387" s="16" t="s">
        <v>934</v>
      </c>
      <c r="Y1387" s="16" t="s">
        <v>934</v>
      </c>
      <c r="Z1387" s="16" t="s">
        <v>935</v>
      </c>
      <c r="DA1387" s="405" t="s">
        <v>5</v>
      </c>
      <c r="DB1387" s="405" t="s">
        <v>363</v>
      </c>
      <c r="DC1387" s="406" t="s">
        <v>85</v>
      </c>
      <c r="DD1387" s="405" t="s">
        <v>917</v>
      </c>
      <c r="DE1387" s="405" t="s">
        <v>5</v>
      </c>
      <c r="DF1387" s="406" t="s">
        <v>85</v>
      </c>
      <c r="DG1387" s="407">
        <v>45869</v>
      </c>
      <c r="DH1387" s="405" t="s">
        <v>981</v>
      </c>
      <c r="DI1387" s="406">
        <v>465455</v>
      </c>
      <c r="DJ1387" s="408">
        <v>5</v>
      </c>
      <c r="DK1387" s="405">
        <v>1</v>
      </c>
      <c r="DL1387" s="82">
        <v>340.55</v>
      </c>
      <c r="DM1387" s="409">
        <v>1.70275</v>
      </c>
      <c r="DN1387" s="82" t="s">
        <v>85</v>
      </c>
      <c r="DO1387" s="82" t="s">
        <v>85</v>
      </c>
      <c r="DP1387" s="410" t="s">
        <v>85</v>
      </c>
    </row>
    <row r="1388" spans="1:120" x14ac:dyDescent="0.25">
      <c r="A1388" s="16" t="s">
        <v>988</v>
      </c>
      <c r="B1388" s="16" t="s">
        <v>989</v>
      </c>
      <c r="C1388" s="16" t="s">
        <v>990</v>
      </c>
      <c r="D1388" s="16" t="s">
        <v>923</v>
      </c>
      <c r="E1388" s="16" t="s">
        <v>991</v>
      </c>
      <c r="F1388" s="16" t="s">
        <v>992</v>
      </c>
      <c r="G1388" s="16" t="s">
        <v>993</v>
      </c>
      <c r="H1388" s="16" t="s">
        <v>992</v>
      </c>
      <c r="I1388" s="16" t="s">
        <v>994</v>
      </c>
      <c r="J1388" s="16" t="s">
        <v>995</v>
      </c>
      <c r="K1388" s="16" t="s">
        <v>996</v>
      </c>
      <c r="L1388" s="16" t="s">
        <v>85</v>
      </c>
      <c r="M1388" s="16" t="s">
        <v>997</v>
      </c>
      <c r="N1388" s="16" t="s">
        <v>914</v>
      </c>
      <c r="O1388" s="16" t="s">
        <v>998</v>
      </c>
      <c r="P1388" s="16" t="s">
        <v>914</v>
      </c>
      <c r="Q1388" s="16" t="s">
        <v>998</v>
      </c>
      <c r="R1388" s="16" t="s">
        <v>915</v>
      </c>
      <c r="S1388" s="16" t="s">
        <v>915</v>
      </c>
      <c r="T1388" s="16" t="s">
        <v>999</v>
      </c>
      <c r="U1388" s="16" t="s">
        <v>1000</v>
      </c>
      <c r="V1388" s="16" t="s">
        <v>916</v>
      </c>
      <c r="W1388" s="16" t="s">
        <v>1000</v>
      </c>
      <c r="X1388" s="16" t="s">
        <v>934</v>
      </c>
      <c r="Y1388" s="16" t="s">
        <v>934</v>
      </c>
      <c r="Z1388" s="16" t="s">
        <v>935</v>
      </c>
      <c r="DA1388" s="405" t="s">
        <v>5</v>
      </c>
      <c r="DB1388" s="405" t="s">
        <v>363</v>
      </c>
      <c r="DC1388" s="406" t="s">
        <v>85</v>
      </c>
      <c r="DD1388" s="405" t="s">
        <v>917</v>
      </c>
      <c r="DE1388" s="405" t="s">
        <v>5</v>
      </c>
      <c r="DF1388" s="406" t="s">
        <v>85</v>
      </c>
      <c r="DG1388" s="407">
        <v>45869</v>
      </c>
      <c r="DH1388" s="405" t="s">
        <v>991</v>
      </c>
      <c r="DI1388" s="406">
        <v>465455</v>
      </c>
      <c r="DJ1388" s="408">
        <v>5</v>
      </c>
      <c r="DK1388" s="405">
        <v>1</v>
      </c>
      <c r="DL1388" s="82">
        <v>456.57</v>
      </c>
      <c r="DM1388" s="409">
        <v>2.2828499999999998</v>
      </c>
      <c r="DN1388" s="82" t="s">
        <v>85</v>
      </c>
      <c r="DO1388" s="82" t="s">
        <v>85</v>
      </c>
      <c r="DP1388" s="410" t="s">
        <v>85</v>
      </c>
    </row>
    <row r="1389" spans="1:120" x14ac:dyDescent="0.25">
      <c r="A1389" s="16" t="s">
        <v>1001</v>
      </c>
      <c r="B1389" s="16" t="s">
        <v>1002</v>
      </c>
      <c r="C1389" s="16" t="s">
        <v>1003</v>
      </c>
      <c r="D1389" s="16" t="s">
        <v>923</v>
      </c>
      <c r="E1389" s="16" t="s">
        <v>1004</v>
      </c>
      <c r="F1389" s="16" t="s">
        <v>1005</v>
      </c>
      <c r="G1389" s="16" t="s">
        <v>1006</v>
      </c>
      <c r="H1389" s="16" t="s">
        <v>1005</v>
      </c>
      <c r="I1389" s="16" t="s">
        <v>1007</v>
      </c>
      <c r="J1389" s="16" t="s">
        <v>928</v>
      </c>
      <c r="K1389" s="16" t="s">
        <v>1008</v>
      </c>
      <c r="L1389" s="16" t="s">
        <v>85</v>
      </c>
      <c r="M1389" s="16" t="s">
        <v>930</v>
      </c>
      <c r="N1389" s="16" t="s">
        <v>914</v>
      </c>
      <c r="O1389" s="16" t="s">
        <v>931</v>
      </c>
      <c r="P1389" s="16" t="s">
        <v>914</v>
      </c>
      <c r="Q1389" s="16" t="s">
        <v>931</v>
      </c>
      <c r="R1389" s="16" t="s">
        <v>915</v>
      </c>
      <c r="S1389" s="16" t="s">
        <v>915</v>
      </c>
      <c r="T1389" s="16" t="s">
        <v>932</v>
      </c>
      <c r="U1389" s="16" t="s">
        <v>933</v>
      </c>
      <c r="V1389" s="16" t="s">
        <v>916</v>
      </c>
      <c r="W1389" s="16" t="s">
        <v>933</v>
      </c>
      <c r="X1389" s="16" t="s">
        <v>934</v>
      </c>
      <c r="Y1389" s="16" t="s">
        <v>934</v>
      </c>
      <c r="Z1389" s="16" t="s">
        <v>935</v>
      </c>
      <c r="DA1389" s="405" t="s">
        <v>5</v>
      </c>
      <c r="DB1389" s="405" t="s">
        <v>363</v>
      </c>
      <c r="DC1389" s="406" t="s">
        <v>85</v>
      </c>
      <c r="DD1389" s="405" t="s">
        <v>917</v>
      </c>
      <c r="DE1389" s="405" t="s">
        <v>5</v>
      </c>
      <c r="DF1389" s="406" t="s">
        <v>85</v>
      </c>
      <c r="DG1389" s="407">
        <v>45869</v>
      </c>
      <c r="DH1389" s="405" t="s">
        <v>1004</v>
      </c>
      <c r="DI1389" s="406">
        <v>465455</v>
      </c>
      <c r="DJ1389" s="408">
        <v>5</v>
      </c>
      <c r="DK1389" s="405">
        <v>1</v>
      </c>
      <c r="DL1389" s="82">
        <v>325.83</v>
      </c>
      <c r="DM1389" s="409">
        <v>1.6291499999999999</v>
      </c>
      <c r="DN1389" s="82" t="s">
        <v>85</v>
      </c>
      <c r="DO1389" s="82" t="s">
        <v>85</v>
      </c>
      <c r="DP1389" s="410" t="s">
        <v>85</v>
      </c>
    </row>
    <row r="1390" spans="1:120" x14ac:dyDescent="0.25">
      <c r="A1390" s="16" t="s">
        <v>1019</v>
      </c>
      <c r="B1390" s="16" t="s">
        <v>1020</v>
      </c>
      <c r="C1390" s="16" t="s">
        <v>1021</v>
      </c>
      <c r="D1390" s="16" t="s">
        <v>923</v>
      </c>
      <c r="E1390" s="16" t="s">
        <v>1022</v>
      </c>
      <c r="F1390" s="16" t="s">
        <v>1023</v>
      </c>
      <c r="G1390" s="16" t="s">
        <v>1024</v>
      </c>
      <c r="H1390" s="16" t="s">
        <v>1025</v>
      </c>
      <c r="I1390" s="16" t="s">
        <v>1026</v>
      </c>
      <c r="J1390" s="16" t="s">
        <v>943</v>
      </c>
      <c r="K1390" s="16" t="s">
        <v>1027</v>
      </c>
      <c r="L1390" s="16" t="s">
        <v>85</v>
      </c>
      <c r="M1390" s="16" t="s">
        <v>945</v>
      </c>
      <c r="N1390" s="16" t="s">
        <v>914</v>
      </c>
      <c r="O1390" s="16" t="s">
        <v>946</v>
      </c>
      <c r="P1390" s="16" t="s">
        <v>914</v>
      </c>
      <c r="Q1390" s="16" t="s">
        <v>946</v>
      </c>
      <c r="R1390" s="16" t="s">
        <v>915</v>
      </c>
      <c r="S1390" s="16" t="s">
        <v>915</v>
      </c>
      <c r="T1390" s="16" t="s">
        <v>945</v>
      </c>
      <c r="U1390" s="16" t="s">
        <v>947</v>
      </c>
      <c r="V1390" s="16" t="s">
        <v>916</v>
      </c>
      <c r="W1390" s="16" t="s">
        <v>947</v>
      </c>
      <c r="X1390" s="16" t="s">
        <v>934</v>
      </c>
      <c r="Y1390" s="16" t="s">
        <v>934</v>
      </c>
      <c r="Z1390" s="16" t="s">
        <v>935</v>
      </c>
      <c r="DA1390" s="405" t="s">
        <v>5</v>
      </c>
      <c r="DB1390" s="405" t="s">
        <v>363</v>
      </c>
      <c r="DC1390" s="406" t="s">
        <v>85</v>
      </c>
      <c r="DD1390" s="405" t="s">
        <v>917</v>
      </c>
      <c r="DE1390" s="405" t="s">
        <v>5</v>
      </c>
      <c r="DF1390" s="406" t="s">
        <v>85</v>
      </c>
      <c r="DG1390" s="407">
        <v>45869</v>
      </c>
      <c r="DH1390" s="405" t="s">
        <v>1022</v>
      </c>
      <c r="DI1390" s="406">
        <v>465455</v>
      </c>
      <c r="DJ1390" s="408">
        <v>5</v>
      </c>
      <c r="DK1390" s="405">
        <v>1</v>
      </c>
      <c r="DL1390" s="82">
        <v>319.27</v>
      </c>
      <c r="DM1390" s="409">
        <v>1.5963499999999999</v>
      </c>
      <c r="DN1390" s="82" t="s">
        <v>85</v>
      </c>
      <c r="DO1390" s="82" t="s">
        <v>85</v>
      </c>
      <c r="DP1390" s="410" t="s">
        <v>85</v>
      </c>
    </row>
    <row r="1391" spans="1:120" x14ac:dyDescent="0.25">
      <c r="A1391" s="16" t="s">
        <v>1028</v>
      </c>
      <c r="B1391" s="16" t="s">
        <v>1029</v>
      </c>
      <c r="C1391" s="16" t="s">
        <v>1030</v>
      </c>
      <c r="D1391" s="16" t="s">
        <v>923</v>
      </c>
      <c r="E1391" s="16" t="s">
        <v>1031</v>
      </c>
      <c r="F1391" s="16" t="s">
        <v>1032</v>
      </c>
      <c r="G1391" s="16" t="s">
        <v>1033</v>
      </c>
      <c r="H1391" s="16" t="s">
        <v>1034</v>
      </c>
      <c r="I1391" s="16" t="s">
        <v>1035</v>
      </c>
      <c r="J1391" s="16" t="s">
        <v>1036</v>
      </c>
      <c r="K1391" s="16" t="s">
        <v>1037</v>
      </c>
      <c r="L1391" s="16" t="s">
        <v>85</v>
      </c>
      <c r="M1391" s="16" t="s">
        <v>1038</v>
      </c>
      <c r="N1391" s="16" t="s">
        <v>914</v>
      </c>
      <c r="O1391" s="16" t="s">
        <v>1039</v>
      </c>
      <c r="P1391" s="16" t="s">
        <v>914</v>
      </c>
      <c r="Q1391" s="16" t="s">
        <v>1039</v>
      </c>
      <c r="R1391" s="16" t="s">
        <v>915</v>
      </c>
      <c r="S1391" s="16" t="s">
        <v>915</v>
      </c>
      <c r="T1391" s="16" t="s">
        <v>1038</v>
      </c>
      <c r="U1391" s="16" t="s">
        <v>1040</v>
      </c>
      <c r="V1391" s="16" t="s">
        <v>916</v>
      </c>
      <c r="W1391" s="16" t="s">
        <v>1040</v>
      </c>
      <c r="X1391" s="16" t="s">
        <v>934</v>
      </c>
      <c r="Y1391" s="16" t="s">
        <v>934</v>
      </c>
      <c r="Z1391" s="16" t="s">
        <v>935</v>
      </c>
      <c r="DA1391" s="405" t="s">
        <v>5</v>
      </c>
      <c r="DB1391" s="405" t="s">
        <v>363</v>
      </c>
      <c r="DC1391" s="406" t="s">
        <v>85</v>
      </c>
      <c r="DD1391" s="405" t="s">
        <v>917</v>
      </c>
      <c r="DE1391" s="405" t="s">
        <v>5</v>
      </c>
      <c r="DF1391" s="406" t="s">
        <v>85</v>
      </c>
      <c r="DG1391" s="407">
        <v>45869</v>
      </c>
      <c r="DH1391" s="405" t="s">
        <v>1031</v>
      </c>
      <c r="DI1391" s="406">
        <v>465455</v>
      </c>
      <c r="DJ1391" s="408">
        <v>5</v>
      </c>
      <c r="DK1391" s="405">
        <v>1</v>
      </c>
      <c r="DL1391" s="82">
        <v>311.23</v>
      </c>
      <c r="DM1391" s="409">
        <v>1.5561500000000001</v>
      </c>
      <c r="DN1391" s="82" t="s">
        <v>85</v>
      </c>
      <c r="DO1391" s="82" t="s">
        <v>85</v>
      </c>
      <c r="DP1391" s="410" t="s">
        <v>85</v>
      </c>
    </row>
    <row r="1392" spans="1:120" x14ac:dyDescent="0.25">
      <c r="A1392" s="16" t="s">
        <v>1041</v>
      </c>
      <c r="B1392" s="16" t="s">
        <v>1042</v>
      </c>
      <c r="C1392" s="16" t="s">
        <v>1043</v>
      </c>
      <c r="D1392" s="16" t="s">
        <v>923</v>
      </c>
      <c r="E1392" s="16" t="s">
        <v>1044</v>
      </c>
      <c r="F1392" s="16" t="s">
        <v>1045</v>
      </c>
      <c r="G1392" s="16" t="s">
        <v>1046</v>
      </c>
      <c r="H1392" s="16" t="s">
        <v>1047</v>
      </c>
      <c r="I1392" s="16" t="s">
        <v>1048</v>
      </c>
      <c r="J1392" s="16" t="s">
        <v>1036</v>
      </c>
      <c r="K1392" s="16" t="s">
        <v>1049</v>
      </c>
      <c r="L1392" s="16" t="s">
        <v>85</v>
      </c>
      <c r="M1392" s="16" t="s">
        <v>1038</v>
      </c>
      <c r="N1392" s="16" t="s">
        <v>914</v>
      </c>
      <c r="O1392" s="16" t="s">
        <v>1039</v>
      </c>
      <c r="P1392" s="16" t="s">
        <v>914</v>
      </c>
      <c r="Q1392" s="16" t="s">
        <v>1039</v>
      </c>
      <c r="R1392" s="16" t="s">
        <v>915</v>
      </c>
      <c r="S1392" s="16" t="s">
        <v>915</v>
      </c>
      <c r="T1392" s="16" t="s">
        <v>1038</v>
      </c>
      <c r="U1392" s="16" t="s">
        <v>1040</v>
      </c>
      <c r="V1392" s="16" t="s">
        <v>916</v>
      </c>
      <c r="W1392" s="16" t="s">
        <v>1040</v>
      </c>
      <c r="X1392" s="16" t="s">
        <v>934</v>
      </c>
      <c r="Y1392" s="16" t="s">
        <v>934</v>
      </c>
      <c r="Z1392" s="16" t="s">
        <v>935</v>
      </c>
      <c r="DA1392" s="405" t="s">
        <v>5</v>
      </c>
      <c r="DB1392" s="405" t="s">
        <v>363</v>
      </c>
      <c r="DC1392" s="406" t="s">
        <v>85</v>
      </c>
      <c r="DD1392" s="405" t="s">
        <v>917</v>
      </c>
      <c r="DE1392" s="405" t="s">
        <v>5</v>
      </c>
      <c r="DF1392" s="406" t="s">
        <v>85</v>
      </c>
      <c r="DG1392" s="407">
        <v>45869</v>
      </c>
      <c r="DH1392" s="405" t="s">
        <v>1044</v>
      </c>
      <c r="DI1392" s="406">
        <v>465455</v>
      </c>
      <c r="DJ1392" s="408">
        <v>5</v>
      </c>
      <c r="DK1392" s="405">
        <v>1</v>
      </c>
      <c r="DL1392" s="82">
        <v>311.23</v>
      </c>
      <c r="DM1392" s="409">
        <v>1.5561500000000001</v>
      </c>
      <c r="DN1392" s="82" t="s">
        <v>85</v>
      </c>
      <c r="DO1392" s="82" t="s">
        <v>85</v>
      </c>
      <c r="DP1392" s="410" t="s">
        <v>85</v>
      </c>
    </row>
    <row r="1393" spans="1:120" x14ac:dyDescent="0.25">
      <c r="A1393" s="16" t="s">
        <v>1050</v>
      </c>
      <c r="B1393" s="16" t="s">
        <v>1051</v>
      </c>
      <c r="C1393" s="16" t="s">
        <v>1052</v>
      </c>
      <c r="D1393" s="16" t="s">
        <v>923</v>
      </c>
      <c r="E1393" s="16" t="s">
        <v>1053</v>
      </c>
      <c r="F1393" s="16" t="s">
        <v>1054</v>
      </c>
      <c r="G1393" s="16" t="s">
        <v>1055</v>
      </c>
      <c r="H1393" s="16" t="s">
        <v>1056</v>
      </c>
      <c r="I1393" s="16" t="s">
        <v>1057</v>
      </c>
      <c r="J1393" s="16" t="s">
        <v>943</v>
      </c>
      <c r="K1393" s="16" t="s">
        <v>1058</v>
      </c>
      <c r="L1393" s="16" t="s">
        <v>85</v>
      </c>
      <c r="M1393" s="16" t="s">
        <v>945</v>
      </c>
      <c r="N1393" s="16" t="s">
        <v>914</v>
      </c>
      <c r="O1393" s="16" t="s">
        <v>946</v>
      </c>
      <c r="P1393" s="16" t="s">
        <v>914</v>
      </c>
      <c r="Q1393" s="16" t="s">
        <v>946</v>
      </c>
      <c r="R1393" s="16" t="s">
        <v>915</v>
      </c>
      <c r="S1393" s="16" t="s">
        <v>915</v>
      </c>
      <c r="T1393" s="16" t="s">
        <v>945</v>
      </c>
      <c r="U1393" s="16" t="s">
        <v>947</v>
      </c>
      <c r="V1393" s="16" t="s">
        <v>916</v>
      </c>
      <c r="W1393" s="16" t="s">
        <v>947</v>
      </c>
      <c r="X1393" s="16" t="s">
        <v>934</v>
      </c>
      <c r="Y1393" s="16" t="s">
        <v>934</v>
      </c>
      <c r="Z1393" s="16" t="s">
        <v>935</v>
      </c>
      <c r="DA1393" s="405" t="s">
        <v>5</v>
      </c>
      <c r="DB1393" s="405" t="s">
        <v>363</v>
      </c>
      <c r="DC1393" s="406" t="s">
        <v>85</v>
      </c>
      <c r="DD1393" s="405" t="s">
        <v>917</v>
      </c>
      <c r="DE1393" s="405" t="s">
        <v>5</v>
      </c>
      <c r="DF1393" s="406" t="s">
        <v>85</v>
      </c>
      <c r="DG1393" s="407">
        <v>45869</v>
      </c>
      <c r="DH1393" s="405" t="s">
        <v>1053</v>
      </c>
      <c r="DI1393" s="406">
        <v>465455</v>
      </c>
      <c r="DJ1393" s="408">
        <v>5</v>
      </c>
      <c r="DK1393" s="405">
        <v>1</v>
      </c>
      <c r="DL1393" s="82">
        <v>319.27</v>
      </c>
      <c r="DM1393" s="409">
        <v>1.5963499999999999</v>
      </c>
      <c r="DN1393" s="82" t="s">
        <v>85</v>
      </c>
      <c r="DO1393" s="82" t="s">
        <v>85</v>
      </c>
      <c r="DP1393" s="410" t="s">
        <v>85</v>
      </c>
    </row>
    <row r="1394" spans="1:120" x14ac:dyDescent="0.25">
      <c r="A1394" s="16" t="s">
        <v>1059</v>
      </c>
      <c r="B1394" s="16" t="s">
        <v>1060</v>
      </c>
      <c r="C1394" s="16" t="s">
        <v>1061</v>
      </c>
      <c r="D1394" s="16" t="s">
        <v>923</v>
      </c>
      <c r="E1394" s="16" t="s">
        <v>1062</v>
      </c>
      <c r="F1394" s="16" t="s">
        <v>1063</v>
      </c>
      <c r="G1394" s="16" t="s">
        <v>1064</v>
      </c>
      <c r="H1394" s="16" t="s">
        <v>1065</v>
      </c>
      <c r="I1394" s="16" t="s">
        <v>1066</v>
      </c>
      <c r="J1394" s="16" t="s">
        <v>943</v>
      </c>
      <c r="K1394" s="16" t="s">
        <v>1067</v>
      </c>
      <c r="L1394" s="16" t="s">
        <v>85</v>
      </c>
      <c r="M1394" s="16" t="s">
        <v>945</v>
      </c>
      <c r="N1394" s="16" t="s">
        <v>914</v>
      </c>
      <c r="O1394" s="16" t="s">
        <v>946</v>
      </c>
      <c r="P1394" s="16" t="s">
        <v>914</v>
      </c>
      <c r="Q1394" s="16" t="s">
        <v>946</v>
      </c>
      <c r="R1394" s="16" t="s">
        <v>915</v>
      </c>
      <c r="S1394" s="16" t="s">
        <v>915</v>
      </c>
      <c r="T1394" s="16" t="s">
        <v>945</v>
      </c>
      <c r="U1394" s="16" t="s">
        <v>947</v>
      </c>
      <c r="V1394" s="16" t="s">
        <v>916</v>
      </c>
      <c r="W1394" s="16" t="s">
        <v>947</v>
      </c>
      <c r="X1394" s="16" t="s">
        <v>934</v>
      </c>
      <c r="Y1394" s="16" t="s">
        <v>934</v>
      </c>
      <c r="Z1394" s="16" t="s">
        <v>935</v>
      </c>
      <c r="DA1394" s="405" t="s">
        <v>5</v>
      </c>
      <c r="DB1394" s="405" t="s">
        <v>363</v>
      </c>
      <c r="DC1394" s="406" t="s">
        <v>85</v>
      </c>
      <c r="DD1394" s="405" t="s">
        <v>917</v>
      </c>
      <c r="DE1394" s="405" t="s">
        <v>5</v>
      </c>
      <c r="DF1394" s="406" t="s">
        <v>85</v>
      </c>
      <c r="DG1394" s="407">
        <v>45869</v>
      </c>
      <c r="DH1394" s="405" t="s">
        <v>1062</v>
      </c>
      <c r="DI1394" s="406">
        <v>465455</v>
      </c>
      <c r="DJ1394" s="408">
        <v>5</v>
      </c>
      <c r="DK1394" s="405">
        <v>1</v>
      </c>
      <c r="DL1394" s="82">
        <v>319.27</v>
      </c>
      <c r="DM1394" s="409">
        <v>1.5963499999999999</v>
      </c>
      <c r="DN1394" s="82" t="s">
        <v>85</v>
      </c>
      <c r="DO1394" s="82" t="s">
        <v>85</v>
      </c>
      <c r="DP1394" s="410" t="s">
        <v>85</v>
      </c>
    </row>
    <row r="1395" spans="1:120" x14ac:dyDescent="0.25">
      <c r="A1395" s="16" t="s">
        <v>1068</v>
      </c>
      <c r="B1395" s="16" t="s">
        <v>1069</v>
      </c>
      <c r="C1395" s="16" t="s">
        <v>1070</v>
      </c>
      <c r="D1395" s="16" t="s">
        <v>923</v>
      </c>
      <c r="E1395" s="16" t="s">
        <v>1071</v>
      </c>
      <c r="F1395" s="16" t="s">
        <v>1072</v>
      </c>
      <c r="G1395" s="16" t="s">
        <v>1073</v>
      </c>
      <c r="H1395" s="16" t="s">
        <v>1074</v>
      </c>
      <c r="I1395" s="16" t="s">
        <v>1075</v>
      </c>
      <c r="J1395" s="16" t="s">
        <v>1036</v>
      </c>
      <c r="K1395" s="16" t="s">
        <v>1076</v>
      </c>
      <c r="L1395" s="16" t="s">
        <v>85</v>
      </c>
      <c r="M1395" s="16" t="s">
        <v>1038</v>
      </c>
      <c r="N1395" s="16" t="s">
        <v>914</v>
      </c>
      <c r="O1395" s="16" t="s">
        <v>1039</v>
      </c>
      <c r="P1395" s="16" t="s">
        <v>914</v>
      </c>
      <c r="Q1395" s="16" t="s">
        <v>1039</v>
      </c>
      <c r="R1395" s="16" t="s">
        <v>915</v>
      </c>
      <c r="S1395" s="16" t="s">
        <v>915</v>
      </c>
      <c r="T1395" s="16" t="s">
        <v>1038</v>
      </c>
      <c r="U1395" s="16" t="s">
        <v>1040</v>
      </c>
      <c r="V1395" s="16" t="s">
        <v>916</v>
      </c>
      <c r="W1395" s="16" t="s">
        <v>1040</v>
      </c>
      <c r="X1395" s="16" t="s">
        <v>934</v>
      </c>
      <c r="Y1395" s="16" t="s">
        <v>934</v>
      </c>
      <c r="Z1395" s="16" t="s">
        <v>935</v>
      </c>
      <c r="DA1395" s="405" t="s">
        <v>5</v>
      </c>
      <c r="DB1395" s="405" t="s">
        <v>363</v>
      </c>
      <c r="DC1395" s="406" t="s">
        <v>85</v>
      </c>
      <c r="DD1395" s="405" t="s">
        <v>917</v>
      </c>
      <c r="DE1395" s="405" t="s">
        <v>5</v>
      </c>
      <c r="DF1395" s="406" t="s">
        <v>85</v>
      </c>
      <c r="DG1395" s="407">
        <v>45869</v>
      </c>
      <c r="DH1395" s="405" t="s">
        <v>1071</v>
      </c>
      <c r="DI1395" s="406">
        <v>465455</v>
      </c>
      <c r="DJ1395" s="408">
        <v>5</v>
      </c>
      <c r="DK1395" s="405">
        <v>1</v>
      </c>
      <c r="DL1395" s="82">
        <v>311.23</v>
      </c>
      <c r="DM1395" s="409">
        <v>1.5561500000000001</v>
      </c>
      <c r="DN1395" s="82" t="s">
        <v>85</v>
      </c>
      <c r="DO1395" s="82" t="s">
        <v>85</v>
      </c>
      <c r="DP1395" s="410" t="s">
        <v>85</v>
      </c>
    </row>
    <row r="1396" spans="1:120" x14ac:dyDescent="0.25">
      <c r="A1396" s="16" t="s">
        <v>1077</v>
      </c>
      <c r="B1396" s="16" t="s">
        <v>1078</v>
      </c>
      <c r="C1396" s="16" t="s">
        <v>1079</v>
      </c>
      <c r="D1396" s="16" t="s">
        <v>923</v>
      </c>
      <c r="E1396" s="16" t="s">
        <v>1080</v>
      </c>
      <c r="F1396" s="16" t="s">
        <v>1081</v>
      </c>
      <c r="G1396" s="16" t="s">
        <v>1082</v>
      </c>
      <c r="H1396" s="16" t="s">
        <v>1083</v>
      </c>
      <c r="I1396" s="16" t="s">
        <v>1075</v>
      </c>
      <c r="J1396" s="16" t="s">
        <v>1036</v>
      </c>
      <c r="K1396" s="16" t="s">
        <v>1076</v>
      </c>
      <c r="L1396" s="16" t="s">
        <v>85</v>
      </c>
      <c r="M1396" s="16" t="s">
        <v>1038</v>
      </c>
      <c r="N1396" s="16" t="s">
        <v>914</v>
      </c>
      <c r="O1396" s="16" t="s">
        <v>1039</v>
      </c>
      <c r="P1396" s="16" t="s">
        <v>914</v>
      </c>
      <c r="Q1396" s="16" t="s">
        <v>1039</v>
      </c>
      <c r="R1396" s="16" t="s">
        <v>915</v>
      </c>
      <c r="S1396" s="16" t="s">
        <v>915</v>
      </c>
      <c r="T1396" s="16" t="s">
        <v>1038</v>
      </c>
      <c r="U1396" s="16" t="s">
        <v>1040</v>
      </c>
      <c r="V1396" s="16" t="s">
        <v>916</v>
      </c>
      <c r="W1396" s="16" t="s">
        <v>1040</v>
      </c>
      <c r="X1396" s="16" t="s">
        <v>934</v>
      </c>
      <c r="Y1396" s="16" t="s">
        <v>934</v>
      </c>
      <c r="Z1396" s="16" t="s">
        <v>935</v>
      </c>
      <c r="DA1396" s="405" t="s">
        <v>5</v>
      </c>
      <c r="DB1396" s="405" t="s">
        <v>363</v>
      </c>
      <c r="DC1396" s="406" t="s">
        <v>85</v>
      </c>
      <c r="DD1396" s="405" t="s">
        <v>917</v>
      </c>
      <c r="DE1396" s="405" t="s">
        <v>5</v>
      </c>
      <c r="DF1396" s="406" t="s">
        <v>85</v>
      </c>
      <c r="DG1396" s="407">
        <v>45869</v>
      </c>
      <c r="DH1396" s="405" t="s">
        <v>1080</v>
      </c>
      <c r="DI1396" s="406">
        <v>465455</v>
      </c>
      <c r="DJ1396" s="408">
        <v>5</v>
      </c>
      <c r="DK1396" s="405">
        <v>1</v>
      </c>
      <c r="DL1396" s="82">
        <v>311.23</v>
      </c>
      <c r="DM1396" s="409">
        <v>1.5561500000000001</v>
      </c>
      <c r="DN1396" s="82" t="s">
        <v>85</v>
      </c>
      <c r="DO1396" s="82" t="s">
        <v>85</v>
      </c>
      <c r="DP1396" s="410" t="s">
        <v>85</v>
      </c>
    </row>
    <row r="1397" spans="1:120" x14ac:dyDescent="0.25">
      <c r="A1397" s="16" t="s">
        <v>1084</v>
      </c>
      <c r="B1397" s="16" t="s">
        <v>1085</v>
      </c>
      <c r="C1397" s="16" t="s">
        <v>1086</v>
      </c>
      <c r="D1397" s="16" t="s">
        <v>923</v>
      </c>
      <c r="E1397" s="16" t="s">
        <v>1087</v>
      </c>
      <c r="F1397" s="16" t="s">
        <v>1088</v>
      </c>
      <c r="G1397" s="16" t="s">
        <v>1089</v>
      </c>
      <c r="H1397" s="16" t="s">
        <v>1088</v>
      </c>
      <c r="I1397" s="16" t="s">
        <v>1090</v>
      </c>
      <c r="J1397" s="16" t="s">
        <v>943</v>
      </c>
      <c r="K1397" s="16" t="s">
        <v>1091</v>
      </c>
      <c r="L1397" s="16" t="s">
        <v>85</v>
      </c>
      <c r="M1397" s="16" t="s">
        <v>945</v>
      </c>
      <c r="N1397" s="16" t="s">
        <v>914</v>
      </c>
      <c r="O1397" s="16" t="s">
        <v>946</v>
      </c>
      <c r="P1397" s="16" t="s">
        <v>914</v>
      </c>
      <c r="Q1397" s="16" t="s">
        <v>946</v>
      </c>
      <c r="R1397" s="16" t="s">
        <v>915</v>
      </c>
      <c r="S1397" s="16" t="s">
        <v>915</v>
      </c>
      <c r="T1397" s="16" t="s">
        <v>945</v>
      </c>
      <c r="U1397" s="16" t="s">
        <v>947</v>
      </c>
      <c r="V1397" s="16" t="s">
        <v>916</v>
      </c>
      <c r="W1397" s="16" t="s">
        <v>947</v>
      </c>
      <c r="X1397" s="16" t="s">
        <v>934</v>
      </c>
      <c r="Y1397" s="16" t="s">
        <v>934</v>
      </c>
      <c r="Z1397" s="16" t="s">
        <v>935</v>
      </c>
      <c r="DA1397" s="405" t="s">
        <v>5</v>
      </c>
      <c r="DB1397" s="405" t="s">
        <v>363</v>
      </c>
      <c r="DC1397" s="406" t="s">
        <v>85</v>
      </c>
      <c r="DD1397" s="405" t="s">
        <v>917</v>
      </c>
      <c r="DE1397" s="405" t="s">
        <v>5</v>
      </c>
      <c r="DF1397" s="406" t="s">
        <v>85</v>
      </c>
      <c r="DG1397" s="407">
        <v>45869</v>
      </c>
      <c r="DH1397" s="405" t="s">
        <v>1087</v>
      </c>
      <c r="DI1397" s="406">
        <v>465455</v>
      </c>
      <c r="DJ1397" s="408">
        <v>5</v>
      </c>
      <c r="DK1397" s="405">
        <v>1</v>
      </c>
      <c r="DL1397" s="82">
        <v>319.27</v>
      </c>
      <c r="DM1397" s="409">
        <v>1.5963499999999999</v>
      </c>
      <c r="DN1397" s="82" t="s">
        <v>85</v>
      </c>
      <c r="DO1397" s="82" t="s">
        <v>85</v>
      </c>
      <c r="DP1397" s="410" t="s">
        <v>85</v>
      </c>
    </row>
    <row r="1398" spans="1:120" x14ac:dyDescent="0.25">
      <c r="A1398" s="16" t="s">
        <v>1092</v>
      </c>
      <c r="B1398" s="16" t="s">
        <v>1093</v>
      </c>
      <c r="C1398" s="16" t="s">
        <v>1094</v>
      </c>
      <c r="D1398" s="16" t="s">
        <v>923</v>
      </c>
      <c r="E1398" s="16" t="s">
        <v>1095</v>
      </c>
      <c r="F1398" s="16" t="s">
        <v>1096</v>
      </c>
      <c r="G1398" s="16" t="s">
        <v>1097</v>
      </c>
      <c r="H1398" s="16" t="s">
        <v>1098</v>
      </c>
      <c r="I1398" s="16" t="s">
        <v>1099</v>
      </c>
      <c r="J1398" s="16" t="s">
        <v>943</v>
      </c>
      <c r="K1398" s="16" t="s">
        <v>1100</v>
      </c>
      <c r="L1398" s="16" t="s">
        <v>85</v>
      </c>
      <c r="M1398" s="16" t="s">
        <v>945</v>
      </c>
      <c r="N1398" s="16" t="s">
        <v>914</v>
      </c>
      <c r="O1398" s="16" t="s">
        <v>946</v>
      </c>
      <c r="P1398" s="16" t="s">
        <v>914</v>
      </c>
      <c r="Q1398" s="16" t="s">
        <v>946</v>
      </c>
      <c r="R1398" s="16" t="s">
        <v>915</v>
      </c>
      <c r="S1398" s="16" t="s">
        <v>915</v>
      </c>
      <c r="T1398" s="16" t="s">
        <v>945</v>
      </c>
      <c r="U1398" s="16" t="s">
        <v>947</v>
      </c>
      <c r="V1398" s="16" t="s">
        <v>916</v>
      </c>
      <c r="W1398" s="16" t="s">
        <v>947</v>
      </c>
      <c r="X1398" s="16" t="s">
        <v>934</v>
      </c>
      <c r="Y1398" s="16" t="s">
        <v>934</v>
      </c>
      <c r="Z1398" s="16" t="s">
        <v>935</v>
      </c>
      <c r="DA1398" s="405" t="s">
        <v>5</v>
      </c>
      <c r="DB1398" s="405" t="s">
        <v>363</v>
      </c>
      <c r="DC1398" s="406" t="s">
        <v>85</v>
      </c>
      <c r="DD1398" s="405" t="s">
        <v>917</v>
      </c>
      <c r="DE1398" s="405" t="s">
        <v>5</v>
      </c>
      <c r="DF1398" s="406" t="s">
        <v>85</v>
      </c>
      <c r="DG1398" s="407">
        <v>45869</v>
      </c>
      <c r="DH1398" s="405" t="s">
        <v>1095</v>
      </c>
      <c r="DI1398" s="406">
        <v>465455</v>
      </c>
      <c r="DJ1398" s="408">
        <v>5</v>
      </c>
      <c r="DK1398" s="405">
        <v>1</v>
      </c>
      <c r="DL1398" s="82">
        <v>319.27</v>
      </c>
      <c r="DM1398" s="409">
        <v>1.5963499999999999</v>
      </c>
      <c r="DN1398" s="82" t="s">
        <v>85</v>
      </c>
      <c r="DO1398" s="82" t="s">
        <v>85</v>
      </c>
      <c r="DP1398" s="410" t="s">
        <v>85</v>
      </c>
    </row>
    <row r="1399" spans="1:120" x14ac:dyDescent="0.25">
      <c r="A1399" s="16" t="s">
        <v>1101</v>
      </c>
      <c r="B1399" s="16" t="s">
        <v>1102</v>
      </c>
      <c r="C1399" s="16" t="s">
        <v>1103</v>
      </c>
      <c r="D1399" s="16" t="s">
        <v>923</v>
      </c>
      <c r="E1399" s="16" t="s">
        <v>1104</v>
      </c>
      <c r="F1399" s="16" t="s">
        <v>1105</v>
      </c>
      <c r="G1399" s="16" t="s">
        <v>1106</v>
      </c>
      <c r="H1399" s="16" t="s">
        <v>1107</v>
      </c>
      <c r="I1399" s="16" t="s">
        <v>1108</v>
      </c>
      <c r="J1399" s="16" t="s">
        <v>1109</v>
      </c>
      <c r="K1399" s="16" t="s">
        <v>1110</v>
      </c>
      <c r="L1399" s="16" t="s">
        <v>85</v>
      </c>
      <c r="M1399" s="16" t="s">
        <v>1111</v>
      </c>
      <c r="N1399" s="16" t="s">
        <v>914</v>
      </c>
      <c r="O1399" s="16" t="s">
        <v>1112</v>
      </c>
      <c r="P1399" s="16" t="s">
        <v>914</v>
      </c>
      <c r="Q1399" s="16" t="s">
        <v>1112</v>
      </c>
      <c r="R1399" s="16" t="s">
        <v>915</v>
      </c>
      <c r="S1399" s="16" t="s">
        <v>915</v>
      </c>
      <c r="T1399" s="16" t="s">
        <v>1113</v>
      </c>
      <c r="U1399" s="16" t="s">
        <v>1114</v>
      </c>
      <c r="V1399" s="16" t="s">
        <v>916</v>
      </c>
      <c r="W1399" s="16" t="s">
        <v>1114</v>
      </c>
      <c r="X1399" s="16" t="s">
        <v>934</v>
      </c>
      <c r="Y1399" s="16" t="s">
        <v>934</v>
      </c>
      <c r="Z1399" s="16" t="s">
        <v>935</v>
      </c>
      <c r="DA1399" s="405" t="s">
        <v>5</v>
      </c>
      <c r="DB1399" s="405" t="s">
        <v>363</v>
      </c>
      <c r="DC1399" s="406" t="s">
        <v>85</v>
      </c>
      <c r="DD1399" s="405" t="s">
        <v>917</v>
      </c>
      <c r="DE1399" s="405" t="s">
        <v>5</v>
      </c>
      <c r="DF1399" s="406" t="s">
        <v>85</v>
      </c>
      <c r="DG1399" s="407">
        <v>45869</v>
      </c>
      <c r="DH1399" s="405" t="s">
        <v>1104</v>
      </c>
      <c r="DI1399" s="406">
        <v>465455</v>
      </c>
      <c r="DJ1399" s="408">
        <v>5</v>
      </c>
      <c r="DK1399" s="405">
        <v>1</v>
      </c>
      <c r="DL1399" s="82">
        <v>519.73</v>
      </c>
      <c r="DM1399" s="409">
        <v>2.5986500000000001</v>
      </c>
      <c r="DN1399" s="82" t="s">
        <v>85</v>
      </c>
      <c r="DO1399" s="82" t="s">
        <v>85</v>
      </c>
      <c r="DP1399" s="410" t="s">
        <v>85</v>
      </c>
    </row>
    <row r="1400" spans="1:120" x14ac:dyDescent="0.25">
      <c r="A1400" s="16" t="s">
        <v>1115</v>
      </c>
      <c r="B1400" s="16" t="s">
        <v>1116</v>
      </c>
      <c r="C1400" s="16" t="s">
        <v>1117</v>
      </c>
      <c r="D1400" s="16" t="s">
        <v>923</v>
      </c>
      <c r="E1400" s="16" t="s">
        <v>1118</v>
      </c>
      <c r="F1400" s="16" t="s">
        <v>1119</v>
      </c>
      <c r="G1400" s="16" t="s">
        <v>1120</v>
      </c>
      <c r="H1400" s="16" t="s">
        <v>1121</v>
      </c>
      <c r="I1400" s="16" t="s">
        <v>1122</v>
      </c>
      <c r="J1400" s="16" t="s">
        <v>1123</v>
      </c>
      <c r="K1400" s="16" t="s">
        <v>1124</v>
      </c>
      <c r="L1400" s="16" t="s">
        <v>85</v>
      </c>
      <c r="M1400" s="16" t="s">
        <v>1125</v>
      </c>
      <c r="N1400" s="16" t="s">
        <v>914</v>
      </c>
      <c r="O1400" s="16" t="s">
        <v>1126</v>
      </c>
      <c r="P1400" s="16" t="s">
        <v>914</v>
      </c>
      <c r="Q1400" s="16" t="s">
        <v>1126</v>
      </c>
      <c r="R1400" s="16" t="s">
        <v>915</v>
      </c>
      <c r="S1400" s="16" t="s">
        <v>915</v>
      </c>
      <c r="T1400" s="16" t="s">
        <v>1125</v>
      </c>
      <c r="U1400" s="16" t="s">
        <v>1127</v>
      </c>
      <c r="V1400" s="16" t="s">
        <v>916</v>
      </c>
      <c r="W1400" s="16" t="s">
        <v>1127</v>
      </c>
      <c r="X1400" s="16" t="s">
        <v>934</v>
      </c>
      <c r="Y1400" s="16" t="s">
        <v>934</v>
      </c>
      <c r="Z1400" s="16" t="s">
        <v>935</v>
      </c>
      <c r="DA1400" s="405" t="s">
        <v>5</v>
      </c>
      <c r="DB1400" s="405" t="s">
        <v>363</v>
      </c>
      <c r="DC1400" s="406" t="s">
        <v>85</v>
      </c>
      <c r="DD1400" s="405" t="s">
        <v>917</v>
      </c>
      <c r="DE1400" s="405" t="s">
        <v>5</v>
      </c>
      <c r="DF1400" s="406" t="s">
        <v>85</v>
      </c>
      <c r="DG1400" s="407">
        <v>45869</v>
      </c>
      <c r="DH1400" s="405" t="s">
        <v>1118</v>
      </c>
      <c r="DI1400" s="406">
        <v>465455</v>
      </c>
      <c r="DJ1400" s="408">
        <v>5</v>
      </c>
      <c r="DK1400" s="405">
        <v>1</v>
      </c>
      <c r="DL1400" s="82">
        <v>370.38</v>
      </c>
      <c r="DM1400" s="409">
        <v>1.8519000000000001</v>
      </c>
      <c r="DN1400" s="82" t="s">
        <v>85</v>
      </c>
      <c r="DO1400" s="82" t="s">
        <v>85</v>
      </c>
      <c r="DP1400" s="410" t="s">
        <v>85</v>
      </c>
    </row>
    <row r="1401" spans="1:120" x14ac:dyDescent="0.25">
      <c r="A1401" s="16" t="s">
        <v>1128</v>
      </c>
      <c r="B1401" s="16" t="s">
        <v>1129</v>
      </c>
      <c r="C1401" s="16" t="s">
        <v>1130</v>
      </c>
      <c r="D1401" s="16" t="s">
        <v>923</v>
      </c>
      <c r="E1401" s="16" t="s">
        <v>1131</v>
      </c>
      <c r="F1401" s="16" t="s">
        <v>1132</v>
      </c>
      <c r="G1401" s="16" t="s">
        <v>1133</v>
      </c>
      <c r="H1401" s="16" t="s">
        <v>1132</v>
      </c>
      <c r="I1401" s="16" t="s">
        <v>1134</v>
      </c>
      <c r="J1401" s="16" t="s">
        <v>1123</v>
      </c>
      <c r="K1401" s="16" t="s">
        <v>1135</v>
      </c>
      <c r="L1401" s="16" t="s">
        <v>85</v>
      </c>
      <c r="M1401" s="16" t="s">
        <v>1125</v>
      </c>
      <c r="N1401" s="16" t="s">
        <v>914</v>
      </c>
      <c r="O1401" s="16" t="s">
        <v>1126</v>
      </c>
      <c r="P1401" s="16" t="s">
        <v>914</v>
      </c>
      <c r="Q1401" s="16" t="s">
        <v>1126</v>
      </c>
      <c r="R1401" s="16" t="s">
        <v>915</v>
      </c>
      <c r="S1401" s="16" t="s">
        <v>915</v>
      </c>
      <c r="T1401" s="16" t="s">
        <v>1125</v>
      </c>
      <c r="U1401" s="16" t="s">
        <v>1127</v>
      </c>
      <c r="V1401" s="16" t="s">
        <v>916</v>
      </c>
      <c r="W1401" s="16" t="s">
        <v>1127</v>
      </c>
      <c r="X1401" s="16" t="s">
        <v>934</v>
      </c>
      <c r="Y1401" s="16" t="s">
        <v>934</v>
      </c>
      <c r="Z1401" s="16" t="s">
        <v>935</v>
      </c>
      <c r="DA1401" s="405" t="s">
        <v>5</v>
      </c>
      <c r="DB1401" s="405" t="s">
        <v>363</v>
      </c>
      <c r="DC1401" s="406" t="s">
        <v>85</v>
      </c>
      <c r="DD1401" s="405" t="s">
        <v>917</v>
      </c>
      <c r="DE1401" s="405" t="s">
        <v>5</v>
      </c>
      <c r="DF1401" s="406" t="s">
        <v>85</v>
      </c>
      <c r="DG1401" s="407">
        <v>45869</v>
      </c>
      <c r="DH1401" s="405" t="s">
        <v>1131</v>
      </c>
      <c r="DI1401" s="406">
        <v>465455</v>
      </c>
      <c r="DJ1401" s="408">
        <v>5</v>
      </c>
      <c r="DK1401" s="405">
        <v>1</v>
      </c>
      <c r="DL1401" s="82">
        <v>370.38</v>
      </c>
      <c r="DM1401" s="409">
        <v>1.8519000000000001</v>
      </c>
      <c r="DN1401" s="82" t="s">
        <v>85</v>
      </c>
      <c r="DO1401" s="82" t="s">
        <v>85</v>
      </c>
      <c r="DP1401" s="410" t="s">
        <v>85</v>
      </c>
    </row>
    <row r="1402" spans="1:120" x14ac:dyDescent="0.25">
      <c r="A1402" s="16" t="s">
        <v>1136</v>
      </c>
      <c r="B1402" s="16" t="s">
        <v>1137</v>
      </c>
      <c r="C1402" s="16" t="s">
        <v>1138</v>
      </c>
      <c r="D1402" s="16" t="s">
        <v>923</v>
      </c>
      <c r="E1402" s="16" t="s">
        <v>1139</v>
      </c>
      <c r="F1402" s="16" t="s">
        <v>1140</v>
      </c>
      <c r="G1402" s="16" t="s">
        <v>1141</v>
      </c>
      <c r="H1402" s="16" t="s">
        <v>1142</v>
      </c>
      <c r="I1402" s="16" t="s">
        <v>1108</v>
      </c>
      <c r="J1402" s="16" t="s">
        <v>1109</v>
      </c>
      <c r="K1402" s="16" t="s">
        <v>1110</v>
      </c>
      <c r="L1402" s="16" t="s">
        <v>85</v>
      </c>
      <c r="M1402" s="16" t="s">
        <v>1111</v>
      </c>
      <c r="N1402" s="16" t="s">
        <v>914</v>
      </c>
      <c r="O1402" s="16" t="s">
        <v>1112</v>
      </c>
      <c r="P1402" s="16" t="s">
        <v>914</v>
      </c>
      <c r="Q1402" s="16" t="s">
        <v>1112</v>
      </c>
      <c r="R1402" s="16" t="s">
        <v>915</v>
      </c>
      <c r="S1402" s="16" t="s">
        <v>915</v>
      </c>
      <c r="T1402" s="16" t="s">
        <v>1113</v>
      </c>
      <c r="U1402" s="16" t="s">
        <v>1114</v>
      </c>
      <c r="V1402" s="16" t="s">
        <v>916</v>
      </c>
      <c r="W1402" s="16" t="s">
        <v>1114</v>
      </c>
      <c r="X1402" s="16" t="s">
        <v>934</v>
      </c>
      <c r="Y1402" s="16" t="s">
        <v>934</v>
      </c>
      <c r="Z1402" s="16" t="s">
        <v>935</v>
      </c>
      <c r="DA1402" s="405" t="s">
        <v>5</v>
      </c>
      <c r="DB1402" s="405" t="s">
        <v>363</v>
      </c>
      <c r="DC1402" s="406" t="s">
        <v>85</v>
      </c>
      <c r="DD1402" s="405" t="s">
        <v>917</v>
      </c>
      <c r="DE1402" s="405" t="s">
        <v>5</v>
      </c>
      <c r="DF1402" s="406" t="s">
        <v>85</v>
      </c>
      <c r="DG1402" s="407">
        <v>45869</v>
      </c>
      <c r="DH1402" s="405" t="s">
        <v>1139</v>
      </c>
      <c r="DI1402" s="406">
        <v>465455</v>
      </c>
      <c r="DJ1402" s="408">
        <v>5</v>
      </c>
      <c r="DK1402" s="405">
        <v>1</v>
      </c>
      <c r="DL1402" s="82">
        <v>519.73</v>
      </c>
      <c r="DM1402" s="409">
        <v>2.5986500000000001</v>
      </c>
      <c r="DN1402" s="82" t="s">
        <v>85</v>
      </c>
      <c r="DO1402" s="82" t="s">
        <v>85</v>
      </c>
      <c r="DP1402" s="410" t="s">
        <v>85</v>
      </c>
    </row>
    <row r="1403" spans="1:120" x14ac:dyDescent="0.25">
      <c r="A1403" s="16" t="s">
        <v>1143</v>
      </c>
      <c r="B1403" s="16" t="s">
        <v>1144</v>
      </c>
      <c r="C1403" s="16" t="s">
        <v>1145</v>
      </c>
      <c r="D1403" s="16" t="s">
        <v>923</v>
      </c>
      <c r="E1403" s="16" t="s">
        <v>1146</v>
      </c>
      <c r="F1403" s="16" t="s">
        <v>1147</v>
      </c>
      <c r="G1403" s="16" t="s">
        <v>1148</v>
      </c>
      <c r="H1403" s="16" t="s">
        <v>1149</v>
      </c>
      <c r="I1403" s="16" t="s">
        <v>1150</v>
      </c>
      <c r="J1403" s="16" t="s">
        <v>943</v>
      </c>
      <c r="K1403" s="16" t="s">
        <v>1151</v>
      </c>
      <c r="L1403" s="16" t="s">
        <v>85</v>
      </c>
      <c r="M1403" s="16" t="s">
        <v>1152</v>
      </c>
      <c r="N1403" s="16" t="s">
        <v>914</v>
      </c>
      <c r="O1403" s="16" t="s">
        <v>1153</v>
      </c>
      <c r="P1403" s="16" t="s">
        <v>914</v>
      </c>
      <c r="Q1403" s="16" t="s">
        <v>1153</v>
      </c>
      <c r="R1403" s="16" t="s">
        <v>915</v>
      </c>
      <c r="S1403" s="16" t="s">
        <v>915</v>
      </c>
      <c r="T1403" s="16" t="s">
        <v>1154</v>
      </c>
      <c r="U1403" s="16" t="s">
        <v>1155</v>
      </c>
      <c r="V1403" s="16" t="s">
        <v>916</v>
      </c>
      <c r="W1403" s="16" t="s">
        <v>1155</v>
      </c>
      <c r="X1403" s="16" t="s">
        <v>934</v>
      </c>
      <c r="Y1403" s="16" t="s">
        <v>934</v>
      </c>
      <c r="Z1403" s="16" t="s">
        <v>935</v>
      </c>
      <c r="DA1403" s="405" t="s">
        <v>5</v>
      </c>
      <c r="DB1403" s="405" t="s">
        <v>363</v>
      </c>
      <c r="DC1403" s="406" t="s">
        <v>85</v>
      </c>
      <c r="DD1403" s="405" t="s">
        <v>917</v>
      </c>
      <c r="DE1403" s="405" t="s">
        <v>5</v>
      </c>
      <c r="DF1403" s="406" t="s">
        <v>85</v>
      </c>
      <c r="DG1403" s="407">
        <v>45869</v>
      </c>
      <c r="DH1403" s="405" t="s">
        <v>1146</v>
      </c>
      <c r="DI1403" s="406">
        <v>465455</v>
      </c>
      <c r="DJ1403" s="408">
        <v>5</v>
      </c>
      <c r="DK1403" s="405">
        <v>1</v>
      </c>
      <c r="DL1403" s="82">
        <v>308.62</v>
      </c>
      <c r="DM1403" s="409">
        <v>1.5431000000000001</v>
      </c>
      <c r="DN1403" s="82" t="s">
        <v>85</v>
      </c>
      <c r="DO1403" s="82" t="s">
        <v>85</v>
      </c>
      <c r="DP1403" s="410" t="s">
        <v>85</v>
      </c>
    </row>
    <row r="1404" spans="1:120" x14ac:dyDescent="0.25">
      <c r="A1404" s="16" t="s">
        <v>1156</v>
      </c>
      <c r="B1404" s="16" t="s">
        <v>1157</v>
      </c>
      <c r="C1404" s="16" t="s">
        <v>1158</v>
      </c>
      <c r="D1404" s="16" t="s">
        <v>923</v>
      </c>
      <c r="E1404" s="16" t="s">
        <v>1159</v>
      </c>
      <c r="F1404" s="16" t="s">
        <v>1160</v>
      </c>
      <c r="G1404" s="16" t="s">
        <v>1161</v>
      </c>
      <c r="H1404" s="16" t="s">
        <v>1162</v>
      </c>
      <c r="I1404" s="16" t="s">
        <v>1163</v>
      </c>
      <c r="J1404" s="16" t="s">
        <v>995</v>
      </c>
      <c r="K1404" s="16" t="s">
        <v>1164</v>
      </c>
      <c r="L1404" s="16" t="s">
        <v>85</v>
      </c>
      <c r="M1404" s="16" t="s">
        <v>1165</v>
      </c>
      <c r="N1404" s="16" t="s">
        <v>914</v>
      </c>
      <c r="O1404" s="16" t="s">
        <v>1166</v>
      </c>
      <c r="P1404" s="16" t="s">
        <v>914</v>
      </c>
      <c r="Q1404" s="16" t="s">
        <v>1166</v>
      </c>
      <c r="R1404" s="16" t="s">
        <v>915</v>
      </c>
      <c r="S1404" s="16" t="s">
        <v>915</v>
      </c>
      <c r="T1404" s="16" t="s">
        <v>1167</v>
      </c>
      <c r="U1404" s="16" t="s">
        <v>1168</v>
      </c>
      <c r="V1404" s="16" t="s">
        <v>916</v>
      </c>
      <c r="W1404" s="16" t="s">
        <v>1168</v>
      </c>
      <c r="X1404" s="16" t="s">
        <v>934</v>
      </c>
      <c r="Y1404" s="16" t="s">
        <v>934</v>
      </c>
      <c r="Z1404" s="16" t="s">
        <v>935</v>
      </c>
      <c r="DA1404" s="405" t="s">
        <v>5</v>
      </c>
      <c r="DB1404" s="405" t="s">
        <v>363</v>
      </c>
      <c r="DC1404" s="406" t="s">
        <v>85</v>
      </c>
      <c r="DD1404" s="405" t="s">
        <v>917</v>
      </c>
      <c r="DE1404" s="405" t="s">
        <v>5</v>
      </c>
      <c r="DF1404" s="406" t="s">
        <v>85</v>
      </c>
      <c r="DG1404" s="407">
        <v>45869</v>
      </c>
      <c r="DH1404" s="405" t="s">
        <v>1159</v>
      </c>
      <c r="DI1404" s="406">
        <v>465455</v>
      </c>
      <c r="DJ1404" s="408">
        <v>5</v>
      </c>
      <c r="DK1404" s="405">
        <v>1</v>
      </c>
      <c r="DL1404" s="82">
        <v>468.28</v>
      </c>
      <c r="DM1404" s="409">
        <v>2.3413999999999997</v>
      </c>
      <c r="DN1404" s="82" t="s">
        <v>85</v>
      </c>
      <c r="DO1404" s="82" t="s">
        <v>85</v>
      </c>
      <c r="DP1404" s="410" t="s">
        <v>85</v>
      </c>
    </row>
    <row r="1405" spans="1:120" x14ac:dyDescent="0.25">
      <c r="A1405" s="16" t="s">
        <v>1169</v>
      </c>
      <c r="B1405" s="16" t="s">
        <v>1170</v>
      </c>
      <c r="C1405" s="16" t="s">
        <v>1171</v>
      </c>
      <c r="D1405" s="16" t="s">
        <v>923</v>
      </c>
      <c r="E1405" s="16" t="s">
        <v>1172</v>
      </c>
      <c r="F1405" s="16" t="s">
        <v>1173</v>
      </c>
      <c r="G1405" s="16" t="s">
        <v>1174</v>
      </c>
      <c r="H1405" s="16" t="s">
        <v>1173</v>
      </c>
      <c r="I1405" s="16" t="s">
        <v>968</v>
      </c>
      <c r="J1405" s="16" t="s">
        <v>943</v>
      </c>
      <c r="K1405" s="16" t="s">
        <v>969</v>
      </c>
      <c r="L1405" s="16" t="s">
        <v>85</v>
      </c>
      <c r="M1405" s="16" t="s">
        <v>945</v>
      </c>
      <c r="N1405" s="16" t="s">
        <v>914</v>
      </c>
      <c r="O1405" s="16" t="s">
        <v>946</v>
      </c>
      <c r="P1405" s="16" t="s">
        <v>914</v>
      </c>
      <c r="Q1405" s="16" t="s">
        <v>946</v>
      </c>
      <c r="R1405" s="16" t="s">
        <v>915</v>
      </c>
      <c r="S1405" s="16" t="s">
        <v>915</v>
      </c>
      <c r="T1405" s="16" t="s">
        <v>945</v>
      </c>
      <c r="U1405" s="16" t="s">
        <v>947</v>
      </c>
      <c r="V1405" s="16" t="s">
        <v>916</v>
      </c>
      <c r="W1405" s="16" t="s">
        <v>947</v>
      </c>
      <c r="X1405" s="16" t="s">
        <v>934</v>
      </c>
      <c r="Y1405" s="16" t="s">
        <v>934</v>
      </c>
      <c r="Z1405" s="16" t="s">
        <v>935</v>
      </c>
      <c r="DA1405" s="405" t="s">
        <v>5</v>
      </c>
      <c r="DB1405" s="405" t="s">
        <v>363</v>
      </c>
      <c r="DC1405" s="406" t="s">
        <v>85</v>
      </c>
      <c r="DD1405" s="405" t="s">
        <v>917</v>
      </c>
      <c r="DE1405" s="405" t="s">
        <v>5</v>
      </c>
      <c r="DF1405" s="406" t="s">
        <v>85</v>
      </c>
      <c r="DG1405" s="407">
        <v>45869</v>
      </c>
      <c r="DH1405" s="405" t="s">
        <v>1172</v>
      </c>
      <c r="DI1405" s="406">
        <v>465455</v>
      </c>
      <c r="DJ1405" s="408">
        <v>5</v>
      </c>
      <c r="DK1405" s="405">
        <v>1</v>
      </c>
      <c r="DL1405" s="82">
        <v>319.27</v>
      </c>
      <c r="DM1405" s="409">
        <v>1.5963499999999999</v>
      </c>
      <c r="DN1405" s="82" t="s">
        <v>85</v>
      </c>
      <c r="DO1405" s="82" t="s">
        <v>85</v>
      </c>
      <c r="DP1405" s="410" t="s">
        <v>85</v>
      </c>
    </row>
    <row r="1406" spans="1:120" x14ac:dyDescent="0.25">
      <c r="A1406" s="16" t="s">
        <v>1175</v>
      </c>
      <c r="B1406" s="16" t="s">
        <v>1176</v>
      </c>
      <c r="C1406" s="16" t="s">
        <v>1177</v>
      </c>
      <c r="D1406" s="16" t="s">
        <v>923</v>
      </c>
      <c r="E1406" s="16" t="s">
        <v>1178</v>
      </c>
      <c r="F1406" s="16" t="s">
        <v>1179</v>
      </c>
      <c r="G1406" s="16" t="s">
        <v>1180</v>
      </c>
      <c r="H1406" s="16" t="s">
        <v>1179</v>
      </c>
      <c r="I1406" s="16" t="s">
        <v>1181</v>
      </c>
      <c r="J1406" s="16" t="s">
        <v>928</v>
      </c>
      <c r="K1406" s="16" t="s">
        <v>1182</v>
      </c>
      <c r="L1406" s="16" t="s">
        <v>85</v>
      </c>
      <c r="M1406" s="16" t="s">
        <v>930</v>
      </c>
      <c r="N1406" s="16" t="s">
        <v>914</v>
      </c>
      <c r="O1406" s="16" t="s">
        <v>931</v>
      </c>
      <c r="P1406" s="16" t="s">
        <v>914</v>
      </c>
      <c r="Q1406" s="16" t="s">
        <v>931</v>
      </c>
      <c r="R1406" s="16" t="s">
        <v>915</v>
      </c>
      <c r="S1406" s="16" t="s">
        <v>915</v>
      </c>
      <c r="T1406" s="16" t="s">
        <v>932</v>
      </c>
      <c r="U1406" s="16" t="s">
        <v>933</v>
      </c>
      <c r="V1406" s="16" t="s">
        <v>916</v>
      </c>
      <c r="W1406" s="16" t="s">
        <v>933</v>
      </c>
      <c r="X1406" s="16" t="s">
        <v>934</v>
      </c>
      <c r="Y1406" s="16" t="s">
        <v>934</v>
      </c>
      <c r="Z1406" s="16" t="s">
        <v>935</v>
      </c>
      <c r="DA1406" s="405" t="s">
        <v>5</v>
      </c>
      <c r="DB1406" s="405" t="s">
        <v>363</v>
      </c>
      <c r="DC1406" s="406" t="s">
        <v>85</v>
      </c>
      <c r="DD1406" s="405" t="s">
        <v>917</v>
      </c>
      <c r="DE1406" s="405" t="s">
        <v>5</v>
      </c>
      <c r="DF1406" s="406" t="s">
        <v>85</v>
      </c>
      <c r="DG1406" s="407">
        <v>45869</v>
      </c>
      <c r="DH1406" s="405" t="s">
        <v>1178</v>
      </c>
      <c r="DI1406" s="406">
        <v>465455</v>
      </c>
      <c r="DJ1406" s="408">
        <v>5</v>
      </c>
      <c r="DK1406" s="405">
        <v>1</v>
      </c>
      <c r="DL1406" s="82">
        <v>325.83</v>
      </c>
      <c r="DM1406" s="409">
        <v>1.6291499999999999</v>
      </c>
      <c r="DN1406" s="82" t="s">
        <v>85</v>
      </c>
      <c r="DO1406" s="82" t="s">
        <v>85</v>
      </c>
      <c r="DP1406" s="410" t="s">
        <v>85</v>
      </c>
    </row>
    <row r="1407" spans="1:120" x14ac:dyDescent="0.25">
      <c r="A1407" s="16" t="s">
        <v>1183</v>
      </c>
      <c r="B1407" s="16" t="s">
        <v>1184</v>
      </c>
      <c r="C1407" s="16" t="s">
        <v>1185</v>
      </c>
      <c r="D1407" s="16" t="s">
        <v>923</v>
      </c>
      <c r="E1407" s="16" t="s">
        <v>1186</v>
      </c>
      <c r="F1407" s="16" t="s">
        <v>1187</v>
      </c>
      <c r="G1407" s="16" t="s">
        <v>1188</v>
      </c>
      <c r="H1407" s="16" t="s">
        <v>1187</v>
      </c>
      <c r="I1407" s="16" t="s">
        <v>1189</v>
      </c>
      <c r="J1407" s="16" t="s">
        <v>928</v>
      </c>
      <c r="K1407" s="16" t="s">
        <v>1190</v>
      </c>
      <c r="L1407" s="16" t="s">
        <v>85</v>
      </c>
      <c r="M1407" s="16" t="s">
        <v>930</v>
      </c>
      <c r="N1407" s="16" t="s">
        <v>914</v>
      </c>
      <c r="O1407" s="16" t="s">
        <v>931</v>
      </c>
      <c r="P1407" s="16" t="s">
        <v>914</v>
      </c>
      <c r="Q1407" s="16" t="s">
        <v>931</v>
      </c>
      <c r="R1407" s="16" t="s">
        <v>915</v>
      </c>
      <c r="S1407" s="16" t="s">
        <v>915</v>
      </c>
      <c r="T1407" s="16" t="s">
        <v>932</v>
      </c>
      <c r="U1407" s="16" t="s">
        <v>933</v>
      </c>
      <c r="V1407" s="16" t="s">
        <v>916</v>
      </c>
      <c r="W1407" s="16" t="s">
        <v>933</v>
      </c>
      <c r="X1407" s="16" t="s">
        <v>934</v>
      </c>
      <c r="Y1407" s="16" t="s">
        <v>934</v>
      </c>
      <c r="Z1407" s="16" t="s">
        <v>935</v>
      </c>
      <c r="DA1407" s="405" t="s">
        <v>5</v>
      </c>
      <c r="DB1407" s="405" t="s">
        <v>363</v>
      </c>
      <c r="DC1407" s="406" t="s">
        <v>85</v>
      </c>
      <c r="DD1407" s="405" t="s">
        <v>917</v>
      </c>
      <c r="DE1407" s="405" t="s">
        <v>5</v>
      </c>
      <c r="DF1407" s="406" t="s">
        <v>85</v>
      </c>
      <c r="DG1407" s="407">
        <v>45869</v>
      </c>
      <c r="DH1407" s="405" t="s">
        <v>1186</v>
      </c>
      <c r="DI1407" s="406">
        <v>465455</v>
      </c>
      <c r="DJ1407" s="408">
        <v>5</v>
      </c>
      <c r="DK1407" s="405">
        <v>1</v>
      </c>
      <c r="DL1407" s="82">
        <v>325.83</v>
      </c>
      <c r="DM1407" s="409">
        <v>1.6291499999999999</v>
      </c>
      <c r="DN1407" s="82" t="s">
        <v>85</v>
      </c>
      <c r="DO1407" s="82" t="s">
        <v>85</v>
      </c>
      <c r="DP1407" s="410" t="s">
        <v>85</v>
      </c>
    </row>
    <row r="1408" spans="1:120" x14ac:dyDescent="0.25">
      <c r="A1408" s="16" t="s">
        <v>1191</v>
      </c>
      <c r="B1408" s="16" t="s">
        <v>1192</v>
      </c>
      <c r="C1408" s="16" t="s">
        <v>1193</v>
      </c>
      <c r="D1408" s="16" t="s">
        <v>923</v>
      </c>
      <c r="E1408" s="16" t="s">
        <v>1194</v>
      </c>
      <c r="F1408" s="16" t="s">
        <v>1195</v>
      </c>
      <c r="G1408" s="16" t="s">
        <v>1196</v>
      </c>
      <c r="H1408" s="16" t="s">
        <v>1197</v>
      </c>
      <c r="I1408" s="16" t="s">
        <v>1198</v>
      </c>
      <c r="J1408" s="16" t="s">
        <v>956</v>
      </c>
      <c r="K1408" s="16" t="s">
        <v>1199</v>
      </c>
      <c r="L1408" s="16" t="s">
        <v>85</v>
      </c>
      <c r="M1408" s="16" t="s">
        <v>958</v>
      </c>
      <c r="N1408" s="16" t="s">
        <v>914</v>
      </c>
      <c r="O1408" s="16" t="s">
        <v>959</v>
      </c>
      <c r="P1408" s="16" t="s">
        <v>914</v>
      </c>
      <c r="Q1408" s="16" t="s">
        <v>959</v>
      </c>
      <c r="R1408" s="16" t="s">
        <v>915</v>
      </c>
      <c r="S1408" s="16" t="s">
        <v>915</v>
      </c>
      <c r="T1408" s="16" t="s">
        <v>960</v>
      </c>
      <c r="U1408" s="16" t="s">
        <v>961</v>
      </c>
      <c r="V1408" s="16" t="s">
        <v>916</v>
      </c>
      <c r="W1408" s="16" t="s">
        <v>961</v>
      </c>
      <c r="X1408" s="16" t="s">
        <v>934</v>
      </c>
      <c r="Y1408" s="16" t="s">
        <v>934</v>
      </c>
      <c r="Z1408" s="16" t="s">
        <v>935</v>
      </c>
      <c r="DA1408" s="405" t="s">
        <v>5</v>
      </c>
      <c r="DB1408" s="405" t="s">
        <v>363</v>
      </c>
      <c r="DC1408" s="406" t="s">
        <v>85</v>
      </c>
      <c r="DD1408" s="405" t="s">
        <v>917</v>
      </c>
      <c r="DE1408" s="405" t="s">
        <v>5</v>
      </c>
      <c r="DF1408" s="406" t="s">
        <v>85</v>
      </c>
      <c r="DG1408" s="407">
        <v>45869</v>
      </c>
      <c r="DH1408" s="405" t="s">
        <v>1194</v>
      </c>
      <c r="DI1408" s="406">
        <v>465455</v>
      </c>
      <c r="DJ1408" s="408">
        <v>5</v>
      </c>
      <c r="DK1408" s="405">
        <v>1</v>
      </c>
      <c r="DL1408" s="82">
        <v>260.61</v>
      </c>
      <c r="DM1408" s="409">
        <v>1.30305</v>
      </c>
      <c r="DN1408" s="82" t="s">
        <v>85</v>
      </c>
      <c r="DO1408" s="82" t="s">
        <v>85</v>
      </c>
      <c r="DP1408" s="410" t="s">
        <v>85</v>
      </c>
    </row>
    <row r="1409" spans="1:120" x14ac:dyDescent="0.25">
      <c r="A1409" s="16" t="s">
        <v>1200</v>
      </c>
      <c r="B1409" s="16" t="s">
        <v>1201</v>
      </c>
      <c r="C1409" s="16" t="s">
        <v>1202</v>
      </c>
      <c r="D1409" s="16" t="s">
        <v>923</v>
      </c>
      <c r="E1409" s="16" t="s">
        <v>1203</v>
      </c>
      <c r="F1409" s="16" t="s">
        <v>1204</v>
      </c>
      <c r="G1409" s="16" t="s">
        <v>1205</v>
      </c>
      <c r="H1409" s="16" t="s">
        <v>1206</v>
      </c>
      <c r="I1409" s="16" t="s">
        <v>1163</v>
      </c>
      <c r="J1409" s="16" t="s">
        <v>995</v>
      </c>
      <c r="K1409" s="16" t="s">
        <v>1164</v>
      </c>
      <c r="L1409" s="16" t="s">
        <v>85</v>
      </c>
      <c r="M1409" s="16" t="s">
        <v>997</v>
      </c>
      <c r="N1409" s="16" t="s">
        <v>914</v>
      </c>
      <c r="O1409" s="16" t="s">
        <v>998</v>
      </c>
      <c r="P1409" s="16" t="s">
        <v>914</v>
      </c>
      <c r="Q1409" s="16" t="s">
        <v>998</v>
      </c>
      <c r="R1409" s="16" t="s">
        <v>915</v>
      </c>
      <c r="S1409" s="16" t="s">
        <v>915</v>
      </c>
      <c r="T1409" s="16" t="s">
        <v>999</v>
      </c>
      <c r="U1409" s="16" t="s">
        <v>1000</v>
      </c>
      <c r="V1409" s="16" t="s">
        <v>916</v>
      </c>
      <c r="W1409" s="16" t="s">
        <v>1000</v>
      </c>
      <c r="X1409" s="16" t="s">
        <v>934</v>
      </c>
      <c r="Y1409" s="16" t="s">
        <v>934</v>
      </c>
      <c r="Z1409" s="16" t="s">
        <v>935</v>
      </c>
      <c r="DA1409" s="405" t="s">
        <v>5</v>
      </c>
      <c r="DB1409" s="405" t="s">
        <v>363</v>
      </c>
      <c r="DC1409" s="406" t="s">
        <v>85</v>
      </c>
      <c r="DD1409" s="405" t="s">
        <v>917</v>
      </c>
      <c r="DE1409" s="405" t="s">
        <v>5</v>
      </c>
      <c r="DF1409" s="406" t="s">
        <v>85</v>
      </c>
      <c r="DG1409" s="407">
        <v>45869</v>
      </c>
      <c r="DH1409" s="405" t="s">
        <v>1203</v>
      </c>
      <c r="DI1409" s="406">
        <v>465455</v>
      </c>
      <c r="DJ1409" s="408">
        <v>5</v>
      </c>
      <c r="DK1409" s="405">
        <v>1</v>
      </c>
      <c r="DL1409" s="82">
        <v>456.57</v>
      </c>
      <c r="DM1409" s="409">
        <v>2.2828499999999998</v>
      </c>
      <c r="DN1409" s="82" t="s">
        <v>85</v>
      </c>
      <c r="DO1409" s="82" t="s">
        <v>85</v>
      </c>
      <c r="DP1409" s="410" t="s">
        <v>85</v>
      </c>
    </row>
    <row r="1410" spans="1:120" x14ac:dyDescent="0.25">
      <c r="A1410" s="16" t="s">
        <v>1207</v>
      </c>
      <c r="B1410" s="16" t="s">
        <v>1208</v>
      </c>
      <c r="C1410" s="16" t="s">
        <v>1209</v>
      </c>
      <c r="D1410" s="16" t="s">
        <v>1012</v>
      </c>
      <c r="E1410" s="16" t="s">
        <v>1210</v>
      </c>
      <c r="F1410" s="16" t="s">
        <v>1211</v>
      </c>
      <c r="G1410" s="16" t="s">
        <v>1212</v>
      </c>
      <c r="H1410" s="16" t="s">
        <v>1213</v>
      </c>
      <c r="I1410" s="16" t="s">
        <v>1214</v>
      </c>
      <c r="J1410" s="16" t="s">
        <v>1036</v>
      </c>
      <c r="K1410" s="16" t="s">
        <v>1215</v>
      </c>
      <c r="L1410" s="16" t="s">
        <v>85</v>
      </c>
      <c r="M1410" s="16" t="s">
        <v>1216</v>
      </c>
      <c r="N1410" s="16" t="s">
        <v>914</v>
      </c>
      <c r="O1410" s="16" t="s">
        <v>946</v>
      </c>
      <c r="P1410" s="16" t="s">
        <v>914</v>
      </c>
      <c r="Q1410" s="16" t="s">
        <v>946</v>
      </c>
      <c r="R1410" s="16" t="s">
        <v>915</v>
      </c>
      <c r="S1410" s="16" t="s">
        <v>915</v>
      </c>
      <c r="T1410" s="16" t="s">
        <v>1216</v>
      </c>
      <c r="U1410" s="16" t="s">
        <v>1217</v>
      </c>
      <c r="V1410" s="16" t="s">
        <v>916</v>
      </c>
      <c r="W1410" s="16" t="s">
        <v>1217</v>
      </c>
      <c r="X1410" s="16" t="s">
        <v>934</v>
      </c>
      <c r="Y1410" s="16" t="s">
        <v>934</v>
      </c>
      <c r="Z1410" s="16" t="s">
        <v>935</v>
      </c>
      <c r="DA1410" s="405" t="s">
        <v>5</v>
      </c>
      <c r="DB1410" s="405" t="s">
        <v>363</v>
      </c>
      <c r="DC1410" s="406" t="s">
        <v>85</v>
      </c>
      <c r="DD1410" s="405" t="s">
        <v>917</v>
      </c>
      <c r="DE1410" s="405" t="s">
        <v>5</v>
      </c>
      <c r="DF1410" s="406" t="s">
        <v>85</v>
      </c>
      <c r="DG1410" s="407">
        <v>45869</v>
      </c>
      <c r="DH1410" s="405" t="s">
        <v>1210</v>
      </c>
      <c r="DI1410" s="406">
        <v>465455</v>
      </c>
      <c r="DJ1410" s="408">
        <v>5</v>
      </c>
      <c r="DK1410" s="405">
        <v>1</v>
      </c>
      <c r="DL1410" s="82">
        <v>319.22000000000003</v>
      </c>
      <c r="DM1410" s="409">
        <v>1.5961000000000001</v>
      </c>
      <c r="DN1410" s="82" t="s">
        <v>85</v>
      </c>
      <c r="DO1410" s="82" t="s">
        <v>85</v>
      </c>
      <c r="DP1410" s="410" t="s">
        <v>85</v>
      </c>
    </row>
    <row r="1411" spans="1:120" x14ac:dyDescent="0.25">
      <c r="A1411" s="16" t="s">
        <v>1207</v>
      </c>
      <c r="B1411" s="16" t="s">
        <v>1208</v>
      </c>
      <c r="C1411" s="16" t="s">
        <v>1209</v>
      </c>
      <c r="D1411" s="16" t="s">
        <v>1012</v>
      </c>
      <c r="E1411" s="16" t="s">
        <v>1210</v>
      </c>
      <c r="F1411" s="16" t="s">
        <v>1211</v>
      </c>
      <c r="G1411" s="16" t="s">
        <v>1212</v>
      </c>
      <c r="H1411" s="16" t="s">
        <v>1213</v>
      </c>
      <c r="I1411" s="16" t="s">
        <v>1218</v>
      </c>
      <c r="J1411" s="16" t="s">
        <v>1036</v>
      </c>
      <c r="K1411" s="16" t="s">
        <v>1219</v>
      </c>
      <c r="L1411" s="16" t="s">
        <v>85</v>
      </c>
      <c r="M1411" s="16" t="s">
        <v>1216</v>
      </c>
      <c r="N1411" s="16" t="s">
        <v>914</v>
      </c>
      <c r="O1411" s="16" t="s">
        <v>946</v>
      </c>
      <c r="P1411" s="16" t="s">
        <v>914</v>
      </c>
      <c r="Q1411" s="16" t="s">
        <v>946</v>
      </c>
      <c r="R1411" s="16" t="s">
        <v>915</v>
      </c>
      <c r="S1411" s="16" t="s">
        <v>915</v>
      </c>
      <c r="T1411" s="16" t="s">
        <v>1216</v>
      </c>
      <c r="U1411" s="16" t="s">
        <v>1217</v>
      </c>
      <c r="V1411" s="16" t="s">
        <v>916</v>
      </c>
      <c r="W1411" s="16" t="s">
        <v>1217</v>
      </c>
      <c r="X1411" s="16" t="s">
        <v>934</v>
      </c>
      <c r="Y1411" s="16" t="s">
        <v>934</v>
      </c>
      <c r="Z1411" s="16" t="s">
        <v>935</v>
      </c>
      <c r="DA1411" s="405" t="s">
        <v>5</v>
      </c>
      <c r="DB1411" s="405" t="s">
        <v>363</v>
      </c>
      <c r="DC1411" s="406" t="s">
        <v>85</v>
      </c>
      <c r="DD1411" s="405" t="s">
        <v>917</v>
      </c>
      <c r="DE1411" s="405" t="s">
        <v>5</v>
      </c>
      <c r="DF1411" s="406" t="s">
        <v>85</v>
      </c>
      <c r="DG1411" s="407">
        <v>45869</v>
      </c>
      <c r="DH1411" s="405" t="s">
        <v>1210</v>
      </c>
      <c r="DI1411" s="406">
        <v>465455</v>
      </c>
      <c r="DJ1411" s="408">
        <v>5</v>
      </c>
      <c r="DK1411" s="405">
        <v>1</v>
      </c>
      <c r="DL1411" s="82">
        <v>319.22000000000003</v>
      </c>
      <c r="DM1411" s="409">
        <v>1.5961000000000001</v>
      </c>
      <c r="DN1411" s="82" t="s">
        <v>85</v>
      </c>
      <c r="DO1411" s="82" t="s">
        <v>85</v>
      </c>
      <c r="DP1411" s="410" t="s">
        <v>85</v>
      </c>
    </row>
    <row r="1412" spans="1:120" x14ac:dyDescent="0.25">
      <c r="A1412" s="16" t="s">
        <v>1220</v>
      </c>
      <c r="B1412" s="16" t="s">
        <v>1221</v>
      </c>
      <c r="C1412" s="16" t="s">
        <v>1222</v>
      </c>
      <c r="D1412" s="16" t="s">
        <v>1012</v>
      </c>
      <c r="E1412" s="16" t="s">
        <v>1223</v>
      </c>
      <c r="F1412" s="16" t="s">
        <v>1224</v>
      </c>
      <c r="G1412" s="16" t="s">
        <v>1225</v>
      </c>
      <c r="H1412" s="16" t="s">
        <v>1226</v>
      </c>
      <c r="I1412" s="16" t="s">
        <v>1227</v>
      </c>
      <c r="J1412" s="16" t="s">
        <v>928</v>
      </c>
      <c r="K1412" s="16" t="s">
        <v>1228</v>
      </c>
      <c r="L1412" s="16" t="s">
        <v>85</v>
      </c>
      <c r="M1412" s="16" t="s">
        <v>930</v>
      </c>
      <c r="N1412" s="16" t="s">
        <v>914</v>
      </c>
      <c r="O1412" s="16" t="s">
        <v>931</v>
      </c>
      <c r="P1412" s="16" t="s">
        <v>914</v>
      </c>
      <c r="Q1412" s="16" t="s">
        <v>931</v>
      </c>
      <c r="R1412" s="16" t="s">
        <v>915</v>
      </c>
      <c r="S1412" s="16" t="s">
        <v>915</v>
      </c>
      <c r="T1412" s="16" t="s">
        <v>932</v>
      </c>
      <c r="U1412" s="16" t="s">
        <v>933</v>
      </c>
      <c r="V1412" s="16" t="s">
        <v>916</v>
      </c>
      <c r="W1412" s="16" t="s">
        <v>933</v>
      </c>
      <c r="X1412" s="16" t="s">
        <v>934</v>
      </c>
      <c r="Y1412" s="16" t="s">
        <v>934</v>
      </c>
      <c r="Z1412" s="16" t="s">
        <v>935</v>
      </c>
      <c r="DA1412" s="405" t="s">
        <v>5</v>
      </c>
      <c r="DB1412" s="405" t="s">
        <v>363</v>
      </c>
      <c r="DC1412" s="406" t="s">
        <v>85</v>
      </c>
      <c r="DD1412" s="405" t="s">
        <v>917</v>
      </c>
      <c r="DE1412" s="405" t="s">
        <v>5</v>
      </c>
      <c r="DF1412" s="406" t="s">
        <v>85</v>
      </c>
      <c r="DG1412" s="407">
        <v>45869</v>
      </c>
      <c r="DH1412" s="405" t="s">
        <v>1223</v>
      </c>
      <c r="DI1412" s="406">
        <v>465455</v>
      </c>
      <c r="DJ1412" s="408">
        <v>5</v>
      </c>
      <c r="DK1412" s="405">
        <v>1</v>
      </c>
      <c r="DL1412" s="82">
        <v>325.83</v>
      </c>
      <c r="DM1412" s="409">
        <v>1.6291499999999999</v>
      </c>
      <c r="DN1412" s="82" t="s">
        <v>85</v>
      </c>
      <c r="DO1412" s="82" t="s">
        <v>85</v>
      </c>
      <c r="DP1412" s="410" t="s">
        <v>85</v>
      </c>
    </row>
    <row r="1413" spans="1:120" x14ac:dyDescent="0.25">
      <c r="A1413" s="16" t="s">
        <v>1229</v>
      </c>
      <c r="B1413" s="16" t="s">
        <v>1230</v>
      </c>
      <c r="C1413" s="16" t="s">
        <v>1231</v>
      </c>
      <c r="D1413" s="16" t="s">
        <v>1012</v>
      </c>
      <c r="E1413" s="16" t="s">
        <v>1232</v>
      </c>
      <c r="F1413" s="16" t="s">
        <v>1233</v>
      </c>
      <c r="G1413" s="16" t="s">
        <v>1234</v>
      </c>
      <c r="H1413" s="16" t="s">
        <v>1235</v>
      </c>
      <c r="I1413" s="16" t="s">
        <v>1236</v>
      </c>
      <c r="J1413" s="16" t="s">
        <v>1123</v>
      </c>
      <c r="K1413" s="16" t="s">
        <v>1237</v>
      </c>
      <c r="L1413" s="16" t="s">
        <v>85</v>
      </c>
      <c r="M1413" s="16" t="s">
        <v>1238</v>
      </c>
      <c r="N1413" s="16" t="s">
        <v>914</v>
      </c>
      <c r="O1413" s="16" t="s">
        <v>1239</v>
      </c>
      <c r="P1413" s="16" t="s">
        <v>914</v>
      </c>
      <c r="Q1413" s="16" t="s">
        <v>1239</v>
      </c>
      <c r="R1413" s="16" t="s">
        <v>915</v>
      </c>
      <c r="S1413" s="16" t="s">
        <v>915</v>
      </c>
      <c r="T1413" s="16" t="s">
        <v>1238</v>
      </c>
      <c r="U1413" s="16" t="s">
        <v>1240</v>
      </c>
      <c r="V1413" s="16" t="s">
        <v>916</v>
      </c>
      <c r="W1413" s="16" t="s">
        <v>1240</v>
      </c>
      <c r="X1413" s="16" t="s">
        <v>934</v>
      </c>
      <c r="Y1413" s="16" t="s">
        <v>934</v>
      </c>
      <c r="Z1413" s="16" t="s">
        <v>935</v>
      </c>
      <c r="DA1413" s="405" t="s">
        <v>5</v>
      </c>
      <c r="DB1413" s="405" t="s">
        <v>363</v>
      </c>
      <c r="DC1413" s="406" t="s">
        <v>85</v>
      </c>
      <c r="DD1413" s="405" t="s">
        <v>917</v>
      </c>
      <c r="DE1413" s="405" t="s">
        <v>5</v>
      </c>
      <c r="DF1413" s="406" t="s">
        <v>85</v>
      </c>
      <c r="DG1413" s="407">
        <v>45869</v>
      </c>
      <c r="DH1413" s="405" t="s">
        <v>1232</v>
      </c>
      <c r="DI1413" s="406">
        <v>465455</v>
      </c>
      <c r="DJ1413" s="408">
        <v>5</v>
      </c>
      <c r="DK1413" s="405">
        <v>1</v>
      </c>
      <c r="DL1413" s="82">
        <v>383.16</v>
      </c>
      <c r="DM1413" s="409">
        <v>1.9158000000000002</v>
      </c>
      <c r="DN1413" s="82" t="s">
        <v>85</v>
      </c>
      <c r="DO1413" s="82" t="s">
        <v>85</v>
      </c>
      <c r="DP1413" s="410" t="s">
        <v>85</v>
      </c>
    </row>
    <row r="1414" spans="1:120" x14ac:dyDescent="0.25">
      <c r="A1414" s="16" t="s">
        <v>1241</v>
      </c>
      <c r="B1414" s="16" t="s">
        <v>1242</v>
      </c>
      <c r="C1414" s="16" t="s">
        <v>1243</v>
      </c>
      <c r="D1414" s="16" t="s">
        <v>1012</v>
      </c>
      <c r="E1414" s="16" t="s">
        <v>1244</v>
      </c>
      <c r="F1414" s="16" t="s">
        <v>1245</v>
      </c>
      <c r="G1414" s="16" t="s">
        <v>1246</v>
      </c>
      <c r="H1414" s="16" t="s">
        <v>1247</v>
      </c>
      <c r="I1414" s="16" t="s">
        <v>1248</v>
      </c>
      <c r="J1414" s="16" t="s">
        <v>995</v>
      </c>
      <c r="K1414" s="16" t="s">
        <v>1249</v>
      </c>
      <c r="L1414" s="16" t="s">
        <v>85</v>
      </c>
      <c r="M1414" s="16" t="s">
        <v>1165</v>
      </c>
      <c r="N1414" s="16" t="s">
        <v>914</v>
      </c>
      <c r="O1414" s="16" t="s">
        <v>1166</v>
      </c>
      <c r="P1414" s="16" t="s">
        <v>914</v>
      </c>
      <c r="Q1414" s="16" t="s">
        <v>1166</v>
      </c>
      <c r="R1414" s="16" t="s">
        <v>915</v>
      </c>
      <c r="S1414" s="16" t="s">
        <v>915</v>
      </c>
      <c r="T1414" s="16" t="s">
        <v>1167</v>
      </c>
      <c r="U1414" s="16" t="s">
        <v>1168</v>
      </c>
      <c r="V1414" s="16" t="s">
        <v>916</v>
      </c>
      <c r="W1414" s="16" t="s">
        <v>1168</v>
      </c>
      <c r="X1414" s="16" t="s">
        <v>934</v>
      </c>
      <c r="Y1414" s="16" t="s">
        <v>934</v>
      </c>
      <c r="Z1414" s="16" t="s">
        <v>935</v>
      </c>
      <c r="DA1414" s="405" t="s">
        <v>5</v>
      </c>
      <c r="DB1414" s="405" t="s">
        <v>363</v>
      </c>
      <c r="DC1414" s="406" t="s">
        <v>85</v>
      </c>
      <c r="DD1414" s="405" t="s">
        <v>917</v>
      </c>
      <c r="DE1414" s="405" t="s">
        <v>5</v>
      </c>
      <c r="DF1414" s="406" t="s">
        <v>85</v>
      </c>
      <c r="DG1414" s="407">
        <v>45869</v>
      </c>
      <c r="DH1414" s="405" t="s">
        <v>1244</v>
      </c>
      <c r="DI1414" s="406">
        <v>465455</v>
      </c>
      <c r="DJ1414" s="408">
        <v>5</v>
      </c>
      <c r="DK1414" s="405">
        <v>1</v>
      </c>
      <c r="DL1414" s="82">
        <v>468.28</v>
      </c>
      <c r="DM1414" s="409">
        <v>2.3413999999999997</v>
      </c>
      <c r="DN1414" s="82" t="s">
        <v>85</v>
      </c>
      <c r="DO1414" s="82" t="s">
        <v>85</v>
      </c>
      <c r="DP1414" s="410" t="s">
        <v>85</v>
      </c>
    </row>
    <row r="1415" spans="1:120" x14ac:dyDescent="0.25">
      <c r="A1415" s="16" t="s">
        <v>1250</v>
      </c>
      <c r="B1415" s="16" t="s">
        <v>1251</v>
      </c>
      <c r="C1415" s="16" t="s">
        <v>1252</v>
      </c>
      <c r="D1415" s="16" t="s">
        <v>1012</v>
      </c>
      <c r="E1415" s="16" t="s">
        <v>1253</v>
      </c>
      <c r="F1415" s="16" t="s">
        <v>1254</v>
      </c>
      <c r="G1415" s="16" t="s">
        <v>1255</v>
      </c>
      <c r="H1415" s="16" t="s">
        <v>1254</v>
      </c>
      <c r="I1415" s="16" t="s">
        <v>1256</v>
      </c>
      <c r="J1415" s="16" t="s">
        <v>1257</v>
      </c>
      <c r="K1415" s="16" t="s">
        <v>1258</v>
      </c>
      <c r="L1415" s="16" t="s">
        <v>85</v>
      </c>
      <c r="M1415" s="16" t="s">
        <v>1259</v>
      </c>
      <c r="N1415" s="16" t="s">
        <v>914</v>
      </c>
      <c r="O1415" s="16" t="s">
        <v>1260</v>
      </c>
      <c r="P1415" s="16" t="s">
        <v>914</v>
      </c>
      <c r="Q1415" s="16" t="s">
        <v>1260</v>
      </c>
      <c r="R1415" s="16" t="s">
        <v>915</v>
      </c>
      <c r="S1415" s="16" t="s">
        <v>915</v>
      </c>
      <c r="T1415" s="16" t="s">
        <v>1259</v>
      </c>
      <c r="U1415" s="16" t="s">
        <v>1261</v>
      </c>
      <c r="V1415" s="16" t="s">
        <v>916</v>
      </c>
      <c r="W1415" s="16" t="s">
        <v>1261</v>
      </c>
      <c r="X1415" s="16" t="s">
        <v>934</v>
      </c>
      <c r="Y1415" s="16" t="s">
        <v>934</v>
      </c>
      <c r="Z1415" s="16" t="s">
        <v>935</v>
      </c>
      <c r="DA1415" s="405" t="s">
        <v>5</v>
      </c>
      <c r="DB1415" s="405" t="s">
        <v>363</v>
      </c>
      <c r="DC1415" s="406" t="s">
        <v>85</v>
      </c>
      <c r="DD1415" s="405" t="s">
        <v>917</v>
      </c>
      <c r="DE1415" s="405" t="s">
        <v>5</v>
      </c>
      <c r="DF1415" s="406" t="s">
        <v>85</v>
      </c>
      <c r="DG1415" s="407">
        <v>45869</v>
      </c>
      <c r="DH1415" s="405" t="s">
        <v>1253</v>
      </c>
      <c r="DI1415" s="406">
        <v>465455</v>
      </c>
      <c r="DJ1415" s="408">
        <v>5</v>
      </c>
      <c r="DK1415" s="405">
        <v>1</v>
      </c>
      <c r="DL1415" s="82">
        <v>235.13</v>
      </c>
      <c r="DM1415" s="409">
        <v>1.1756500000000001</v>
      </c>
      <c r="DN1415" s="82" t="s">
        <v>85</v>
      </c>
      <c r="DO1415" s="82" t="s">
        <v>85</v>
      </c>
      <c r="DP1415" s="410" t="s">
        <v>85</v>
      </c>
    </row>
    <row r="1416" spans="1:120" x14ac:dyDescent="0.25">
      <c r="DA1416" s="405"/>
      <c r="DB1416" s="405"/>
      <c r="DC1416" s="406"/>
      <c r="DD1416" s="405"/>
      <c r="DE1416" s="405"/>
      <c r="DF1416" s="406"/>
      <c r="DG1416" s="407"/>
      <c r="DH1416" s="405"/>
      <c r="DI1416" s="406"/>
      <c r="DJ1416" s="408"/>
      <c r="DK1416" s="405"/>
      <c r="DL1416" s="82"/>
      <c r="DM1416" s="409"/>
      <c r="DN1416" s="82"/>
      <c r="DO1416" s="82"/>
      <c r="DP1416" s="410"/>
    </row>
    <row r="1417" spans="1:120" x14ac:dyDescent="0.25">
      <c r="DA1417" s="405"/>
      <c r="DB1417" s="405"/>
      <c r="DC1417" s="406"/>
      <c r="DD1417" s="405"/>
      <c r="DE1417" s="405"/>
      <c r="DF1417" s="406"/>
      <c r="DG1417" s="407"/>
      <c r="DH1417" s="405"/>
      <c r="DI1417" s="406"/>
      <c r="DJ1417" s="408"/>
      <c r="DK1417" s="405"/>
      <c r="DL1417" s="82"/>
      <c r="DM1417" s="409"/>
      <c r="DN1417" s="82"/>
      <c r="DO1417" s="82"/>
      <c r="DP1417" s="410"/>
    </row>
    <row r="1418" spans="1:120" x14ac:dyDescent="0.25">
      <c r="DA1418" s="405"/>
      <c r="DB1418" s="405"/>
      <c r="DC1418" s="406"/>
      <c r="DD1418" s="405"/>
      <c r="DE1418" s="405"/>
      <c r="DF1418" s="406"/>
      <c r="DG1418" s="407"/>
      <c r="DH1418" s="405"/>
      <c r="DI1418" s="406"/>
      <c r="DJ1418" s="408"/>
      <c r="DK1418" s="405"/>
      <c r="DL1418" s="82"/>
      <c r="DM1418" s="409"/>
      <c r="DN1418" s="82"/>
      <c r="DO1418" s="82"/>
      <c r="DP1418" s="410"/>
    </row>
    <row r="1419" spans="1:120" x14ac:dyDescent="0.25">
      <c r="DA1419" s="405"/>
      <c r="DB1419" s="405"/>
      <c r="DC1419" s="406"/>
      <c r="DD1419" s="405"/>
      <c r="DE1419" s="405"/>
      <c r="DF1419" s="406"/>
      <c r="DG1419" s="407"/>
      <c r="DH1419" s="405"/>
      <c r="DI1419" s="406"/>
      <c r="DJ1419" s="408"/>
      <c r="DK1419" s="405"/>
      <c r="DL1419" s="82"/>
      <c r="DM1419" s="409"/>
      <c r="DN1419" s="82"/>
      <c r="DO1419" s="82"/>
      <c r="DP1419" s="410"/>
    </row>
    <row r="1420" spans="1:120" x14ac:dyDescent="0.25">
      <c r="DA1420" s="405"/>
      <c r="DB1420" s="405"/>
      <c r="DC1420" s="406"/>
      <c r="DD1420" s="405"/>
      <c r="DE1420" s="405"/>
      <c r="DF1420" s="406"/>
      <c r="DG1420" s="407"/>
      <c r="DH1420" s="405"/>
      <c r="DI1420" s="406"/>
      <c r="DJ1420" s="408"/>
      <c r="DK1420" s="405"/>
      <c r="DL1420" s="82"/>
      <c r="DM1420" s="409"/>
      <c r="DN1420" s="82"/>
      <c r="DO1420" s="82"/>
      <c r="DP1420" s="410"/>
    </row>
  </sheetData>
  <sheetProtection algorithmName="SHA-512" hashValue="NDqDE3Jf++ZbtY8AErOVltHo+Yrp+UDlBbktjiyToqkjd8oaD7KZ3PFzvJo3d+yKKSlrtEk4mgN99vYwjcJizw==" saltValue="3qd38JrQgGM2ulKbL+4BaA==" spinCount="100000" sheet="1" objects="1" scenarios="1"/>
  <sortState xmlns:xlrd2="http://schemas.microsoft.com/office/spreadsheetml/2017/richdata2" ref="A5:DW99999">
    <sortCondition ref="DG4"/>
  </sortState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13" t="s">
        <v>235</v>
      </c>
      <c r="P1" s="41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775</v>
      </c>
      <c r="AE1" s="277" t="s">
        <v>770</v>
      </c>
      <c r="AF1" s="277" t="s">
        <v>54</v>
      </c>
      <c r="AG1" s="277" t="s">
        <v>728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774</v>
      </c>
      <c r="AF2" s="85" t="s">
        <v>772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Glowroad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x14ac:dyDescent="0.25">
      <c r="A3" s="62" t="s">
        <v>5</v>
      </c>
      <c r="B3" s="63" t="s">
        <v>782</v>
      </c>
      <c r="C3" s="8"/>
      <c r="D3" s="8" t="s">
        <v>735</v>
      </c>
      <c r="E3" s="8"/>
      <c r="F3" s="8"/>
      <c r="G3" s="9"/>
      <c r="H3" s="10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0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49" t="str">
        <f>IF(DN3="State",IF(ISBLANK(AD3),IF(ISBLANK(S3),"",S3),IF(ISBLANK(T3),"",T3)),"")</f>
        <v/>
      </c>
    </row>
    <row r="4" spans="1:119" customFormat="1" x14ac:dyDescent="0.25">
      <c r="A4" s="126" t="s">
        <v>390</v>
      </c>
      <c r="B4" s="126" t="s">
        <v>246</v>
      </c>
      <c r="C4" s="126" t="s">
        <v>391</v>
      </c>
      <c r="D4" s="126" t="s">
        <v>155</v>
      </c>
      <c r="E4" s="126" t="s">
        <v>392</v>
      </c>
      <c r="F4" s="126" t="s">
        <v>393</v>
      </c>
      <c r="G4" s="126" t="s">
        <v>394</v>
      </c>
      <c r="H4" s="126" t="s">
        <v>395</v>
      </c>
      <c r="I4" s="126" t="s">
        <v>396</v>
      </c>
      <c r="J4" s="126" t="s">
        <v>397</v>
      </c>
      <c r="K4" s="126" t="s">
        <v>398</v>
      </c>
      <c r="L4" s="126" t="s">
        <v>399</v>
      </c>
      <c r="M4" s="126" t="s">
        <v>400</v>
      </c>
      <c r="N4" s="126" t="s">
        <v>401</v>
      </c>
      <c r="O4" s="126" t="s">
        <v>402</v>
      </c>
      <c r="P4" s="126" t="s">
        <v>403</v>
      </c>
      <c r="Q4" s="126" t="s">
        <v>404</v>
      </c>
      <c r="R4" s="126" t="s">
        <v>405</v>
      </c>
      <c r="S4" s="126" t="s">
        <v>406</v>
      </c>
      <c r="T4" s="126" t="s">
        <v>407</v>
      </c>
      <c r="U4" s="126" t="s">
        <v>54</v>
      </c>
      <c r="V4" s="126" t="s">
        <v>408</v>
      </c>
      <c r="W4" s="126" t="s">
        <v>409</v>
      </c>
      <c r="X4" s="126" t="s">
        <v>410</v>
      </c>
      <c r="Y4" s="126" t="s">
        <v>411</v>
      </c>
      <c r="Z4" s="126" t="s">
        <v>412</v>
      </c>
      <c r="AA4" s="126" t="s">
        <v>80</v>
      </c>
      <c r="AB4" s="126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8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ctesn85xABbygJHUBUOdy0+nYWlKnHXNARWG5xCNxwlDldMhMZ6kxisSd47Pyn5laXVKtAeMHwpuDG7Y5LXJfA==" saltValue="FbPDrsKTwrDWlfWn73PKG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B13" sqref="B13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13" t="s">
        <v>235</v>
      </c>
      <c r="P1" s="41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7" t="s">
        <v>775</v>
      </c>
      <c r="AE1" s="277" t="s">
        <v>770</v>
      </c>
      <c r="AF1" s="277" t="s">
        <v>54</v>
      </c>
      <c r="AG1" s="277" t="s">
        <v>728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 ca="1"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774</v>
      </c>
      <c r="AF2" s="85" t="s">
        <v>772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855</v>
      </c>
      <c r="E3" s="8"/>
      <c r="F3" s="8"/>
      <c r="G3" s="9"/>
      <c r="H3" s="10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7"/>
    </row>
    <row r="4" spans="1:119" customFormat="1" ht="15.75" thickBot="1" x14ac:dyDescent="0.3">
      <c r="A4" s="132" t="s">
        <v>417</v>
      </c>
      <c r="B4" s="133" t="s">
        <v>418</v>
      </c>
      <c r="C4" s="133" t="s">
        <v>419</v>
      </c>
      <c r="D4" s="133" t="s">
        <v>420</v>
      </c>
      <c r="E4" s="133" t="s">
        <v>421</v>
      </c>
      <c r="F4" s="133" t="s">
        <v>302</v>
      </c>
      <c r="G4" s="133" t="s">
        <v>422</v>
      </c>
      <c r="H4" s="133" t="s">
        <v>423</v>
      </c>
      <c r="I4" s="133" t="s">
        <v>424</v>
      </c>
      <c r="J4" s="133" t="s">
        <v>425</v>
      </c>
      <c r="K4" s="133" t="s">
        <v>426</v>
      </c>
      <c r="L4" s="133" t="s">
        <v>427</v>
      </c>
      <c r="M4" s="133" t="s">
        <v>73</v>
      </c>
      <c r="N4" s="133" t="s">
        <v>428</v>
      </c>
      <c r="O4" s="133" t="s">
        <v>429</v>
      </c>
      <c r="P4" s="133" t="s">
        <v>430</v>
      </c>
      <c r="Q4" s="133" t="s">
        <v>431</v>
      </c>
      <c r="R4" s="133" t="s">
        <v>432</v>
      </c>
      <c r="S4" s="133" t="s">
        <v>433</v>
      </c>
      <c r="T4" s="133" t="s">
        <v>434</v>
      </c>
      <c r="U4" s="133" t="s">
        <v>435</v>
      </c>
      <c r="V4" s="133" t="s">
        <v>436</v>
      </c>
      <c r="W4" s="133" t="s">
        <v>437</v>
      </c>
      <c r="X4" s="133" t="s">
        <v>438</v>
      </c>
      <c r="Y4" s="133" t="s">
        <v>439</v>
      </c>
      <c r="Z4" s="133" t="s">
        <v>409</v>
      </c>
      <c r="AA4" s="133" t="s">
        <v>275</v>
      </c>
      <c r="AB4" s="133" t="s">
        <v>410</v>
      </c>
      <c r="AC4" s="133" t="s">
        <v>440</v>
      </c>
      <c r="AD4" s="133" t="s">
        <v>412</v>
      </c>
      <c r="AE4" s="133" t="s">
        <v>273</v>
      </c>
      <c r="AF4" s="133" t="s">
        <v>411</v>
      </c>
      <c r="AG4" s="133" t="s">
        <v>441</v>
      </c>
      <c r="AH4" s="133" t="s">
        <v>442</v>
      </c>
      <c r="AI4" s="133" t="s">
        <v>443</v>
      </c>
      <c r="AJ4" s="133" t="s">
        <v>444</v>
      </c>
      <c r="AK4" s="133" t="s">
        <v>445</v>
      </c>
      <c r="AL4" s="133" t="s">
        <v>446</v>
      </c>
      <c r="AM4" s="133" t="s">
        <v>447</v>
      </c>
      <c r="AN4" s="133" t="s">
        <v>448</v>
      </c>
      <c r="AO4" s="133" t="s">
        <v>449</v>
      </c>
      <c r="AP4" s="133" t="s">
        <v>450</v>
      </c>
      <c r="AQ4" s="133" t="s">
        <v>451</v>
      </c>
      <c r="AR4" s="133" t="s">
        <v>452</v>
      </c>
      <c r="AS4" s="133" t="s">
        <v>453</v>
      </c>
      <c r="AT4" s="133" t="s">
        <v>454</v>
      </c>
      <c r="AU4" s="133" t="s">
        <v>455</v>
      </c>
      <c r="AV4" s="133" t="s">
        <v>456</v>
      </c>
      <c r="AW4" s="133" t="s">
        <v>457</v>
      </c>
      <c r="AX4" s="133" t="s">
        <v>458</v>
      </c>
      <c r="AY4" s="133" t="s">
        <v>459</v>
      </c>
      <c r="AZ4" s="133" t="s">
        <v>460</v>
      </c>
      <c r="BA4" s="133" t="s">
        <v>461</v>
      </c>
      <c r="BB4" s="133" t="s">
        <v>462</v>
      </c>
      <c r="BC4" s="133" t="s">
        <v>463</v>
      </c>
      <c r="BD4" s="133" t="s">
        <v>464</v>
      </c>
      <c r="BE4" s="133" t="s">
        <v>465</v>
      </c>
      <c r="BF4" s="133" t="s">
        <v>466</v>
      </c>
      <c r="BG4" s="133" t="s">
        <v>467</v>
      </c>
      <c r="BH4" s="133" t="s">
        <v>468</v>
      </c>
      <c r="BI4" s="133" t="s">
        <v>469</v>
      </c>
      <c r="BJ4" s="133" t="s">
        <v>470</v>
      </c>
      <c r="BK4" s="133" t="s">
        <v>471</v>
      </c>
      <c r="BL4" s="133" t="s">
        <v>472</v>
      </c>
      <c r="BM4" s="133" t="s">
        <v>473</v>
      </c>
      <c r="BN4" s="133" t="s">
        <v>474</v>
      </c>
      <c r="BO4" s="133" t="s">
        <v>475</v>
      </c>
      <c r="BP4" s="133" t="s">
        <v>476</v>
      </c>
      <c r="BQ4" s="133" t="s">
        <v>477</v>
      </c>
      <c r="BR4" s="133" t="s">
        <v>478</v>
      </c>
      <c r="BS4" s="133" t="s">
        <v>479</v>
      </c>
      <c r="BT4" s="133" t="s">
        <v>55</v>
      </c>
      <c r="BU4" s="133" t="s">
        <v>480</v>
      </c>
      <c r="BV4" s="133" t="s">
        <v>481</v>
      </c>
      <c r="BW4" s="133" t="s">
        <v>482</v>
      </c>
      <c r="BX4" s="133" t="s">
        <v>483</v>
      </c>
      <c r="BY4" s="134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riIjTXLTA2YrPz4XFQXL11gArm7axKn4Y8PnsiM7Kmg2wTSWLDb3mJ0YElePYVOUefSOvzTkN39v2YuyZ6Tuqw==" saltValue="klkZFxZYdWmbvZE/rFP2G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13" t="s">
        <v>235</v>
      </c>
      <c r="P1" s="41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775</v>
      </c>
      <c r="AE1" s="277" t="s">
        <v>770</v>
      </c>
      <c r="AF1" s="277" t="s">
        <v>54</v>
      </c>
      <c r="AG1" s="277" t="s">
        <v>728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774</v>
      </c>
      <c r="AF2" s="85" t="s">
        <v>772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x14ac:dyDescent="0.25">
      <c r="A3" s="62" t="s">
        <v>5</v>
      </c>
      <c r="B3" s="63" t="s">
        <v>416</v>
      </c>
      <c r="C3" s="8"/>
      <c r="D3" s="8" t="s">
        <v>9946</v>
      </c>
      <c r="E3" s="8"/>
      <c r="F3" s="8"/>
      <c r="G3" s="9"/>
      <c r="H3" s="10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(45645)</v>
      </c>
      <c r="DE3" s="29" t="str">
        <f>IFERROR(VLOOKUP(IF(ISBLANK(BV3),AE3,IF(ISBLANK(CG3),AL3,AR3)),Help!$A$2:$B$200,2,0),"+++++++++")</f>
        <v>+++++++++</v>
      </c>
      <c r="DF3" s="27" t="s">
        <v>85</v>
      </c>
      <c r="DG3" s="28" t="e">
        <f>+IF(ISBLANK(BV3),DATE(LEFT(M3,4), MID(M3,5,2), RIGHT(M3,2)),IF(ISBLANK(CG3),DATE(LEFT(AH3,4), MID(AH3,5,2), RIGHT(AH3,2)),DATE(LEFT(Q3,4), MID(Q3,5,2), RIGHT(Q3,2))))</f>
        <v>#VALUE!</v>
      </c>
      <c r="DH3" s="29" t="str">
        <f>+IF(ISBLANK(BV3),D3,IF(ISBLANK(CF3),G3,F3))</f>
        <v>C:\Users\AT\Desktop\Ecommerce\ecommerce statement\mytra\part-00031-tid-885408879097544410-7e854b9f-c433-4aa4-9278-cd0756ca343e-28-110.c000.xlsx</v>
      </c>
      <c r="DI3" s="202">
        <v>45645</v>
      </c>
      <c r="DJ3" s="29">
        <f>+IF(ISBLANK(BV3),Y3,IF(ISBLANK(CG3),AC3,AC3))</f>
        <v>0</v>
      </c>
      <c r="DK3" s="29">
        <f>+IF(ISBLANK(BV3),AN3,IF(ISBLANK(CG3),Q3,BE3))</f>
        <v>0</v>
      </c>
      <c r="DL3" s="26">
        <f>+IF(ISBLANK(BV3),AS3,IF(ISBLANK(CG3),BL3,BL3)*-1)</f>
        <v>0</v>
      </c>
      <c r="DM3" s="26">
        <f>+IF(ISBLANK(BV3),BQ3,IF(ISBLANK(CG3),BY3,CJ3)*-1)</f>
        <v>0</v>
      </c>
      <c r="DN3" s="26" t="str">
        <f>+IF(DE3="+++++++++","State","")</f>
        <v>State</v>
      </c>
      <c r="DO3" s="183" t="str">
        <f>IF(DE3="+++++++++",IF(ISBLANK(BV3),IF(ISBLANK(AE3),"",AE3),IF(ISBLANK(CF3),IF(ISBLANK(AL3),"",AL3),IF(ISBLANK(AR3),"",AR3))),"")</f>
        <v/>
      </c>
    </row>
    <row r="4" spans="1:119" customFormat="1" x14ac:dyDescent="0.25">
      <c r="A4" s="81" t="s">
        <v>538</v>
      </c>
      <c r="B4" s="81" t="s">
        <v>120</v>
      </c>
      <c r="C4" s="81" t="s">
        <v>539</v>
      </c>
      <c r="D4" s="81" t="s">
        <v>540</v>
      </c>
      <c r="E4" s="81" t="s">
        <v>9926</v>
      </c>
      <c r="F4" s="81" t="s">
        <v>541</v>
      </c>
      <c r="G4" s="81" t="s">
        <v>542</v>
      </c>
      <c r="H4" s="81" t="s">
        <v>543</v>
      </c>
      <c r="I4" s="81" t="s">
        <v>544</v>
      </c>
      <c r="J4" s="81" t="s">
        <v>117</v>
      </c>
      <c r="K4" s="81" t="s">
        <v>545</v>
      </c>
      <c r="L4" s="81" t="s">
        <v>546</v>
      </c>
      <c r="M4" s="81" t="s">
        <v>547</v>
      </c>
      <c r="N4" s="81" t="s">
        <v>548</v>
      </c>
      <c r="O4" s="81" t="s">
        <v>549</v>
      </c>
      <c r="P4" s="81" t="s">
        <v>550</v>
      </c>
      <c r="Q4" s="81" t="s">
        <v>551</v>
      </c>
      <c r="R4" s="81" t="s">
        <v>552</v>
      </c>
      <c r="S4" s="81" t="s">
        <v>553</v>
      </c>
      <c r="T4" s="81" t="s">
        <v>554</v>
      </c>
      <c r="U4" s="81" t="s">
        <v>555</v>
      </c>
      <c r="V4" s="81" t="s">
        <v>556</v>
      </c>
      <c r="W4" s="81" t="s">
        <v>557</v>
      </c>
      <c r="X4" s="81" t="s">
        <v>558</v>
      </c>
      <c r="Y4" s="81" t="s">
        <v>559</v>
      </c>
      <c r="Z4" s="81" t="s">
        <v>560</v>
      </c>
      <c r="AA4" s="81" t="s">
        <v>561</v>
      </c>
      <c r="AB4" s="81" t="s">
        <v>562</v>
      </c>
      <c r="AC4" s="81" t="s">
        <v>563</v>
      </c>
      <c r="AD4" s="81" t="s">
        <v>564</v>
      </c>
      <c r="AE4" s="81" t="s">
        <v>9927</v>
      </c>
      <c r="AF4" s="81" t="s">
        <v>565</v>
      </c>
      <c r="AG4" s="81" t="s">
        <v>566</v>
      </c>
      <c r="AH4" s="81" t="s">
        <v>567</v>
      </c>
      <c r="AI4" s="81" t="s">
        <v>568</v>
      </c>
      <c r="AJ4" s="81" t="s">
        <v>569</v>
      </c>
      <c r="AK4" s="81" t="s">
        <v>570</v>
      </c>
      <c r="AL4" s="81" t="s">
        <v>571</v>
      </c>
      <c r="AM4" s="81" t="s">
        <v>572</v>
      </c>
      <c r="AN4" s="81" t="s">
        <v>116</v>
      </c>
      <c r="AO4" s="81" t="s">
        <v>573</v>
      </c>
      <c r="AP4" s="81" t="s">
        <v>9928</v>
      </c>
      <c r="AQ4" s="81" t="s">
        <v>9929</v>
      </c>
      <c r="AR4" s="81" t="s">
        <v>574</v>
      </c>
      <c r="AS4" s="81" t="s">
        <v>9930</v>
      </c>
      <c r="AT4" s="81" t="s">
        <v>9931</v>
      </c>
      <c r="AU4" s="81" t="s">
        <v>575</v>
      </c>
      <c r="AV4" s="81" t="s">
        <v>9932</v>
      </c>
      <c r="AW4" s="81" t="s">
        <v>576</v>
      </c>
      <c r="AX4" s="81" t="s">
        <v>577</v>
      </c>
      <c r="AY4" s="81" t="s">
        <v>9933</v>
      </c>
      <c r="AZ4" s="81" t="s">
        <v>578</v>
      </c>
      <c r="BA4" s="81" t="s">
        <v>9934</v>
      </c>
      <c r="BB4" s="81" t="s">
        <v>9935</v>
      </c>
      <c r="BC4" s="81" t="s">
        <v>579</v>
      </c>
      <c r="BD4" s="81" t="s">
        <v>9936</v>
      </c>
      <c r="BE4" s="81" t="s">
        <v>9937</v>
      </c>
      <c r="BF4" s="81" t="s">
        <v>9938</v>
      </c>
      <c r="BG4" s="81" t="s">
        <v>9939</v>
      </c>
      <c r="BH4" s="81" t="s">
        <v>9940</v>
      </c>
      <c r="BI4" s="81" t="s">
        <v>9941</v>
      </c>
      <c r="BJ4" s="81" t="s">
        <v>9942</v>
      </c>
      <c r="BK4" s="81" t="s">
        <v>9943</v>
      </c>
      <c r="BL4" s="81" t="s">
        <v>580</v>
      </c>
      <c r="BM4" s="81" t="s">
        <v>581</v>
      </c>
      <c r="BN4" s="81" t="s">
        <v>9944</v>
      </c>
      <c r="BO4" s="81" t="s">
        <v>738</v>
      </c>
      <c r="BP4" s="81" t="s">
        <v>582</v>
      </c>
      <c r="BQ4" s="81" t="s">
        <v>583</v>
      </c>
      <c r="BR4" s="81" t="s">
        <v>584</v>
      </c>
      <c r="BS4" s="81" t="s">
        <v>585</v>
      </c>
      <c r="BT4" s="81" t="s">
        <v>586</v>
      </c>
      <c r="BU4" s="81" t="s">
        <v>587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czzSRSY/3rURzNi3USpbmOnrAw6+XVdAIpSdKlmnZboZgdfzEQicK1ZJzVJCi/stsBxN8d1vCYvy+5T3vybK7w==" saltValue="8wKCyNJrqfwetiKiTBEtI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696</v>
      </c>
      <c r="B1" s="80">
        <v>1</v>
      </c>
      <c r="C1" s="4"/>
      <c r="D1" s="18"/>
      <c r="E1" s="43" t="s">
        <v>96</v>
      </c>
      <c r="F1" s="44" t="s">
        <v>716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13" t="s">
        <v>697</v>
      </c>
      <c r="P1" s="414"/>
      <c r="AA1" s="206">
        <v>2</v>
      </c>
      <c r="AB1" s="207">
        <v>0</v>
      </c>
      <c r="AC1" s="207"/>
      <c r="AD1" s="277" t="s">
        <v>775</v>
      </c>
      <c r="AE1" s="277" t="s">
        <v>770</v>
      </c>
      <c r="AF1" s="277" t="s">
        <v>54</v>
      </c>
      <c r="AG1" s="277" t="s">
        <v>728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698</v>
      </c>
      <c r="AB2" s="2" t="s">
        <v>718</v>
      </c>
      <c r="AC2" s="2"/>
      <c r="AD2" s="85" t="s">
        <v>325</v>
      </c>
      <c r="AE2" s="85" t="s">
        <v>774</v>
      </c>
      <c r="AF2" s="85" t="s">
        <v>772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859</v>
      </c>
      <c r="DC2" s="91" t="s">
        <v>699</v>
      </c>
      <c r="DD2" s="91" t="s">
        <v>700</v>
      </c>
      <c r="DE2" s="91" t="s">
        <v>1</v>
      </c>
      <c r="DF2" s="91" t="s">
        <v>701</v>
      </c>
      <c r="DG2" s="91" t="s">
        <v>702</v>
      </c>
      <c r="DH2" s="91" t="s">
        <v>703</v>
      </c>
      <c r="DI2" s="91" t="s">
        <v>704</v>
      </c>
      <c r="DJ2" s="91" t="s">
        <v>705</v>
      </c>
      <c r="DK2" s="91" t="s">
        <v>78</v>
      </c>
      <c r="DL2" s="91" t="s">
        <v>106</v>
      </c>
      <c r="DM2" s="91" t="s">
        <v>80</v>
      </c>
      <c r="DN2" s="91" t="s">
        <v>243</v>
      </c>
      <c r="DO2" s="92" t="s">
        <v>706</v>
      </c>
    </row>
    <row r="3" spans="1:124" customFormat="1" ht="15.75" thickBot="1" x14ac:dyDescent="0.3">
      <c r="A3" s="370"/>
      <c r="B3" s="63" t="s">
        <v>695</v>
      </c>
      <c r="C3" s="8"/>
      <c r="D3" s="62" t="s">
        <v>736</v>
      </c>
      <c r="E3" s="8"/>
      <c r="F3" s="8"/>
      <c r="G3" s="8"/>
      <c r="H3" s="8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1" t="e">
        <f>+IF(ISBLANK(AY3),TEXT(DATEVALUE(MID(Y3,1,10)),"DD/MM/YYYY"),TEXT(DATEVALUE(MID(AY3,1,10)),"DD/MM/YYYY"))</f>
        <v>#VALUE!</v>
      </c>
      <c r="DH3" s="58">
        <f>+IF(ISBLANK(AY3),X3,AZ3)</f>
        <v>0</v>
      </c>
      <c r="DI3" s="202" t="str">
        <f>+IF(ISBLANK(AB3),"",AB3)</f>
        <v/>
      </c>
      <c r="DJ3" s="184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203" t="s">
        <v>707</v>
      </c>
      <c r="B4" s="204" t="s">
        <v>646</v>
      </c>
      <c r="C4" s="204" t="s">
        <v>647</v>
      </c>
      <c r="D4" s="204" t="s">
        <v>648</v>
      </c>
      <c r="E4" s="204" t="s">
        <v>649</v>
      </c>
      <c r="F4" s="204" t="s">
        <v>650</v>
      </c>
      <c r="G4" s="204" t="s">
        <v>651</v>
      </c>
      <c r="H4" s="204" t="s">
        <v>652</v>
      </c>
      <c r="I4" s="204" t="s">
        <v>653</v>
      </c>
      <c r="J4" s="204" t="s">
        <v>654</v>
      </c>
      <c r="K4" s="204" t="s">
        <v>655</v>
      </c>
      <c r="L4" s="204" t="s">
        <v>656</v>
      </c>
      <c r="M4" s="204" t="s">
        <v>657</v>
      </c>
      <c r="N4" s="204" t="s">
        <v>658</v>
      </c>
      <c r="O4" s="204" t="s">
        <v>659</v>
      </c>
      <c r="P4" s="204" t="s">
        <v>660</v>
      </c>
      <c r="Q4" s="204" t="s">
        <v>661</v>
      </c>
      <c r="R4" s="204" t="s">
        <v>662</v>
      </c>
      <c r="S4" s="204" t="s">
        <v>663</v>
      </c>
      <c r="T4" s="204" t="s">
        <v>664</v>
      </c>
      <c r="U4" s="204" t="s">
        <v>665</v>
      </c>
      <c r="V4" s="204" t="s">
        <v>666</v>
      </c>
      <c r="W4" s="204" t="s">
        <v>667</v>
      </c>
      <c r="X4" s="204" t="s">
        <v>668</v>
      </c>
      <c r="Y4" s="204" t="s">
        <v>669</v>
      </c>
      <c r="Z4" s="204" t="s">
        <v>670</v>
      </c>
      <c r="AA4" s="204" t="s">
        <v>671</v>
      </c>
      <c r="AB4" s="204" t="s">
        <v>672</v>
      </c>
      <c r="AC4" s="204" t="s">
        <v>673</v>
      </c>
      <c r="AD4" s="204" t="s">
        <v>674</v>
      </c>
      <c r="AE4" s="204" t="s">
        <v>675</v>
      </c>
      <c r="AF4" s="204" t="s">
        <v>676</v>
      </c>
      <c r="AG4" s="204" t="s">
        <v>677</v>
      </c>
      <c r="AH4" s="204" t="s">
        <v>678</v>
      </c>
      <c r="AI4" s="204" t="s">
        <v>679</v>
      </c>
      <c r="AJ4" s="204" t="s">
        <v>680</v>
      </c>
      <c r="AK4" s="204" t="s">
        <v>681</v>
      </c>
      <c r="AL4" s="204" t="s">
        <v>682</v>
      </c>
      <c r="AM4" s="204" t="s">
        <v>683</v>
      </c>
      <c r="AN4" s="204" t="s">
        <v>684</v>
      </c>
      <c r="AO4" s="204" t="s">
        <v>685</v>
      </c>
      <c r="AP4" s="204" t="s">
        <v>686</v>
      </c>
      <c r="AQ4" s="204" t="s">
        <v>687</v>
      </c>
      <c r="AR4" s="204" t="s">
        <v>688</v>
      </c>
      <c r="AS4" s="204" t="s">
        <v>689</v>
      </c>
      <c r="AT4" s="204" t="s">
        <v>690</v>
      </c>
      <c r="AU4" s="204" t="s">
        <v>691</v>
      </c>
      <c r="AV4" s="204" t="s">
        <v>692</v>
      </c>
      <c r="AW4" s="204" t="s">
        <v>693</v>
      </c>
      <c r="AX4" s="205" t="s">
        <v>694</v>
      </c>
      <c r="AY4" s="205" t="s">
        <v>719</v>
      </c>
      <c r="AZ4" s="205" t="s">
        <v>720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/>
      <c r="DB4" s="119"/>
      <c r="DC4" s="120"/>
      <c r="DD4" s="119"/>
      <c r="DE4" s="119"/>
      <c r="DF4" s="120"/>
      <c r="DG4" s="121"/>
      <c r="DH4" s="122"/>
      <c r="DI4" s="123"/>
      <c r="DJ4" s="124"/>
      <c r="DK4" s="123"/>
      <c r="DL4" s="119"/>
      <c r="DM4" s="125"/>
      <c r="DN4" s="119"/>
      <c r="DO4" s="119"/>
      <c r="DP4" s="120"/>
    </row>
  </sheetData>
  <sheetProtection algorithmName="SHA-512" hashValue="nrpyqnIkswQ7sMjuAsEoC5ePPOvQbLIrmHWn14A+WmwMJUYCIUg8QheoEyFFGIU8w+LatJPKoUZMyrV1XwQYlw==" saltValue="ZBui9rEyNPoCMX5V/EEih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13" t="s">
        <v>235</v>
      </c>
      <c r="P1" s="41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7" t="s">
        <v>775</v>
      </c>
      <c r="AE1" s="277" t="s">
        <v>770</v>
      </c>
      <c r="AF1" s="277" t="s">
        <v>54</v>
      </c>
      <c r="AG1" s="277" t="s">
        <v>728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774</v>
      </c>
      <c r="AF2" s="85" t="s">
        <v>772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889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/>
      <c r="B3" s="63" t="s">
        <v>856</v>
      </c>
      <c r="C3" s="8"/>
      <c r="D3" s="8"/>
      <c r="E3" s="8"/>
      <c r="F3" s="8"/>
      <c r="G3" s="9"/>
      <c r="H3" s="10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199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0" t="e">
        <f>IF(LEFT(DC3,3)="B2C",DL3*0.01,"")</f>
        <v>#VALUE!</v>
      </c>
      <c r="DN3" s="26" t="str">
        <f>+IF(DE3="+++++++++","State","")</f>
        <v>State</v>
      </c>
      <c r="DO3" s="183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6" t="s">
        <v>625</v>
      </c>
      <c r="B4" s="197" t="s">
        <v>626</v>
      </c>
      <c r="C4" s="197" t="s">
        <v>627</v>
      </c>
      <c r="D4" s="197" t="s">
        <v>401</v>
      </c>
      <c r="E4" s="197" t="s">
        <v>628</v>
      </c>
      <c r="F4" s="197" t="s">
        <v>629</v>
      </c>
      <c r="G4" s="197" t="s">
        <v>630</v>
      </c>
      <c r="H4" s="197" t="s">
        <v>631</v>
      </c>
      <c r="I4" s="197" t="s">
        <v>160</v>
      </c>
      <c r="J4" s="197" t="s">
        <v>55</v>
      </c>
      <c r="K4" s="197" t="s">
        <v>632</v>
      </c>
      <c r="L4" s="197" t="s">
        <v>633</v>
      </c>
      <c r="M4" s="197" t="s">
        <v>634</v>
      </c>
      <c r="N4" s="197" t="s">
        <v>635</v>
      </c>
      <c r="O4" s="197" t="s">
        <v>636</v>
      </c>
      <c r="P4" s="197" t="s">
        <v>637</v>
      </c>
      <c r="Q4" s="197" t="s">
        <v>638</v>
      </c>
      <c r="R4" s="197" t="s">
        <v>639</v>
      </c>
      <c r="S4" s="197" t="s">
        <v>409</v>
      </c>
      <c r="T4" s="197" t="s">
        <v>410</v>
      </c>
      <c r="U4" s="197" t="s">
        <v>412</v>
      </c>
      <c r="V4" s="197" t="s">
        <v>427</v>
      </c>
      <c r="W4" s="198" t="s">
        <v>640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bXHXh8dJJpsrduCXrmspFTxLqSfSIwJL93m9ixohGq8gaqTroVdePqzsBtFKJF3babVSqLigPyCtd8YrcVTLg==" saltValue="8GSXomVhfoUbcKgpsQ+Pj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13" t="s">
        <v>235</v>
      </c>
      <c r="P1" s="41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775</v>
      </c>
      <c r="AE1" s="277" t="s">
        <v>770</v>
      </c>
      <c r="AF1" s="277" t="s">
        <v>54</v>
      </c>
      <c r="AG1" s="277" t="s">
        <v>728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774</v>
      </c>
      <c r="AF2" s="85" t="s">
        <v>772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>500 - KETAN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19">
        <f>+VALUE(IF(DL3=0,"0",I3))</f>
        <v>0</v>
      </c>
      <c r="DL3" s="119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2" t="s">
        <v>155</v>
      </c>
      <c r="B4" s="152" t="s">
        <v>494</v>
      </c>
      <c r="C4" s="152" t="s">
        <v>158</v>
      </c>
      <c r="D4" s="152" t="s">
        <v>495</v>
      </c>
      <c r="E4" s="152" t="s">
        <v>496</v>
      </c>
      <c r="F4" s="152" t="s">
        <v>497</v>
      </c>
      <c r="G4" s="152" t="s">
        <v>251</v>
      </c>
      <c r="H4" s="152" t="s">
        <v>302</v>
      </c>
      <c r="I4" s="152" t="s">
        <v>498</v>
      </c>
      <c r="J4" s="152" t="s">
        <v>499</v>
      </c>
      <c r="K4" s="152" t="s">
        <v>500</v>
      </c>
      <c r="L4" s="152" t="s">
        <v>501</v>
      </c>
      <c r="M4" s="152" t="s">
        <v>502</v>
      </c>
      <c r="N4" s="152" t="s">
        <v>503</v>
      </c>
      <c r="O4" s="152" t="s">
        <v>504</v>
      </c>
      <c r="P4" s="152" t="s">
        <v>505</v>
      </c>
      <c r="Q4" s="153" t="s">
        <v>506</v>
      </c>
      <c r="R4" s="153" t="s">
        <v>507</v>
      </c>
      <c r="S4" s="153" t="s">
        <v>508</v>
      </c>
      <c r="T4" s="153" t="s">
        <v>509</v>
      </c>
      <c r="U4" s="153" t="s">
        <v>510</v>
      </c>
      <c r="V4" s="153" t="s">
        <v>511</v>
      </c>
      <c r="W4" s="153" t="s">
        <v>512</v>
      </c>
      <c r="X4" s="153" t="s">
        <v>513</v>
      </c>
      <c r="Y4" s="153" t="s">
        <v>514</v>
      </c>
      <c r="Z4" s="153" t="s">
        <v>515</v>
      </c>
      <c r="AA4" s="153" t="s">
        <v>516</v>
      </c>
      <c r="AB4" s="153" t="s">
        <v>517</v>
      </c>
      <c r="AC4" s="153" t="s">
        <v>518</v>
      </c>
      <c r="AD4" s="153" t="s">
        <v>519</v>
      </c>
      <c r="AE4" s="153" t="s">
        <v>520</v>
      </c>
      <c r="AF4" s="153" t="s">
        <v>521</v>
      </c>
      <c r="AG4" s="153" t="s">
        <v>522</v>
      </c>
      <c r="AH4" s="154" t="s">
        <v>523</v>
      </c>
      <c r="AI4" s="154" t="s">
        <v>524</v>
      </c>
      <c r="AJ4" s="154" t="s">
        <v>525</v>
      </c>
      <c r="AK4" s="154" t="s">
        <v>526</v>
      </c>
      <c r="AL4" s="154" t="s">
        <v>527</v>
      </c>
      <c r="AM4" s="154" t="s">
        <v>528</v>
      </c>
      <c r="AN4" s="154" t="s">
        <v>529</v>
      </c>
      <c r="AO4" s="154" t="s">
        <v>530</v>
      </c>
      <c r="AP4" s="154" t="s">
        <v>531</v>
      </c>
      <c r="AQ4" s="154" t="s">
        <v>409</v>
      </c>
      <c r="AR4" s="154" t="s">
        <v>412</v>
      </c>
      <c r="AS4" s="154" t="s">
        <v>410</v>
      </c>
      <c r="AT4" s="85"/>
      <c r="AU4" s="155"/>
      <c r="AV4" s="155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G4" s="155"/>
      <c r="BH4" s="155"/>
      <c r="BI4" s="155"/>
      <c r="BJ4" s="155"/>
      <c r="BK4" s="155"/>
      <c r="BL4" s="155"/>
      <c r="BM4" s="155"/>
      <c r="BN4" s="155"/>
      <c r="BO4" s="155"/>
      <c r="BP4" s="155"/>
      <c r="BQ4" s="155"/>
      <c r="BR4" s="155"/>
      <c r="BS4" s="155"/>
      <c r="BT4" s="155"/>
      <c r="BU4" s="155"/>
      <c r="BV4" s="155"/>
      <c r="BW4" s="155"/>
      <c r="BX4" s="155"/>
      <c r="BY4" s="155"/>
      <c r="BZ4" s="155"/>
      <c r="CA4" s="155"/>
      <c r="CB4" s="155"/>
      <c r="CC4" s="155"/>
      <c r="CD4" s="155"/>
      <c r="CE4" s="155"/>
      <c r="CF4" s="155"/>
      <c r="CG4" s="155"/>
      <c r="CH4" s="155"/>
      <c r="CI4" s="155"/>
      <c r="CJ4" s="155"/>
      <c r="CK4" s="155"/>
      <c r="CL4" s="155"/>
      <c r="CM4" s="155"/>
      <c r="CN4" s="155"/>
      <c r="CO4" s="155"/>
      <c r="CP4" s="155"/>
      <c r="CQ4" s="155"/>
      <c r="CR4" s="155"/>
      <c r="CS4" s="155"/>
      <c r="CT4" s="155"/>
      <c r="CU4" s="155"/>
      <c r="CV4" s="155"/>
      <c r="CW4" s="155"/>
      <c r="CX4" s="155"/>
      <c r="CY4" s="155"/>
      <c r="CZ4" s="155"/>
      <c r="DA4" s="156" t="str">
        <f>+DA3</f>
        <v>Gujarat</v>
      </c>
      <c r="DB4" s="156" t="str">
        <f>+DB3</f>
        <v>Shop101</v>
      </c>
      <c r="DC4" s="156"/>
      <c r="DD4" s="156"/>
      <c r="DE4" s="156"/>
      <c r="DF4" s="156"/>
      <c r="DG4" s="157">
        <f>+VALUE(AS3)</f>
        <v>0</v>
      </c>
      <c r="DH4" s="156"/>
      <c r="DI4" s="158"/>
      <c r="DJ4" s="156"/>
      <c r="DK4" s="158"/>
      <c r="DL4" s="156"/>
      <c r="DM4" s="156"/>
    </row>
  </sheetData>
  <sheetProtection algorithmName="SHA-512" hashValue="gs4Sv5xLT47aIiLvShDTJ+5Vej3MYshhZEQHkzJffdY96yLxzPKjKOAQIKoOe1ih5cxcT+0eIGwEy2LW7XD1tA==" saltValue="zlrxsYWk9pXdSFAS7qZI8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13" t="s">
        <v>235</v>
      </c>
      <c r="P1" s="41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7" t="s">
        <v>775</v>
      </c>
      <c r="AE1" s="277" t="s">
        <v>770</v>
      </c>
      <c r="AF1" s="277" t="s">
        <v>54</v>
      </c>
      <c r="AG1" s="277" t="s">
        <v>728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3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774</v>
      </c>
      <c r="AF2" s="85" t="s">
        <v>772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807</v>
      </c>
      <c r="E3" s="8"/>
      <c r="F3" s="8"/>
      <c r="G3" s="9"/>
      <c r="H3" s="10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iqaYcIMkpKCIqUK+J4rN7NJwcF8DytNRuyY7Wh+TXY5si7MhUM2qz26MBkWlnPLMseiTwNUgvwB2Qh6OfibpeQ==" saltValue="17Oc9ARu2iHDnZ16PSbaA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topLeftCell="CY1" workbookViewId="0">
      <selection activeCell="DL3" sqref="DL3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3" t="s">
        <v>245</v>
      </c>
      <c r="O1" s="413" t="s">
        <v>235</v>
      </c>
      <c r="P1" s="41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775</v>
      </c>
      <c r="AE1" s="277" t="s">
        <v>770</v>
      </c>
      <c r="AF1" s="277" t="s">
        <v>54</v>
      </c>
      <c r="AG1" s="277" t="s">
        <v>728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>
        <f>+$A$3</f>
        <v>0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(GST)</v>
      </c>
      <c r="GS1" s="98" t="str">
        <f>+IF(GM1&gt;0,IF(GB1=$EE1,"GST (SRet.)","IGST (SRet.) "),IF(GB1=$EE1,"GST (PRet.)","IGST (PRet.)"))</f>
        <v>GST (SRet.)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3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774</v>
      </c>
      <c r="AF2" s="85" t="s">
        <v>772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857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/>
      <c r="B3" s="63" t="s">
        <v>102</v>
      </c>
      <c r="C3" s="8"/>
      <c r="D3" s="8" t="s">
        <v>902</v>
      </c>
      <c r="E3" s="8"/>
      <c r="F3" s="8"/>
      <c r="G3" s="9"/>
      <c r="H3" s="10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IFERROR(VLOOKUP(AB3,Help!$A$2:$B$136,2,0),"+++++++++")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IF(DE3="+++++++++",AB3,"")</f>
        <v>0</v>
      </c>
    </row>
    <row r="4" spans="1:204" customFormat="1" x14ac:dyDescent="0.25">
      <c r="A4" s="393" t="s">
        <v>155</v>
      </c>
      <c r="B4" s="393" t="s">
        <v>494</v>
      </c>
      <c r="C4" s="393" t="s">
        <v>809</v>
      </c>
      <c r="D4" s="393" t="s">
        <v>158</v>
      </c>
      <c r="E4" s="393" t="s">
        <v>810</v>
      </c>
      <c r="F4" s="393" t="s">
        <v>811</v>
      </c>
      <c r="G4" s="393" t="s">
        <v>236</v>
      </c>
      <c r="H4" s="393" t="s">
        <v>509</v>
      </c>
      <c r="I4" s="393" t="s">
        <v>251</v>
      </c>
      <c r="J4" s="393" t="s">
        <v>302</v>
      </c>
      <c r="K4" s="393" t="s">
        <v>498</v>
      </c>
      <c r="L4" s="393" t="s">
        <v>812</v>
      </c>
      <c r="M4" s="393" t="s">
        <v>813</v>
      </c>
      <c r="N4" s="393" t="s">
        <v>80</v>
      </c>
      <c r="O4" s="393" t="s">
        <v>814</v>
      </c>
      <c r="P4" s="393" t="s">
        <v>409</v>
      </c>
      <c r="Q4" s="393" t="s">
        <v>412</v>
      </c>
      <c r="R4" s="393" t="s">
        <v>410</v>
      </c>
      <c r="S4" s="393" t="s">
        <v>815</v>
      </c>
      <c r="T4" s="393" t="s">
        <v>816</v>
      </c>
      <c r="U4" s="393" t="s">
        <v>505</v>
      </c>
      <c r="V4" s="393" t="s">
        <v>501</v>
      </c>
      <c r="W4" s="393" t="s">
        <v>817</v>
      </c>
      <c r="X4" s="393" t="s">
        <v>818</v>
      </c>
      <c r="Y4" s="393" t="s">
        <v>819</v>
      </c>
      <c r="Z4" s="393" t="s">
        <v>821</v>
      </c>
      <c r="AA4" s="393" t="s">
        <v>822</v>
      </c>
      <c r="AB4" s="393" t="s">
        <v>823</v>
      </c>
      <c r="AC4" s="393" t="s">
        <v>824</v>
      </c>
      <c r="AD4" s="393" t="s">
        <v>825</v>
      </c>
      <c r="AE4" s="393" t="s">
        <v>826</v>
      </c>
      <c r="AF4" s="393" t="s">
        <v>478</v>
      </c>
      <c r="AG4" s="393" t="s">
        <v>820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uxOdd+nXJlYgurPPKTKtBOkUJZRwGBHNc2zqmmOcKCMZc9FEqKXWfjSmWrq8nnCEvJmHaPHuwjvvff2GMWK8g==" saltValue="tmWFmmcjrr1h+BL8Rrf9J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13" t="s">
        <v>235</v>
      </c>
      <c r="P1" s="414"/>
      <c r="AB1">
        <v>0</v>
      </c>
      <c r="AD1" s="277" t="s">
        <v>775</v>
      </c>
      <c r="AE1" s="277" t="s">
        <v>770</v>
      </c>
      <c r="AF1" s="277" t="s">
        <v>54</v>
      </c>
      <c r="AG1" s="277" t="s">
        <v>728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5" t="s">
        <v>16</v>
      </c>
      <c r="AE2" s="85" t="s">
        <v>771</v>
      </c>
      <c r="AF2" s="85" t="s">
        <v>773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VMART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ht="15.75" thickBot="1" x14ac:dyDescent="0.3">
      <c r="A3" s="62" t="s">
        <v>5</v>
      </c>
      <c r="B3" s="63" t="s">
        <v>589</v>
      </c>
      <c r="C3" s="8"/>
      <c r="D3" s="62" t="s">
        <v>737</v>
      </c>
      <c r="E3" s="8"/>
      <c r="F3" s="8"/>
      <c r="G3" s="8"/>
      <c r="H3" s="8"/>
      <c r="I3" s="8"/>
      <c r="J3" s="8"/>
      <c r="K3" s="8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4">
        <f>+VALUE((V3))</f>
        <v>0</v>
      </c>
      <c r="DK3" s="29">
        <f>+VALUE(U3)</f>
        <v>0</v>
      </c>
      <c r="DL3" s="72">
        <f>+IF(B3="sale",VALUE(AF3),VALUE(AF3)*-1)</f>
        <v>0</v>
      </c>
      <c r="DM3" s="72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171" t="s">
        <v>590</v>
      </c>
      <c r="B4" s="172" t="s">
        <v>591</v>
      </c>
      <c r="C4" s="172" t="s">
        <v>592</v>
      </c>
      <c r="D4" s="172" t="s">
        <v>593</v>
      </c>
      <c r="E4" s="172" t="s">
        <v>594</v>
      </c>
      <c r="F4" s="172" t="s">
        <v>595</v>
      </c>
      <c r="G4" s="172" t="s">
        <v>596</v>
      </c>
      <c r="H4" s="172" t="s">
        <v>597</v>
      </c>
      <c r="I4" s="172" t="s">
        <v>598</v>
      </c>
      <c r="J4" s="172" t="s">
        <v>599</v>
      </c>
      <c r="K4" s="172" t="s">
        <v>600</v>
      </c>
      <c r="L4" s="172" t="s">
        <v>601</v>
      </c>
      <c r="M4" s="172" t="s">
        <v>602</v>
      </c>
      <c r="N4" s="172" t="s">
        <v>603</v>
      </c>
      <c r="O4" s="172" t="s">
        <v>604</v>
      </c>
      <c r="P4" s="172" t="s">
        <v>605</v>
      </c>
      <c r="Q4" s="172" t="s">
        <v>606</v>
      </c>
      <c r="R4" s="172" t="s">
        <v>607</v>
      </c>
      <c r="S4" s="172" t="s">
        <v>608</v>
      </c>
      <c r="T4" s="172" t="s">
        <v>609</v>
      </c>
      <c r="U4" s="172" t="s">
        <v>116</v>
      </c>
      <c r="V4" s="172" t="s">
        <v>610</v>
      </c>
      <c r="W4" s="172" t="s">
        <v>412</v>
      </c>
      <c r="X4" s="172" t="s">
        <v>409</v>
      </c>
      <c r="Y4" s="172" t="s">
        <v>410</v>
      </c>
      <c r="Z4" s="172" t="s">
        <v>611</v>
      </c>
      <c r="AA4" s="172" t="s">
        <v>612</v>
      </c>
      <c r="AB4" s="172" t="s">
        <v>613</v>
      </c>
      <c r="AC4" s="172" t="s">
        <v>614</v>
      </c>
      <c r="AD4" s="172" t="s">
        <v>615</v>
      </c>
      <c r="AE4" s="172" t="s">
        <v>616</v>
      </c>
      <c r="AF4" s="172" t="s">
        <v>617</v>
      </c>
      <c r="AG4" s="172" t="s">
        <v>618</v>
      </c>
      <c r="AH4" s="172" t="s">
        <v>619</v>
      </c>
      <c r="AI4" s="172" t="s">
        <v>620</v>
      </c>
      <c r="AJ4" s="172" t="s">
        <v>621</v>
      </c>
      <c r="AK4" s="172" t="s">
        <v>622</v>
      </c>
      <c r="AL4" s="172" t="s">
        <v>623</v>
      </c>
      <c r="AM4" s="172" t="s">
        <v>624</v>
      </c>
      <c r="AN4" s="173"/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 t="str">
        <f>+DA3</f>
        <v>Gujarat</v>
      </c>
      <c r="DB4" s="119" t="str">
        <f>+DB3</f>
        <v>VMART</v>
      </c>
      <c r="DC4" s="120"/>
      <c r="DD4" s="119"/>
      <c r="DE4" s="119"/>
      <c r="DF4" s="120"/>
      <c r="DG4" s="121"/>
      <c r="DH4" s="122"/>
      <c r="DI4" s="123"/>
      <c r="DJ4" s="124"/>
      <c r="DK4" s="123"/>
      <c r="DL4" s="125"/>
      <c r="DM4" s="125"/>
      <c r="DN4" s="119"/>
      <c r="DO4" s="119"/>
      <c r="DP4" s="120"/>
    </row>
  </sheetData>
  <sheetProtection algorithmName="SHA-512" hashValue="u2fmx2eWws+18m27sdkOWVT1GYri9Xu1lGO1YlRMUN25d+Tl+g9iiBvqE16zsJiaV0kNMktASGRokk/TMP3T2Q==" saltValue="xQhS/FU3qReY5tEGaWiS2w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13" t="s">
        <v>235</v>
      </c>
      <c r="P1" s="414"/>
      <c r="AB1">
        <v>0</v>
      </c>
      <c r="AD1" s="277" t="s">
        <v>775</v>
      </c>
      <c r="AE1" s="277" t="s">
        <v>770</v>
      </c>
      <c r="AF1" s="277" t="s">
        <v>54</v>
      </c>
      <c r="AG1" s="277" t="s">
        <v>728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774</v>
      </c>
      <c r="AF2" s="85" t="s">
        <v>772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848</v>
      </c>
      <c r="DB2" s="90" t="s">
        <v>849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847</v>
      </c>
      <c r="C3" s="8"/>
      <c r="D3" s="62" t="s">
        <v>867</v>
      </c>
      <c r="E3" s="8"/>
      <c r="F3" s="8"/>
      <c r="G3" s="8"/>
      <c r="H3" s="8"/>
      <c r="I3" s="8"/>
      <c r="J3" s="8"/>
      <c r="K3" s="73"/>
      <c r="L3" s="8" t="s">
        <v>913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2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2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2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0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356" t="s">
        <v>417</v>
      </c>
      <c r="B4" s="356" t="s">
        <v>418</v>
      </c>
      <c r="C4" s="356" t="s">
        <v>419</v>
      </c>
      <c r="D4" s="356" t="s">
        <v>420</v>
      </c>
      <c r="E4" s="356" t="s">
        <v>421</v>
      </c>
      <c r="F4" s="356" t="s">
        <v>302</v>
      </c>
      <c r="G4" s="356" t="s">
        <v>422</v>
      </c>
      <c r="H4" s="356" t="s">
        <v>423</v>
      </c>
      <c r="I4" s="356" t="s">
        <v>424</v>
      </c>
      <c r="J4" s="356" t="s">
        <v>425</v>
      </c>
      <c r="K4" s="356" t="s">
        <v>426</v>
      </c>
      <c r="L4" s="356" t="s">
        <v>427</v>
      </c>
      <c r="M4" s="356" t="s">
        <v>73</v>
      </c>
      <c r="N4" s="356" t="s">
        <v>428</v>
      </c>
      <c r="O4" s="356" t="s">
        <v>429</v>
      </c>
      <c r="P4" s="356" t="s">
        <v>430</v>
      </c>
      <c r="Q4" s="356" t="s">
        <v>431</v>
      </c>
      <c r="R4" s="356" t="s">
        <v>432</v>
      </c>
      <c r="S4" s="356" t="s">
        <v>433</v>
      </c>
      <c r="T4" s="356" t="s">
        <v>434</v>
      </c>
      <c r="U4" s="356" t="s">
        <v>435</v>
      </c>
      <c r="V4" s="356" t="s">
        <v>436</v>
      </c>
      <c r="W4" s="356" t="s">
        <v>437</v>
      </c>
      <c r="X4" s="356" t="s">
        <v>438</v>
      </c>
      <c r="Y4" s="356" t="s">
        <v>439</v>
      </c>
      <c r="Z4" s="356" t="s">
        <v>409</v>
      </c>
      <c r="AA4" s="356" t="s">
        <v>275</v>
      </c>
      <c r="AB4" s="356" t="s">
        <v>410</v>
      </c>
      <c r="AC4" s="356" t="s">
        <v>440</v>
      </c>
      <c r="AD4" s="356" t="s">
        <v>412</v>
      </c>
      <c r="AE4" s="356" t="s">
        <v>273</v>
      </c>
      <c r="AF4" s="356" t="s">
        <v>411</v>
      </c>
      <c r="AG4" s="356" t="s">
        <v>441</v>
      </c>
      <c r="AH4" s="356" t="s">
        <v>442</v>
      </c>
      <c r="AI4" s="356" t="s">
        <v>443</v>
      </c>
      <c r="AJ4" s="356" t="s">
        <v>444</v>
      </c>
      <c r="AK4" s="356" t="s">
        <v>445</v>
      </c>
      <c r="AL4" s="356" t="s">
        <v>446</v>
      </c>
      <c r="AM4" s="356" t="s">
        <v>447</v>
      </c>
      <c r="AN4" s="356" t="s">
        <v>448</v>
      </c>
      <c r="AO4" s="356" t="s">
        <v>449</v>
      </c>
      <c r="AP4" s="356" t="s">
        <v>450</v>
      </c>
      <c r="AQ4" s="356" t="s">
        <v>451</v>
      </c>
      <c r="AR4" s="356" t="s">
        <v>452</v>
      </c>
      <c r="AS4" s="356" t="s">
        <v>453</v>
      </c>
      <c r="AT4" s="356" t="s">
        <v>454</v>
      </c>
      <c r="AU4" s="356" t="s">
        <v>455</v>
      </c>
      <c r="AV4" s="356" t="s">
        <v>456</v>
      </c>
      <c r="AW4" s="356" t="s">
        <v>457</v>
      </c>
      <c r="AX4" s="356" t="s">
        <v>458</v>
      </c>
      <c r="AY4" s="356" t="s">
        <v>459</v>
      </c>
      <c r="AZ4" s="356" t="s">
        <v>460</v>
      </c>
      <c r="BA4" s="356" t="s">
        <v>461</v>
      </c>
      <c r="BB4" s="356" t="s">
        <v>462</v>
      </c>
      <c r="BC4" s="356" t="s">
        <v>463</v>
      </c>
      <c r="BD4" s="356" t="s">
        <v>464</v>
      </c>
      <c r="BE4" s="356" t="s">
        <v>465</v>
      </c>
      <c r="BF4" s="356" t="s">
        <v>466</v>
      </c>
      <c r="BG4" s="356" t="s">
        <v>467</v>
      </c>
      <c r="BH4" s="356" t="s">
        <v>468</v>
      </c>
      <c r="BI4" s="356" t="s">
        <v>469</v>
      </c>
      <c r="BJ4" s="356" t="s">
        <v>470</v>
      </c>
      <c r="BK4" s="356" t="s">
        <v>471</v>
      </c>
      <c r="BL4" s="356" t="s">
        <v>472</v>
      </c>
      <c r="BM4" s="356" t="s">
        <v>473</v>
      </c>
      <c r="BN4" s="356" t="s">
        <v>474</v>
      </c>
      <c r="BO4" s="356" t="s">
        <v>475</v>
      </c>
      <c r="BP4" s="356" t="s">
        <v>476</v>
      </c>
      <c r="BQ4" s="356" t="s">
        <v>477</v>
      </c>
      <c r="BR4" s="356" t="s">
        <v>478</v>
      </c>
      <c r="BS4" s="356" t="s">
        <v>479</v>
      </c>
      <c r="BT4" s="356" t="s">
        <v>55</v>
      </c>
      <c r="BU4" s="356" t="s">
        <v>480</v>
      </c>
      <c r="BV4" s="356" t="s">
        <v>481</v>
      </c>
      <c r="BW4" s="356" t="s">
        <v>482</v>
      </c>
      <c r="BX4" s="356" t="s">
        <v>483</v>
      </c>
      <c r="BY4" s="356" t="s">
        <v>484</v>
      </c>
      <c r="BZ4" s="356"/>
      <c r="CA4" s="356"/>
      <c r="CB4" s="356"/>
      <c r="CC4" s="356"/>
      <c r="CD4" s="356"/>
      <c r="CE4" s="356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/>
      <c r="DB4" s="123"/>
      <c r="DC4" s="350"/>
      <c r="DD4" s="123"/>
      <c r="DE4" s="123"/>
      <c r="DF4" s="350"/>
      <c r="DG4" s="352"/>
      <c r="DH4" s="123"/>
      <c r="DI4" s="123"/>
      <c r="DJ4" s="351"/>
      <c r="DK4" s="123"/>
      <c r="DL4" s="119"/>
      <c r="DM4" s="125"/>
      <c r="DN4" s="119"/>
      <c r="DO4" s="119"/>
      <c r="DP4" s="120"/>
    </row>
  </sheetData>
  <sheetProtection algorithmName="SHA-512" hashValue="otdQSVLm60SIasUAbqulT0fszdp9+L6Pf1D4osuNM8JGNH6f++DAyBq0WDZBte0tuOzMfFNEGZAl/AuSK4nang==" saltValue="3nTaVVI4AKw70eiCWslNu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2"/>
      <c r="B1" s="283">
        <v>1</v>
      </c>
      <c r="C1" s="284"/>
      <c r="D1" s="285"/>
      <c r="E1" s="286" t="s">
        <v>96</v>
      </c>
      <c r="F1" s="287" t="s">
        <v>87</v>
      </c>
      <c r="G1" s="288" t="s">
        <v>853</v>
      </c>
      <c r="H1" s="289" t="s">
        <v>865</v>
      </c>
      <c r="I1" s="289" t="s">
        <v>866</v>
      </c>
      <c r="J1" s="291" t="s">
        <v>99</v>
      </c>
      <c r="K1" s="292" t="s">
        <v>100</v>
      </c>
      <c r="L1" s="293" t="str">
        <f>+IF(L2=0,"All Data Import Successfully","Difference Entry")</f>
        <v>All Data Import Successfully</v>
      </c>
      <c r="M1" s="307"/>
      <c r="N1" s="83" t="s">
        <v>245</v>
      </c>
      <c r="O1" s="413" t="s">
        <v>235</v>
      </c>
      <c r="P1" s="414"/>
      <c r="AB1">
        <v>0</v>
      </c>
      <c r="AD1" s="277" t="s">
        <v>775</v>
      </c>
      <c r="AE1" s="277" t="s">
        <v>770</v>
      </c>
      <c r="AF1" s="277" t="s">
        <v>54</v>
      </c>
      <c r="AG1" s="277" t="s">
        <v>728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4" t="s">
        <v>85</v>
      </c>
      <c r="B2" s="281" t="s">
        <v>85</v>
      </c>
      <c r="C2" s="281"/>
      <c r="D2" s="295" t="s">
        <v>85</v>
      </c>
      <c r="E2" s="296">
        <f>+COUNTA(A:A)-2</f>
        <v>0</v>
      </c>
      <c r="F2" s="297">
        <f>+COUNTIF($DR:$DR,"Sales")</f>
        <v>0</v>
      </c>
      <c r="G2" s="298">
        <f>+COUNTIF($DR:$DR,"Purchase Return")-1</f>
        <v>0</v>
      </c>
      <c r="H2" s="299">
        <f>SUMIF(DS:DS, "&gt;0")</f>
        <v>0</v>
      </c>
      <c r="I2" s="299">
        <f>SUMIF(DS:DS, "&lt;0")</f>
        <v>0</v>
      </c>
      <c r="J2" s="301">
        <f>+F2+G2</f>
        <v>0</v>
      </c>
      <c r="K2" s="302">
        <f>+SUM(DS:DS)</f>
        <v>0</v>
      </c>
      <c r="L2" s="303">
        <f>+(E2-J2)-COUNTIF(AK:AK,"0")</f>
        <v>0</v>
      </c>
      <c r="M2" s="308"/>
      <c r="N2" s="309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771</v>
      </c>
      <c r="AF2" s="85" t="s">
        <v>773</v>
      </c>
      <c r="AG2" s="85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58" t="s">
        <v>840</v>
      </c>
      <c r="DB2" s="358" t="s">
        <v>759</v>
      </c>
      <c r="DC2" s="358" t="s">
        <v>228</v>
      </c>
      <c r="DD2" s="358" t="s">
        <v>851</v>
      </c>
      <c r="DE2" s="358" t="s">
        <v>761</v>
      </c>
      <c r="DF2" s="358" t="s">
        <v>841</v>
      </c>
      <c r="DG2" s="359" t="s">
        <v>762</v>
      </c>
      <c r="DH2" s="358" t="s">
        <v>763</v>
      </c>
      <c r="DI2" s="358" t="s">
        <v>764</v>
      </c>
      <c r="DJ2" s="358" t="s">
        <v>417</v>
      </c>
      <c r="DK2" s="358" t="s">
        <v>76</v>
      </c>
      <c r="DL2" s="358" t="s">
        <v>400</v>
      </c>
      <c r="DM2" s="358" t="s">
        <v>765</v>
      </c>
      <c r="DN2" s="358" t="s">
        <v>766</v>
      </c>
      <c r="DO2" s="358" t="s">
        <v>767</v>
      </c>
      <c r="DP2" s="358" t="s">
        <v>423</v>
      </c>
      <c r="DQ2" s="358" t="s">
        <v>315</v>
      </c>
      <c r="DR2" s="360" t="s">
        <v>777</v>
      </c>
      <c r="DS2" s="358" t="s">
        <v>106</v>
      </c>
      <c r="DT2" s="358" t="s">
        <v>852</v>
      </c>
      <c r="DU2" s="358" t="s">
        <v>850</v>
      </c>
      <c r="DV2" s="17"/>
      <c r="DW2" s="17"/>
      <c r="DX2" s="17"/>
    </row>
    <row r="3" spans="1:128" customFormat="1" ht="15.75" thickBot="1" x14ac:dyDescent="0.3">
      <c r="A3" s="342"/>
      <c r="B3" s="343"/>
      <c r="C3" s="305"/>
      <c r="D3" s="306" t="s">
        <v>880</v>
      </c>
      <c r="E3" s="341"/>
      <c r="F3" s="344"/>
      <c r="G3" s="341"/>
      <c r="H3" s="305"/>
      <c r="I3" s="348"/>
      <c r="J3" s="346"/>
      <c r="K3" s="349"/>
      <c r="L3" s="347" t="s">
        <v>913</v>
      </c>
      <c r="M3" s="34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769</v>
      </c>
      <c r="DC3" s="29" t="e">
        <f>+VLOOKUP(DD3,Help!$AC$3:$AD$20,2,0)</f>
        <v>#N/A</v>
      </c>
      <c r="DD3" s="202">
        <f>+A3</f>
        <v>0</v>
      </c>
      <c r="DE3" s="202">
        <f>+B3</f>
        <v>0</v>
      </c>
      <c r="DF3" s="29" t="str">
        <f>+L3</f>
        <v>500 - KETAN</v>
      </c>
      <c r="DG3" s="26" t="s">
        <v>757</v>
      </c>
      <c r="DH3" s="29" t="str">
        <f>+IF(DF3=DA3,"GST","IGST")</f>
        <v>IGST</v>
      </c>
      <c r="DI3" s="29" t="s">
        <v>844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4">
        <f>+IF(X3=0,0,W3*100)</f>
        <v>0</v>
      </c>
      <c r="DN3" s="27" t="s">
        <v>85</v>
      </c>
      <c r="DO3" s="202" t="s">
        <v>85</v>
      </c>
      <c r="DP3" s="29">
        <f>+IF(X3=0,0,T3)</f>
        <v>0</v>
      </c>
      <c r="DQ3" s="88" t="e">
        <f>+DS3/DP3</f>
        <v>#DIV/0!</v>
      </c>
      <c r="DR3" s="202" t="str">
        <f>+IF(B3="FC_TRANSFER","Sales","Purchase Return")</f>
        <v>Purchase Return</v>
      </c>
      <c r="DS3" s="381">
        <f>+IF(B3="FC_REMOVAL",VALUE(IF(X3=0,0,V3*-1)),VALUE(IF(X3=0,0,V3)))</f>
        <v>0</v>
      </c>
      <c r="DT3" s="361" t="e">
        <f>+VLOOKUP(DU3,Help!$AC$3:$AD$20,2,0)</f>
        <v>#N/A</v>
      </c>
      <c r="DU3" s="362" t="str">
        <f>+AG3</f>
        <v>Sales</v>
      </c>
      <c r="DV3" s="357"/>
      <c r="DW3" s="357"/>
      <c r="DX3" s="357"/>
    </row>
    <row r="4" spans="1:128" s="2" customFormat="1" x14ac:dyDescent="0.25">
      <c r="A4" s="353" t="s">
        <v>831</v>
      </c>
      <c r="B4" s="353" t="s">
        <v>154</v>
      </c>
      <c r="C4" s="353" t="s">
        <v>522</v>
      </c>
      <c r="D4" s="353" t="s">
        <v>155</v>
      </c>
      <c r="E4" s="353" t="s">
        <v>832</v>
      </c>
      <c r="F4" s="353" t="s">
        <v>170</v>
      </c>
      <c r="G4" s="353" t="s">
        <v>171</v>
      </c>
      <c r="H4" s="353" t="s">
        <v>172</v>
      </c>
      <c r="I4" s="353" t="s">
        <v>173</v>
      </c>
      <c r="J4" s="353" t="s">
        <v>833</v>
      </c>
      <c r="K4" s="353" t="s">
        <v>174</v>
      </c>
      <c r="L4" s="353" t="s">
        <v>175</v>
      </c>
      <c r="M4" s="353" t="s">
        <v>176</v>
      </c>
      <c r="N4" s="353" t="s">
        <v>177</v>
      </c>
      <c r="O4" s="353" t="s">
        <v>152</v>
      </c>
      <c r="P4" s="353" t="s">
        <v>153</v>
      </c>
      <c r="Q4" s="353" t="s">
        <v>376</v>
      </c>
      <c r="R4" s="353" t="s">
        <v>162</v>
      </c>
      <c r="S4" s="353" t="s">
        <v>164</v>
      </c>
      <c r="T4" s="353" t="s">
        <v>160</v>
      </c>
      <c r="U4" s="353" t="s">
        <v>725</v>
      </c>
      <c r="V4" s="353" t="s">
        <v>537</v>
      </c>
      <c r="W4" s="353" t="s">
        <v>184</v>
      </c>
      <c r="X4" s="353" t="s">
        <v>834</v>
      </c>
      <c r="Y4" s="353" t="s">
        <v>182</v>
      </c>
      <c r="Z4" s="353" t="s">
        <v>835</v>
      </c>
      <c r="AA4" s="353" t="s">
        <v>183</v>
      </c>
      <c r="AB4" s="353" t="s">
        <v>836</v>
      </c>
      <c r="AC4" s="353" t="s">
        <v>181</v>
      </c>
      <c r="AD4" s="353" t="s">
        <v>837</v>
      </c>
      <c r="AE4" s="353" t="s">
        <v>185</v>
      </c>
      <c r="AF4" s="353" t="s">
        <v>838</v>
      </c>
      <c r="AG4" s="353" t="s">
        <v>839</v>
      </c>
      <c r="AH4" s="353" t="s">
        <v>231</v>
      </c>
      <c r="AI4" s="353" t="s">
        <v>232</v>
      </c>
      <c r="AJ4" s="353" t="s">
        <v>233</v>
      </c>
      <c r="AK4" s="353" t="s">
        <v>234</v>
      </c>
      <c r="AP4" s="279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4"/>
      <c r="DD4" s="17"/>
      <c r="DE4" s="273"/>
      <c r="DF4" s="17"/>
      <c r="DG4" s="16"/>
      <c r="DH4" s="17"/>
      <c r="DI4" s="274" t="s">
        <v>85</v>
      </c>
      <c r="DJ4" s="17"/>
      <c r="DK4" s="273"/>
      <c r="DL4" s="123"/>
      <c r="DM4" s="280"/>
      <c r="DN4" s="273"/>
      <c r="DO4" s="273"/>
      <c r="DP4" s="274" t="s">
        <v>85</v>
      </c>
      <c r="DS4" s="380"/>
    </row>
  </sheetData>
  <sheetProtection algorithmName="SHA-512" hashValue="LrEhqz0Pel9859hgSAwVrZRaX88pyM/fR4zWudcAHhYog5gZfcQr2L3Q1TjTnNN+vFbahSngcjsV6JXDeI6XlA==" saltValue="uWxwxgUkQYJEQ3waYwjFN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showRuler="0" workbookViewId="0">
      <selection activeCell="E23" sqref="E2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2"/>
      <c r="B1" s="283"/>
      <c r="C1" s="284"/>
      <c r="D1" s="285"/>
      <c r="E1" s="286" t="s">
        <v>96</v>
      </c>
      <c r="F1" s="287" t="s">
        <v>778</v>
      </c>
      <c r="G1" s="288" t="s">
        <v>779</v>
      </c>
      <c r="H1" s="289" t="s">
        <v>780</v>
      </c>
      <c r="I1" s="290" t="s">
        <v>781</v>
      </c>
      <c r="J1" s="291" t="s">
        <v>99</v>
      </c>
      <c r="K1" s="292" t="s">
        <v>100</v>
      </c>
      <c r="L1" s="293" t="str">
        <f>+IF(L2=0,"All Data Import Successfully","Difference Entry")</f>
        <v>All Data Import Successfully</v>
      </c>
      <c r="M1" s="307"/>
      <c r="N1" s="83" t="s">
        <v>245</v>
      </c>
      <c r="O1" s="413" t="s">
        <v>235</v>
      </c>
      <c r="P1" s="414"/>
      <c r="AB1">
        <v>0</v>
      </c>
      <c r="AD1" s="277" t="s">
        <v>775</v>
      </c>
      <c r="AE1" s="277" t="s">
        <v>770</v>
      </c>
      <c r="AF1" s="277" t="s">
        <v>54</v>
      </c>
      <c r="AG1" s="277" t="s">
        <v>728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4" t="s">
        <v>85</v>
      </c>
      <c r="B2" s="281" t="s">
        <v>85</v>
      </c>
      <c r="C2" s="281"/>
      <c r="D2" s="295" t="s">
        <v>85</v>
      </c>
      <c r="E2" s="296">
        <f>+COUNTA(A:A)-2</f>
        <v>0</v>
      </c>
      <c r="F2" s="297">
        <f>+COUNTIF($DR:$DR,"Purchase")-1</f>
        <v>0</v>
      </c>
      <c r="G2" s="298">
        <f>+COUNTIF($DR:$DR,"GST Expense")</f>
        <v>0</v>
      </c>
      <c r="H2" s="299">
        <f>+COUNTIF($DR:$DR,"Pur CN")</f>
        <v>0</v>
      </c>
      <c r="I2" s="300">
        <f>+COUNTIF($DR:$DR,"Pur DN")</f>
        <v>0</v>
      </c>
      <c r="J2" s="301">
        <f>+F2+G2+H2+I2</f>
        <v>0</v>
      </c>
      <c r="K2" s="302">
        <f>+SUM(DQ:DQ)</f>
        <v>0</v>
      </c>
      <c r="L2" s="303">
        <f>+E2-J2</f>
        <v>0</v>
      </c>
      <c r="M2" s="308"/>
      <c r="N2" s="309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771</v>
      </c>
      <c r="AF2" s="85" t="s">
        <v>773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5" t="s">
        <v>71</v>
      </c>
      <c r="DB2" s="275" t="s">
        <v>759</v>
      </c>
      <c r="DC2" s="275" t="s">
        <v>72</v>
      </c>
      <c r="DD2" s="275" t="s">
        <v>760</v>
      </c>
      <c r="DE2" s="275" t="s">
        <v>761</v>
      </c>
      <c r="DF2" s="275" t="s">
        <v>758</v>
      </c>
      <c r="DG2" s="275" t="s">
        <v>762</v>
      </c>
      <c r="DH2" s="275" t="s">
        <v>763</v>
      </c>
      <c r="DI2" s="275" t="s">
        <v>764</v>
      </c>
      <c r="DJ2" s="275" t="s">
        <v>417</v>
      </c>
      <c r="DK2" s="275" t="s">
        <v>76</v>
      </c>
      <c r="DL2" s="275" t="s">
        <v>400</v>
      </c>
      <c r="DM2" s="275" t="s">
        <v>765</v>
      </c>
      <c r="DN2" s="275" t="s">
        <v>766</v>
      </c>
      <c r="DO2" s="275" t="s">
        <v>767</v>
      </c>
      <c r="DP2" s="275" t="s">
        <v>423</v>
      </c>
      <c r="DQ2" s="275" t="s">
        <v>776</v>
      </c>
      <c r="DR2" s="276" t="s">
        <v>777</v>
      </c>
      <c r="DS2" s="275" t="s">
        <v>768</v>
      </c>
    </row>
    <row r="3" spans="1:137" customFormat="1" ht="15.75" thickBot="1" x14ac:dyDescent="0.3">
      <c r="A3" s="342"/>
      <c r="B3" s="343"/>
      <c r="C3" s="305"/>
      <c r="D3" s="306" t="s">
        <v>85</v>
      </c>
      <c r="E3" s="341"/>
      <c r="F3" s="344"/>
      <c r="G3" s="341"/>
      <c r="H3" s="305"/>
      <c r="I3" s="349" t="s">
        <v>828</v>
      </c>
      <c r="J3" s="391"/>
      <c r="K3" s="349" t="s">
        <v>827</v>
      </c>
      <c r="L3" s="392" t="s">
        <v>913</v>
      </c>
      <c r="M3" s="34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769</v>
      </c>
      <c r="DC3" s="26">
        <f>+B3</f>
        <v>0</v>
      </c>
      <c r="DD3" s="202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757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78">
        <f>+C3</f>
        <v>0</v>
      </c>
      <c r="DL3" s="278" t="str">
        <f>CONCATENATE("GST", " ", DM3, "%", " ", "(", DO3, REPT(" ", 8 - LEN(DO3)), ")")</f>
        <v>GST % (        )</v>
      </c>
      <c r="DM3" s="184" t="str">
        <f>IFERROR(IF(D3="Regular", ROUND(((J3+K3+L3)*100/I3),0), ROUND(((K3+L3+M3)*100/J3),0)),"")</f>
        <v/>
      </c>
      <c r="DN3" s="27" t="s">
        <v>85</v>
      </c>
      <c r="DO3" s="202" t="s">
        <v>85</v>
      </c>
      <c r="DP3" s="29">
        <v>1</v>
      </c>
      <c r="DQ3" s="72">
        <f>+IF(D3="Regular",I3,J3)</f>
        <v>0</v>
      </c>
      <c r="DR3" s="27" t="str">
        <f>+IF(D3="Regular","Purchase",IF(D3="Credit Note","Pur CN","Purchase"))</f>
        <v>Purchase</v>
      </c>
      <c r="DS3" s="118" t="s">
        <v>85</v>
      </c>
    </row>
    <row r="4" spans="1:137" s="2" customFormat="1" ht="24" x14ac:dyDescent="0.25">
      <c r="A4" s="304" t="s">
        <v>741</v>
      </c>
      <c r="B4" s="304" t="s">
        <v>742</v>
      </c>
      <c r="C4" s="272" t="s">
        <v>419</v>
      </c>
      <c r="D4" s="272" t="s">
        <v>752</v>
      </c>
      <c r="E4" s="272" t="s">
        <v>153</v>
      </c>
      <c r="F4" s="272" t="s">
        <v>753</v>
      </c>
      <c r="G4" s="304" t="s">
        <v>743</v>
      </c>
      <c r="H4" s="304" t="s">
        <v>744</v>
      </c>
      <c r="I4" s="304" t="s">
        <v>745</v>
      </c>
      <c r="J4" s="272" t="s">
        <v>900</v>
      </c>
      <c r="K4" s="272" t="s">
        <v>754</v>
      </c>
      <c r="L4" s="272" t="s">
        <v>755</v>
      </c>
      <c r="M4" s="272" t="s">
        <v>756</v>
      </c>
      <c r="N4" s="272" t="s">
        <v>830</v>
      </c>
      <c r="O4" s="272" t="s">
        <v>746</v>
      </c>
      <c r="P4" s="272" t="s">
        <v>747</v>
      </c>
      <c r="Q4" s="272" t="s">
        <v>748</v>
      </c>
      <c r="R4" s="272" t="s">
        <v>749</v>
      </c>
      <c r="S4" s="272" t="s">
        <v>750</v>
      </c>
      <c r="T4" s="272" t="s">
        <v>478</v>
      </c>
      <c r="U4" s="272" t="s">
        <v>751</v>
      </c>
      <c r="V4" s="16"/>
      <c r="AP4" s="279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4"/>
      <c r="DD4" s="17"/>
      <c r="DE4" s="273"/>
      <c r="DF4" s="17"/>
      <c r="DG4" s="17"/>
      <c r="DH4" s="17"/>
      <c r="DI4" s="274" t="s">
        <v>85</v>
      </c>
      <c r="DJ4" s="17"/>
      <c r="DK4" s="273"/>
      <c r="DL4" s="340"/>
      <c r="DM4" s="280"/>
      <c r="DN4" s="273"/>
      <c r="DO4" s="273"/>
      <c r="DP4" s="274" t="s">
        <v>85</v>
      </c>
    </row>
  </sheetData>
  <sheetProtection algorithmName="SHA-512" hashValue="SbzOd9iOgqG9US/0TBW43KmGkw1fKZ45iwzuQdYz0MwbJ34U9HsqoC9JrFwnHRh4aAad60QagBCMAwEbT+9kkw==" saltValue="lpNbyJiS7raG5eis0TsVmg==" spinCount="100000" sheet="1" objects="1" scenarios="1"/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37"/>
  <sheetViews>
    <sheetView showRuler="0" workbookViewId="0">
      <pane ySplit="1" topLeftCell="A2" activePane="bottomLeft" state="frozen"/>
      <selection activeCell="G24" sqref="G24"/>
      <selection pane="bottomLeft" activeCell="D4" sqref="D4"/>
    </sheetView>
  </sheetViews>
  <sheetFormatPr defaultRowHeight="15" x14ac:dyDescent="0.25"/>
  <cols>
    <col min="1" max="2" width="35.7109375" style="139" customWidth="1"/>
    <col min="3" max="3" width="15" style="140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4" t="s">
        <v>104</v>
      </c>
      <c r="B1" s="195" t="s">
        <v>303</v>
      </c>
      <c r="C1" s="181" t="s">
        <v>54</v>
      </c>
      <c r="D1" s="182" t="s">
        <v>55</v>
      </c>
      <c r="E1" s="185" t="s">
        <v>0</v>
      </c>
      <c r="F1" s="186" t="s">
        <v>1</v>
      </c>
      <c r="G1" s="187"/>
      <c r="H1" s="188"/>
      <c r="I1" s="415"/>
      <c r="J1" s="416"/>
      <c r="K1" s="417"/>
      <c r="N1" s="418" t="s">
        <v>789</v>
      </c>
      <c r="O1" s="419"/>
      <c r="P1" s="16"/>
      <c r="T1" s="85">
        <v>7</v>
      </c>
      <c r="U1" s="85">
        <v>6</v>
      </c>
      <c r="V1" s="85">
        <v>5</v>
      </c>
      <c r="W1" s="85">
        <v>4</v>
      </c>
      <c r="X1" s="85">
        <v>3</v>
      </c>
      <c r="Y1" s="85">
        <v>2</v>
      </c>
      <c r="Z1" s="85">
        <v>1</v>
      </c>
      <c r="AD1" s="6"/>
      <c r="AO1" s="366" t="str">
        <f>IF(AP1="",IF(AN1&lt;&gt;"", SUMIFS($L$5:$L$150000, $N$5:$N$150000, AN1), ""),"")</f>
        <v/>
      </c>
      <c r="AP1" s="367" t="str">
        <f>IF(AN1="", "", INDEX($A$5:$A$150000, MATCH(AN1, $N$5:$N$150000, 0)))</f>
        <v/>
      </c>
      <c r="AQ1" s="368" t="str">
        <f>IF(AN1="", "", INDEX($B$5:$B$150000, MATCH(AN1, $N$5:$N$150000, 0)))</f>
        <v/>
      </c>
      <c r="AR1" s="366" t="str">
        <f>IF(AN1="", "", INDEX($C$5:$C$150000, MATCH(AN1, $N$5:$N$150000, 0)))</f>
        <v/>
      </c>
      <c r="AS1" s="366" t="str">
        <f>AY1 &amp; "%" &amp; " (" &amp; AX1 &amp; ")"</f>
        <v>% ()</v>
      </c>
      <c r="AT1" s="368" t="e">
        <f>+IF(AU1="",INDEX($E$5:$E$150000,MATCH(AN1,$N$5:$N$150000,0)),INDEX(Help!$F$2:$F$49,MATCH(VALUE(LEFT(AU1,2)),Help!$E$2:$E$49,0)))</f>
        <v>#N/A</v>
      </c>
      <c r="AU1" s="369" t="str">
        <f>IF(AN1="", "", IFERROR(INDEX($F$5:$F$150000, MATCH(AN1, $N$5:$N$150000, 0)), ""))</f>
        <v/>
      </c>
      <c r="AV1" s="368" t="str">
        <f>IF(AN1="", "", IFERROR(INDEX($O$5:$O$150000, MATCH(AN1, $N$5:$N$150000, 0)), ""))</f>
        <v/>
      </c>
      <c r="AW1" s="367" t="str">
        <f>SUBSTITUTE(AN1,"R-","")</f>
        <v/>
      </c>
      <c r="AX1" s="367" t="str">
        <f>IF($Q1="", "", IFERROR(VALUE(INDEX($I$5:$I$150000, MATCH($Q1, $N$5:$N$150000, 0))), ""))</f>
        <v/>
      </c>
      <c r="AY1" s="367" t="str">
        <f>IF($Q1="", "", IFERROR(INDEX($J$5:$J$150000, MATCH($Q1, $N$5:$N$150000, 0)), ""))</f>
        <v/>
      </c>
      <c r="AZ1" s="367">
        <f>IF(VALUE(SUMIF($N$5:$N$150000,AN1,$K$5:$K$150000))=0, 1, VALUE(SUMIF($N$5:$N$150000,AN1,$K$5:$K$150000)))</f>
        <v>1</v>
      </c>
      <c r="BA1" s="101" t="str">
        <f>IF(AN1="", "", SUMIFS($L$5:$L$150000, $N$5:$N$150000, AN1))</f>
        <v/>
      </c>
      <c r="BB1" s="101" t="str">
        <f>IF(AN1="", "", SUMIFS($M$5:$M$150000, $N$5:$N$150000, AN1))</f>
        <v/>
      </c>
      <c r="BC1" s="326" t="e">
        <f>+BA1/AZ1</f>
        <v>#VALUE!</v>
      </c>
      <c r="BD1" s="102" t="s">
        <v>85</v>
      </c>
      <c r="BE1" s="98" t="e">
        <f>+IF(AT1=AP1,"ECom GST","ECom IGST")</f>
        <v>#N/A</v>
      </c>
    </row>
    <row r="2" spans="1:135" customFormat="1" ht="17.25" x14ac:dyDescent="0.25">
      <c r="A2" s="192" t="s">
        <v>2</v>
      </c>
      <c r="B2" s="193" t="s">
        <v>2</v>
      </c>
      <c r="C2" s="179">
        <v>0</v>
      </c>
      <c r="D2" s="180">
        <v>45645</v>
      </c>
      <c r="E2" s="174">
        <v>37</v>
      </c>
      <c r="F2" s="165" t="s">
        <v>3</v>
      </c>
      <c r="G2" s="165" t="s">
        <v>4</v>
      </c>
      <c r="H2" s="166"/>
      <c r="I2" s="189"/>
      <c r="J2" s="190"/>
      <c r="K2" s="191"/>
      <c r="M2" s="16"/>
      <c r="N2" s="315"/>
      <c r="O2" s="317"/>
      <c r="P2" s="16"/>
      <c r="T2" s="86" t="s">
        <v>86</v>
      </c>
      <c r="U2" s="86" t="s">
        <v>84</v>
      </c>
      <c r="V2" s="86" t="s">
        <v>83</v>
      </c>
      <c r="W2" s="86" t="s">
        <v>238</v>
      </c>
      <c r="X2" s="86" t="s">
        <v>239</v>
      </c>
      <c r="Y2" s="86" t="s">
        <v>240</v>
      </c>
      <c r="Z2" s="86" t="s">
        <v>242</v>
      </c>
      <c r="AA2" s="86" t="s">
        <v>241</v>
      </c>
      <c r="AC2" s="384" t="s">
        <v>842</v>
      </c>
      <c r="AD2" s="385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7" t="s">
        <v>5</v>
      </c>
      <c r="B3" s="176" t="s">
        <v>5</v>
      </c>
      <c r="C3" s="177">
        <v>3</v>
      </c>
      <c r="D3" s="178">
        <v>46465</v>
      </c>
      <c r="E3" s="175">
        <v>555</v>
      </c>
      <c r="F3" s="163" t="s">
        <v>6</v>
      </c>
      <c r="G3" s="163" t="s">
        <v>7</v>
      </c>
      <c r="H3" s="164" t="s">
        <v>101</v>
      </c>
      <c r="I3" s="189"/>
      <c r="J3" s="398"/>
      <c r="K3" s="397"/>
      <c r="L3" t="s">
        <v>913</v>
      </c>
      <c r="M3" s="16"/>
      <c r="N3" s="315"/>
      <c r="O3" s="317"/>
      <c r="P3" s="16"/>
      <c r="T3" s="16" t="s">
        <v>903</v>
      </c>
      <c r="Z3" s="87"/>
      <c r="AA3" s="87"/>
      <c r="AC3" s="386"/>
      <c r="AD3" s="387"/>
    </row>
    <row r="4" spans="1:135" customFormat="1" ht="17.25" x14ac:dyDescent="0.25">
      <c r="A4" s="137" t="s">
        <v>8</v>
      </c>
      <c r="B4" s="176" t="s">
        <v>8</v>
      </c>
      <c r="C4" s="177">
        <v>5</v>
      </c>
      <c r="D4" s="178"/>
      <c r="E4" s="175">
        <v>18</v>
      </c>
      <c r="F4" s="163" t="s">
        <v>9</v>
      </c>
      <c r="G4" s="163" t="s">
        <v>10</v>
      </c>
      <c r="H4" s="164" t="s">
        <v>101</v>
      </c>
      <c r="I4" s="189"/>
      <c r="J4" s="190"/>
      <c r="K4" s="191"/>
      <c r="N4" s="315"/>
      <c r="O4" s="316"/>
      <c r="P4" s="16"/>
      <c r="T4" s="87"/>
      <c r="Z4" s="87"/>
      <c r="AA4" s="87"/>
      <c r="AC4" s="386"/>
      <c r="AD4" s="387"/>
    </row>
    <row r="5" spans="1:135" customFormat="1" ht="17.25" x14ac:dyDescent="0.25">
      <c r="A5" s="225" t="s">
        <v>11</v>
      </c>
      <c r="B5" s="226" t="s">
        <v>11</v>
      </c>
      <c r="C5" s="227">
        <v>12</v>
      </c>
      <c r="D5" s="228"/>
      <c r="E5" s="229">
        <v>555</v>
      </c>
      <c r="F5" s="230" t="s">
        <v>12</v>
      </c>
      <c r="G5" s="230" t="s">
        <v>13</v>
      </c>
      <c r="H5" s="231" t="s">
        <v>101</v>
      </c>
      <c r="I5" s="232"/>
      <c r="J5" s="233"/>
      <c r="K5" s="234"/>
      <c r="L5" s="16"/>
      <c r="M5" s="17"/>
      <c r="N5" s="315"/>
      <c r="O5" s="317"/>
      <c r="P5" s="16"/>
      <c r="Q5" s="16"/>
      <c r="R5" s="16"/>
      <c r="S5" s="16"/>
      <c r="T5" s="87"/>
      <c r="Z5" s="87"/>
      <c r="AA5" s="87"/>
      <c r="AB5" s="16"/>
      <c r="AC5" s="386"/>
      <c r="AD5" s="387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5" t="s">
        <v>5</v>
      </c>
      <c r="DB5" s="235" t="s">
        <v>84</v>
      </c>
      <c r="DC5" s="236" t="s">
        <v>85</v>
      </c>
      <c r="DD5" s="235" t="s">
        <v>491</v>
      </c>
      <c r="DE5" s="235" t="s">
        <v>491</v>
      </c>
      <c r="DF5" s="236" t="s">
        <v>85</v>
      </c>
      <c r="DG5" s="237" t="e">
        <v>#VALUE!</v>
      </c>
      <c r="DH5" s="235">
        <v>9648.5200000000677</v>
      </c>
      <c r="DI5" s="238" t="e">
        <v>#N/A</v>
      </c>
      <c r="DJ5" s="235">
        <v>0</v>
      </c>
      <c r="DK5" s="239" t="s">
        <v>85</v>
      </c>
      <c r="DL5" s="240">
        <v>0</v>
      </c>
      <c r="DM5" s="240">
        <v>0</v>
      </c>
      <c r="DN5" s="235" t="s">
        <v>493</v>
      </c>
      <c r="DO5" s="235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5" t="s">
        <v>12</v>
      </c>
      <c r="B6" s="226" t="s">
        <v>12</v>
      </c>
      <c r="C6" s="227">
        <v>18</v>
      </c>
      <c r="D6" s="228"/>
      <c r="E6" s="229">
        <v>22</v>
      </c>
      <c r="F6" s="230" t="s">
        <v>46</v>
      </c>
      <c r="G6" s="230" t="s">
        <v>318</v>
      </c>
      <c r="H6" s="231" t="s">
        <v>101</v>
      </c>
      <c r="I6" s="232"/>
      <c r="J6" s="233"/>
      <c r="K6" s="234"/>
      <c r="L6" s="16"/>
      <c r="M6" s="16"/>
      <c r="N6" s="319" t="s">
        <v>783</v>
      </c>
      <c r="O6" s="320"/>
      <c r="P6" s="16"/>
      <c r="Q6" s="16"/>
      <c r="R6" s="16"/>
      <c r="S6" s="16"/>
      <c r="T6" s="87"/>
      <c r="U6" s="87"/>
      <c r="Z6" s="87"/>
      <c r="AA6" s="87"/>
      <c r="AB6" s="16"/>
      <c r="AC6" s="386"/>
      <c r="AD6" s="387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5" t="s">
        <v>14</v>
      </c>
      <c r="B7" s="226" t="s">
        <v>14</v>
      </c>
      <c r="C7" s="241">
        <v>28</v>
      </c>
      <c r="D7" s="242"/>
      <c r="E7" s="229">
        <v>7</v>
      </c>
      <c r="F7" s="230" t="s">
        <v>15</v>
      </c>
      <c r="G7" s="230" t="s">
        <v>16</v>
      </c>
      <c r="H7" s="231" t="s">
        <v>101</v>
      </c>
      <c r="I7" s="232"/>
      <c r="J7" s="233"/>
      <c r="K7" s="234"/>
      <c r="L7" s="318" t="s">
        <v>806</v>
      </c>
      <c r="M7" s="318" t="b">
        <v>1</v>
      </c>
      <c r="N7" s="319" t="s">
        <v>72</v>
      </c>
      <c r="O7" s="320"/>
      <c r="P7" s="16"/>
      <c r="Q7" s="16"/>
      <c r="R7" s="16"/>
      <c r="S7" s="16"/>
      <c r="T7" s="87"/>
      <c r="Z7" s="87"/>
      <c r="AA7" s="87"/>
      <c r="AB7" s="16"/>
      <c r="AC7" s="386"/>
      <c r="AD7" s="387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5" t="s">
        <v>17</v>
      </c>
      <c r="B8" s="243" t="s">
        <v>17</v>
      </c>
      <c r="C8" s="244" t="str">
        <f t="shared" ref="C8:C21" si="0">+IFERROR(IF(B8="","",(VLOOKUP(B8,$F$2:$H$55,3,0))),"State Wrong")</f>
        <v>OK</v>
      </c>
      <c r="D8" s="16"/>
      <c r="E8" s="245">
        <v>30</v>
      </c>
      <c r="F8" s="230" t="s">
        <v>18</v>
      </c>
      <c r="G8" s="230" t="s">
        <v>19</v>
      </c>
      <c r="H8" s="231" t="s">
        <v>101</v>
      </c>
      <c r="I8" s="232"/>
      <c r="J8" s="233"/>
      <c r="K8" s="234"/>
      <c r="L8" s="318" t="s">
        <v>805</v>
      </c>
      <c r="M8" s="318" t="b">
        <v>1</v>
      </c>
      <c r="N8" s="319" t="s">
        <v>784</v>
      </c>
      <c r="O8" s="320"/>
      <c r="P8" s="16"/>
      <c r="Q8" s="16"/>
      <c r="R8" s="16"/>
      <c r="S8" s="16"/>
      <c r="T8" s="87"/>
      <c r="Z8" s="87"/>
      <c r="AA8" s="87"/>
      <c r="AB8" s="16"/>
      <c r="AC8" s="386"/>
      <c r="AD8" s="387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5" t="s">
        <v>20</v>
      </c>
      <c r="B9" s="243" t="s">
        <v>20</v>
      </c>
      <c r="C9" s="140" t="str">
        <f t="shared" si="0"/>
        <v>OK</v>
      </c>
      <c r="D9" s="16"/>
      <c r="E9" s="245">
        <v>24</v>
      </c>
      <c r="F9" s="230" t="s">
        <v>5</v>
      </c>
      <c r="G9" s="230" t="s">
        <v>21</v>
      </c>
      <c r="H9" s="231" t="s">
        <v>101</v>
      </c>
      <c r="I9" s="232"/>
      <c r="J9" s="233"/>
      <c r="K9" s="234"/>
      <c r="L9" s="318" t="s">
        <v>790</v>
      </c>
      <c r="M9" s="318" t="b">
        <v>0</v>
      </c>
      <c r="N9" s="319" t="s">
        <v>785</v>
      </c>
      <c r="O9" s="321"/>
      <c r="P9" s="16"/>
      <c r="Q9" s="16"/>
      <c r="R9" s="16"/>
      <c r="S9" s="16"/>
      <c r="T9" s="87"/>
      <c r="W9" s="87"/>
      <c r="X9" s="87"/>
      <c r="Z9" s="87"/>
      <c r="AA9" s="87"/>
      <c r="AB9" s="16"/>
      <c r="AC9" s="386"/>
      <c r="AD9" s="387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8" t="s">
        <v>144</v>
      </c>
      <c r="B10" s="246" t="s">
        <v>66</v>
      </c>
      <c r="C10" s="140" t="str">
        <f t="shared" si="0"/>
        <v>OK</v>
      </c>
      <c r="D10" s="16"/>
      <c r="E10" s="245">
        <v>6</v>
      </c>
      <c r="F10" s="230" t="s">
        <v>23</v>
      </c>
      <c r="G10" s="230" t="s">
        <v>24</v>
      </c>
      <c r="H10" s="231" t="s">
        <v>101</v>
      </c>
      <c r="I10" s="232"/>
      <c r="J10" s="233"/>
      <c r="K10" s="234"/>
      <c r="L10" s="318" t="s">
        <v>890</v>
      </c>
      <c r="M10" s="318" t="b">
        <v>0</v>
      </c>
      <c r="N10" s="319" t="s">
        <v>787</v>
      </c>
      <c r="O10" s="320"/>
      <c r="P10" s="16"/>
      <c r="Q10" s="16"/>
      <c r="R10" s="16"/>
      <c r="S10" s="16"/>
      <c r="T10" s="87"/>
      <c r="U10" s="87"/>
      <c r="W10" s="87"/>
      <c r="X10" s="87"/>
      <c r="Z10" s="87"/>
      <c r="AA10" s="87"/>
      <c r="AB10" s="16"/>
      <c r="AC10" s="386"/>
      <c r="AD10" s="387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5" t="s">
        <v>22</v>
      </c>
      <c r="B11" s="243" t="s">
        <v>50</v>
      </c>
      <c r="C11" s="140" t="str">
        <f t="shared" si="0"/>
        <v>OK</v>
      </c>
      <c r="D11" s="16"/>
      <c r="E11" s="245">
        <v>2</v>
      </c>
      <c r="F11" s="230" t="s">
        <v>26</v>
      </c>
      <c r="G11" s="230" t="s">
        <v>27</v>
      </c>
      <c r="H11" s="231" t="s">
        <v>101</v>
      </c>
      <c r="I11" s="232"/>
      <c r="J11" s="233"/>
      <c r="K11" s="234"/>
      <c r="L11" s="318" t="s">
        <v>791</v>
      </c>
      <c r="M11" s="318" t="b">
        <v>0</v>
      </c>
      <c r="N11" s="319" t="s">
        <v>788</v>
      </c>
      <c r="O11" s="321"/>
      <c r="P11" s="16"/>
      <c r="Q11" s="16"/>
      <c r="R11" s="16"/>
      <c r="S11" s="16"/>
      <c r="AA11" s="87"/>
      <c r="AB11" s="16"/>
      <c r="AC11" s="388"/>
      <c r="AD11" s="387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5" t="s">
        <v>25</v>
      </c>
      <c r="B12" s="243" t="s">
        <v>25</v>
      </c>
      <c r="C12" s="140" t="str">
        <f t="shared" si="0"/>
        <v>OK</v>
      </c>
      <c r="D12" s="16"/>
      <c r="E12" s="245">
        <v>1</v>
      </c>
      <c r="F12" s="230" t="s">
        <v>29</v>
      </c>
      <c r="G12" s="230" t="s">
        <v>30</v>
      </c>
      <c r="H12" s="231" t="s">
        <v>101</v>
      </c>
      <c r="I12" s="232"/>
      <c r="J12" s="233"/>
      <c r="K12" s="234"/>
      <c r="L12" s="16" t="s">
        <v>879</v>
      </c>
      <c r="M12" s="318" t="b">
        <v>0</v>
      </c>
      <c r="N12" s="319" t="s">
        <v>786</v>
      </c>
      <c r="O12" s="321"/>
      <c r="P12" s="16"/>
      <c r="Q12" s="16"/>
      <c r="R12" s="16"/>
      <c r="S12" s="16"/>
      <c r="T12" s="87"/>
      <c r="U12" s="87"/>
      <c r="Z12" s="87"/>
      <c r="AA12" s="87"/>
      <c r="AB12" s="16"/>
      <c r="AC12" s="388"/>
      <c r="AD12" s="387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5" t="s">
        <v>28</v>
      </c>
      <c r="B13" s="243" t="s">
        <v>28</v>
      </c>
      <c r="C13" s="140" t="str">
        <f t="shared" si="0"/>
        <v>OK</v>
      </c>
      <c r="D13" s="16"/>
      <c r="E13" s="245">
        <v>20</v>
      </c>
      <c r="F13" s="230" t="s">
        <v>8</v>
      </c>
      <c r="G13" s="230" t="s">
        <v>32</v>
      </c>
      <c r="H13" s="231" t="s">
        <v>101</v>
      </c>
      <c r="I13" s="232"/>
      <c r="J13" s="233"/>
      <c r="K13" s="234"/>
      <c r="L13" s="318" t="s">
        <v>792</v>
      </c>
      <c r="M13" s="318" t="b">
        <v>0</v>
      </c>
      <c r="N13" s="322" t="s">
        <v>808</v>
      </c>
      <c r="O13" s="325"/>
      <c r="P13" s="16"/>
      <c r="Q13" s="16"/>
      <c r="R13" s="16"/>
      <c r="S13" s="16"/>
      <c r="T13" s="82"/>
      <c r="Z13" s="82"/>
      <c r="AA13" s="87"/>
      <c r="AB13" s="16"/>
      <c r="AC13" s="388"/>
      <c r="AD13" s="387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5" t="s">
        <v>31</v>
      </c>
      <c r="B14" s="243" t="s">
        <v>31</v>
      </c>
      <c r="C14" s="140" t="str">
        <f t="shared" si="0"/>
        <v>OK</v>
      </c>
      <c r="D14" s="16"/>
      <c r="E14" s="245">
        <v>29</v>
      </c>
      <c r="F14" s="230" t="s">
        <v>14</v>
      </c>
      <c r="G14" s="230" t="s">
        <v>34</v>
      </c>
      <c r="H14" s="231" t="s">
        <v>101</v>
      </c>
      <c r="I14" s="232"/>
      <c r="J14" s="233"/>
      <c r="K14" s="234"/>
      <c r="L14" s="318" t="s">
        <v>793</v>
      </c>
      <c r="M14" s="318" t="b">
        <v>0</v>
      </c>
      <c r="N14" s="324"/>
      <c r="O14" s="18"/>
      <c r="P14" s="16"/>
      <c r="Q14" s="16"/>
      <c r="R14" s="16"/>
      <c r="S14" s="16"/>
      <c r="T14" s="82"/>
      <c r="Z14" s="82"/>
      <c r="AA14" s="87"/>
      <c r="AB14" s="16"/>
      <c r="AC14" s="388"/>
      <c r="AD14" s="387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5" t="s">
        <v>33</v>
      </c>
      <c r="B15" s="243" t="s">
        <v>33</v>
      </c>
      <c r="C15" s="140" t="str">
        <f t="shared" si="0"/>
        <v>OK</v>
      </c>
      <c r="D15" s="16"/>
      <c r="E15" s="245">
        <v>32</v>
      </c>
      <c r="F15" s="230" t="s">
        <v>11</v>
      </c>
      <c r="G15" s="230" t="s">
        <v>35</v>
      </c>
      <c r="H15" s="231" t="s">
        <v>101</v>
      </c>
      <c r="I15" s="232"/>
      <c r="J15" s="233"/>
      <c r="K15" s="234"/>
      <c r="L15" s="318" t="s">
        <v>794</v>
      </c>
      <c r="M15" s="318" t="b">
        <v>0</v>
      </c>
      <c r="N15" s="16"/>
      <c r="O15" s="16"/>
      <c r="P15" s="16"/>
      <c r="Q15" s="16"/>
      <c r="R15" s="16"/>
      <c r="S15" s="16"/>
      <c r="T15" s="87"/>
      <c r="U15" s="87"/>
      <c r="Z15" s="87"/>
      <c r="AA15" s="87"/>
      <c r="AB15" s="16"/>
      <c r="AC15" s="388"/>
      <c r="AD15" s="387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5" t="s">
        <v>3</v>
      </c>
      <c r="B16" s="243" t="s">
        <v>3</v>
      </c>
      <c r="C16" s="140">
        <f t="shared" si="0"/>
        <v>0</v>
      </c>
      <c r="D16" s="16"/>
      <c r="E16" s="245">
        <v>31</v>
      </c>
      <c r="F16" s="230" t="s">
        <v>319</v>
      </c>
      <c r="G16" s="230" t="s">
        <v>320</v>
      </c>
      <c r="H16" s="231" t="s">
        <v>101</v>
      </c>
      <c r="I16" s="232"/>
      <c r="J16" s="233"/>
      <c r="K16" s="234"/>
      <c r="L16" s="318" t="s">
        <v>795</v>
      </c>
      <c r="M16" s="318" t="b">
        <v>0</v>
      </c>
      <c r="N16" s="16"/>
      <c r="O16" s="313"/>
      <c r="P16" s="16"/>
      <c r="Q16" s="16"/>
      <c r="R16" s="16"/>
      <c r="S16" s="16"/>
      <c r="AA16" s="87"/>
      <c r="AB16" s="16"/>
      <c r="AC16" s="388"/>
      <c r="AD16" s="387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5" t="s">
        <v>36</v>
      </c>
      <c r="B17" s="243" t="s">
        <v>51</v>
      </c>
      <c r="C17" s="140" t="str">
        <f t="shared" si="0"/>
        <v>OK</v>
      </c>
      <c r="D17" s="16"/>
      <c r="E17" s="245">
        <v>23</v>
      </c>
      <c r="F17" s="230" t="s">
        <v>17</v>
      </c>
      <c r="G17" s="230" t="s">
        <v>38</v>
      </c>
      <c r="H17" s="231" t="s">
        <v>101</v>
      </c>
      <c r="I17" s="232"/>
      <c r="J17" s="233"/>
      <c r="K17" s="234"/>
      <c r="L17" s="318" t="s">
        <v>891</v>
      </c>
      <c r="M17" s="318" t="b">
        <v>0</v>
      </c>
      <c r="N17" s="16" t="s">
        <v>892</v>
      </c>
      <c r="O17" s="179">
        <v>0</v>
      </c>
      <c r="P17" s="16"/>
      <c r="Q17" s="16"/>
      <c r="R17" s="16"/>
      <c r="S17" s="16"/>
      <c r="T17" s="87"/>
      <c r="U17" s="87"/>
      <c r="Z17" s="87"/>
      <c r="AA17" s="87"/>
      <c r="AB17" s="16"/>
      <c r="AC17" s="388"/>
      <c r="AD17" s="387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5" t="s">
        <v>37</v>
      </c>
      <c r="B18" s="243" t="s">
        <v>37</v>
      </c>
      <c r="C18" s="140" t="str">
        <f t="shared" si="0"/>
        <v>OK</v>
      </c>
      <c r="D18" s="16"/>
      <c r="E18" s="245">
        <v>27</v>
      </c>
      <c r="F18" s="230" t="s">
        <v>2</v>
      </c>
      <c r="G18" s="230" t="s">
        <v>40</v>
      </c>
      <c r="H18" s="231" t="s">
        <v>101</v>
      </c>
      <c r="I18" s="232"/>
      <c r="J18" s="233"/>
      <c r="K18" s="234"/>
      <c r="L18" s="318" t="s">
        <v>798</v>
      </c>
      <c r="M18" s="318" t="b">
        <v>0</v>
      </c>
      <c r="N18" s="16" t="s">
        <v>893</v>
      </c>
      <c r="O18" s="177">
        <v>3</v>
      </c>
      <c r="P18" s="16"/>
      <c r="Q18" s="16"/>
      <c r="R18" s="16"/>
      <c r="S18" s="16"/>
      <c r="AA18" s="87"/>
      <c r="AB18" s="16"/>
      <c r="AC18" s="388"/>
      <c r="AD18" s="387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5" t="s">
        <v>39</v>
      </c>
      <c r="B19" s="243" t="s">
        <v>39</v>
      </c>
      <c r="C19" s="140" t="str">
        <f t="shared" si="0"/>
        <v>OK</v>
      </c>
      <c r="D19" s="16"/>
      <c r="E19" s="245">
        <v>14</v>
      </c>
      <c r="F19" s="230" t="s">
        <v>39</v>
      </c>
      <c r="G19" s="230" t="s">
        <v>41</v>
      </c>
      <c r="H19" s="231" t="s">
        <v>101</v>
      </c>
      <c r="I19" s="232"/>
      <c r="J19" s="233"/>
      <c r="K19" s="234"/>
      <c r="L19" s="318" t="s">
        <v>796</v>
      </c>
      <c r="M19" s="318" t="b">
        <v>0</v>
      </c>
      <c r="N19" s="16" t="s">
        <v>894</v>
      </c>
      <c r="O19" s="177">
        <v>5</v>
      </c>
      <c r="P19" s="16"/>
      <c r="Q19" s="16"/>
      <c r="R19" s="16"/>
      <c r="S19" s="16"/>
      <c r="T19" s="87"/>
      <c r="U19" s="87"/>
      <c r="Z19" s="87"/>
      <c r="AA19" s="87"/>
      <c r="AB19" s="16"/>
      <c r="AC19" s="388"/>
      <c r="AD19" s="387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5" t="s">
        <v>15</v>
      </c>
      <c r="B20" s="243" t="s">
        <v>15</v>
      </c>
      <c r="C20" s="140" t="str">
        <f t="shared" si="0"/>
        <v>OK</v>
      </c>
      <c r="D20" s="16"/>
      <c r="E20" s="245">
        <v>17</v>
      </c>
      <c r="F20" s="230" t="s">
        <v>42</v>
      </c>
      <c r="G20" s="230" t="s">
        <v>43</v>
      </c>
      <c r="H20" s="231" t="s">
        <v>101</v>
      </c>
      <c r="I20" s="232"/>
      <c r="J20" s="233"/>
      <c r="K20" s="234"/>
      <c r="L20" s="318" t="s">
        <v>797</v>
      </c>
      <c r="M20" s="318" t="b">
        <v>1</v>
      </c>
      <c r="N20" s="16" t="s">
        <v>895</v>
      </c>
      <c r="O20" s="227">
        <v>12</v>
      </c>
      <c r="P20" s="16"/>
      <c r="Q20" s="16"/>
      <c r="R20" s="16"/>
      <c r="S20" s="16"/>
      <c r="AA20" s="87"/>
      <c r="AB20" s="16"/>
      <c r="AC20" s="388"/>
      <c r="AD20" s="387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5" t="s">
        <v>9</v>
      </c>
      <c r="B21" s="243" t="s">
        <v>9</v>
      </c>
      <c r="C21" s="140" t="str">
        <f t="shared" si="0"/>
        <v>OK</v>
      </c>
      <c r="D21" s="16"/>
      <c r="E21" s="245">
        <v>15</v>
      </c>
      <c r="F21" s="230" t="s">
        <v>44</v>
      </c>
      <c r="G21" s="230" t="s">
        <v>45</v>
      </c>
      <c r="H21" s="231" t="s">
        <v>101</v>
      </c>
      <c r="I21" s="232"/>
      <c r="J21" s="233"/>
      <c r="K21" s="234"/>
      <c r="L21" s="318" t="s">
        <v>799</v>
      </c>
      <c r="M21" s="318" t="b">
        <v>1</v>
      </c>
      <c r="N21" s="16" t="s">
        <v>896</v>
      </c>
      <c r="O21" s="227">
        <v>18</v>
      </c>
      <c r="P21" s="16"/>
      <c r="Q21" s="16"/>
      <c r="R21" s="16"/>
      <c r="S21" s="16"/>
      <c r="T21" s="87"/>
      <c r="Z21" s="87"/>
      <c r="AA21" s="87"/>
      <c r="AB21" s="16"/>
      <c r="AC21" s="388"/>
      <c r="AD21" s="387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5" t="s">
        <v>23</v>
      </c>
      <c r="B22" s="243" t="s">
        <v>23</v>
      </c>
      <c r="C22" s="140" t="str">
        <f t="shared" ref="C22:C76" si="1">+IFERROR(IF(B22="","",(VLOOKUP(B22,$F$2:$H$55,3,0))),"State Wrong")</f>
        <v>OK</v>
      </c>
      <c r="D22" s="16"/>
      <c r="E22" s="245">
        <v>13</v>
      </c>
      <c r="F22" s="230" t="s">
        <v>47</v>
      </c>
      <c r="G22" s="230" t="s">
        <v>48</v>
      </c>
      <c r="H22" s="231" t="s">
        <v>101</v>
      </c>
      <c r="I22" s="232"/>
      <c r="J22" s="233"/>
      <c r="K22" s="234"/>
      <c r="L22" s="318" t="s">
        <v>800</v>
      </c>
      <c r="M22" s="318" t="b">
        <v>0</v>
      </c>
      <c r="N22" s="16" t="s">
        <v>897</v>
      </c>
      <c r="O22" s="241">
        <v>28</v>
      </c>
      <c r="P22" s="16"/>
      <c r="Q22" s="16"/>
      <c r="R22" s="16"/>
      <c r="S22" s="16"/>
      <c r="T22" s="87"/>
      <c r="U22" s="87"/>
      <c r="Z22" s="87"/>
      <c r="AA22" s="87"/>
      <c r="AB22" s="16"/>
      <c r="AC22" s="389"/>
      <c r="AD22" s="390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5" t="s">
        <v>46</v>
      </c>
      <c r="B23" s="243" t="s">
        <v>46</v>
      </c>
      <c r="C23" s="140" t="str">
        <f t="shared" si="1"/>
        <v>OK</v>
      </c>
      <c r="D23" s="16"/>
      <c r="E23" s="245">
        <v>21</v>
      </c>
      <c r="F23" s="230" t="s">
        <v>50</v>
      </c>
      <c r="G23" s="230" t="s">
        <v>321</v>
      </c>
      <c r="H23" s="231" t="s">
        <v>101</v>
      </c>
      <c r="I23" s="232"/>
      <c r="J23" s="233"/>
      <c r="K23" s="234"/>
      <c r="L23" s="318" t="s">
        <v>801</v>
      </c>
      <c r="M23" s="318" t="b">
        <v>0</v>
      </c>
      <c r="N23" s="16"/>
      <c r="O23" s="16"/>
      <c r="P23" s="16"/>
      <c r="Q23" s="16"/>
      <c r="R23" s="16"/>
      <c r="S23" s="16"/>
      <c r="T23" s="87"/>
      <c r="U23" s="87"/>
      <c r="Z23" s="87"/>
      <c r="AA23" s="87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5" t="s">
        <v>49</v>
      </c>
      <c r="B24" s="243" t="s">
        <v>49</v>
      </c>
      <c r="C24" s="140" t="str">
        <f t="shared" si="1"/>
        <v>OK</v>
      </c>
      <c r="D24" s="16"/>
      <c r="E24" s="245">
        <v>34</v>
      </c>
      <c r="F24" s="230" t="s">
        <v>51</v>
      </c>
      <c r="G24" s="230" t="s">
        <v>52</v>
      </c>
      <c r="H24" s="231" t="s">
        <v>101</v>
      </c>
      <c r="I24" s="232"/>
      <c r="J24" s="233"/>
      <c r="K24" s="234"/>
      <c r="L24" s="318" t="s">
        <v>802</v>
      </c>
      <c r="M24" s="318" t="b">
        <v>0</v>
      </c>
      <c r="N24" s="16"/>
      <c r="O24" s="16"/>
      <c r="P24" s="16"/>
      <c r="Q24" s="16"/>
      <c r="R24" s="16"/>
      <c r="S24" s="16"/>
      <c r="T24" s="87"/>
      <c r="Z24" s="87"/>
      <c r="AA24" s="87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5" t="s">
        <v>18</v>
      </c>
      <c r="B25" s="243" t="s">
        <v>18</v>
      </c>
      <c r="C25" s="140" t="str">
        <f t="shared" si="1"/>
        <v>OK</v>
      </c>
      <c r="D25" s="16"/>
      <c r="E25" s="245">
        <v>3</v>
      </c>
      <c r="F25" s="230" t="s">
        <v>33</v>
      </c>
      <c r="G25" s="230" t="s">
        <v>56</v>
      </c>
      <c r="H25" s="231" t="s">
        <v>101</v>
      </c>
      <c r="I25" s="232"/>
      <c r="J25" s="233"/>
      <c r="K25" s="234"/>
      <c r="L25" s="318" t="s">
        <v>829</v>
      </c>
      <c r="M25" s="16" t="b">
        <v>0</v>
      </c>
      <c r="N25" s="16"/>
      <c r="O25" s="16"/>
      <c r="P25" s="16"/>
      <c r="Q25" s="16"/>
      <c r="R25" s="16"/>
      <c r="S25" s="16"/>
      <c r="T25" s="87"/>
      <c r="Z25" s="87"/>
      <c r="AA25" s="87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5" t="s">
        <v>53</v>
      </c>
      <c r="B26" s="243" t="s">
        <v>53</v>
      </c>
      <c r="C26" s="140" t="str">
        <f t="shared" si="1"/>
        <v>OK</v>
      </c>
      <c r="D26" s="16"/>
      <c r="E26" s="245">
        <v>8</v>
      </c>
      <c r="F26" s="230" t="s">
        <v>20</v>
      </c>
      <c r="G26" s="230" t="s">
        <v>57</v>
      </c>
      <c r="H26" s="231" t="s">
        <v>101</v>
      </c>
      <c r="I26" s="232"/>
      <c r="J26" s="233"/>
      <c r="K26" s="234"/>
      <c r="L26" s="318" t="s">
        <v>803</v>
      </c>
      <c r="M26" s="16" t="b">
        <v>0</v>
      </c>
      <c r="N26" s="16"/>
      <c r="O26" s="16"/>
      <c r="P26" s="16"/>
      <c r="Q26" s="16"/>
      <c r="R26" s="16"/>
      <c r="S26" s="16"/>
      <c r="T26" s="87"/>
      <c r="Z26" s="87"/>
      <c r="AA26" s="87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5" t="s">
        <v>47</v>
      </c>
      <c r="B27" s="243" t="s">
        <v>47</v>
      </c>
      <c r="C27" s="140" t="str">
        <f t="shared" si="1"/>
        <v>OK</v>
      </c>
      <c r="D27" s="16"/>
      <c r="E27" s="245">
        <v>11</v>
      </c>
      <c r="F27" s="230" t="s">
        <v>59</v>
      </c>
      <c r="G27" s="230" t="s">
        <v>60</v>
      </c>
      <c r="H27" s="231" t="s">
        <v>101</v>
      </c>
      <c r="I27" s="232"/>
      <c r="J27" s="233"/>
      <c r="K27" s="234"/>
      <c r="L27" s="318" t="s">
        <v>846</v>
      </c>
      <c r="M27" s="16" t="b">
        <v>0</v>
      </c>
      <c r="N27" s="16"/>
      <c r="O27" s="16"/>
      <c r="P27" s="16"/>
      <c r="Q27" s="16"/>
      <c r="R27" s="16"/>
      <c r="S27" s="16"/>
      <c r="T27" s="87"/>
      <c r="Z27" s="87"/>
      <c r="AA27" s="87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5" t="s">
        <v>58</v>
      </c>
      <c r="B28" s="243" t="s">
        <v>58</v>
      </c>
      <c r="C28" s="140" t="str">
        <f t="shared" si="1"/>
        <v>OK</v>
      </c>
      <c r="D28" s="16"/>
      <c r="E28" s="245">
        <v>33</v>
      </c>
      <c r="F28" s="230" t="s">
        <v>28</v>
      </c>
      <c r="G28" s="230" t="s">
        <v>61</v>
      </c>
      <c r="H28" s="231" t="s">
        <v>101</v>
      </c>
      <c r="I28" s="232"/>
      <c r="J28" s="233"/>
      <c r="K28" s="234"/>
      <c r="L28" s="318" t="s">
        <v>843</v>
      </c>
      <c r="M28" s="16" t="b">
        <v>0</v>
      </c>
      <c r="N28" s="16"/>
      <c r="O28" s="16"/>
      <c r="P28" s="16"/>
      <c r="Q28" s="16"/>
      <c r="R28" s="16"/>
      <c r="S28" s="16"/>
      <c r="T28" s="87"/>
      <c r="Z28" s="87"/>
      <c r="AA28" s="87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5" t="s">
        <v>26</v>
      </c>
      <c r="B29" s="243" t="s">
        <v>26</v>
      </c>
      <c r="C29" s="140" t="str">
        <f t="shared" si="1"/>
        <v>OK</v>
      </c>
      <c r="D29" s="16"/>
      <c r="E29" s="245">
        <v>36</v>
      </c>
      <c r="F29" s="230" t="s">
        <v>31</v>
      </c>
      <c r="G29" s="230" t="s">
        <v>322</v>
      </c>
      <c r="H29" s="231" t="s">
        <v>101</v>
      </c>
      <c r="I29" s="232"/>
      <c r="J29" s="233"/>
      <c r="K29" s="234"/>
      <c r="L29" s="318" t="s">
        <v>804</v>
      </c>
      <c r="M29" s="16" t="b">
        <v>0</v>
      </c>
      <c r="N29" s="16"/>
      <c r="O29" s="16"/>
      <c r="P29" s="16"/>
      <c r="Q29" s="16"/>
      <c r="R29" s="16"/>
      <c r="S29" s="16"/>
      <c r="T29" s="87"/>
      <c r="Z29" s="87"/>
      <c r="AA29" s="87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5" t="s">
        <v>62</v>
      </c>
      <c r="B30" s="243" t="s">
        <v>62</v>
      </c>
      <c r="C30" s="140" t="str">
        <f t="shared" si="1"/>
        <v>OK</v>
      </c>
      <c r="D30" s="16"/>
      <c r="E30" s="245">
        <v>16</v>
      </c>
      <c r="F30" s="230" t="s">
        <v>53</v>
      </c>
      <c r="G30" s="230" t="s">
        <v>323</v>
      </c>
      <c r="H30" s="231" t="s">
        <v>101</v>
      </c>
      <c r="I30" s="232"/>
      <c r="J30" s="233"/>
      <c r="K30" s="234"/>
      <c r="L30" s="16"/>
      <c r="M30" s="16" t="b">
        <v>0</v>
      </c>
      <c r="O30" s="16"/>
      <c r="P30" s="16"/>
      <c r="Q30" s="16"/>
      <c r="R30" s="16"/>
      <c r="S30" s="16"/>
      <c r="AA30" s="87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5" t="s">
        <v>63</v>
      </c>
      <c r="B31" s="243" t="s">
        <v>63</v>
      </c>
      <c r="C31" s="140" t="str">
        <f t="shared" si="1"/>
        <v>OK</v>
      </c>
      <c r="D31" s="16"/>
      <c r="E31" s="245">
        <v>9</v>
      </c>
      <c r="F31" s="230" t="s">
        <v>25</v>
      </c>
      <c r="G31" s="230" t="s">
        <v>64</v>
      </c>
      <c r="H31" s="231" t="s">
        <v>101</v>
      </c>
      <c r="I31" s="232"/>
      <c r="J31" s="233"/>
      <c r="K31" s="234"/>
      <c r="L31" s="16"/>
      <c r="M31" s="16"/>
      <c r="O31" s="16"/>
      <c r="P31" s="16"/>
      <c r="Q31" s="16"/>
      <c r="R31" s="16"/>
      <c r="S31" s="16"/>
      <c r="AA31" s="87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5" t="s">
        <v>42</v>
      </c>
      <c r="B32" s="243" t="s">
        <v>42</v>
      </c>
      <c r="C32" s="140" t="str">
        <f t="shared" si="1"/>
        <v>OK</v>
      </c>
      <c r="D32" s="16"/>
      <c r="E32" s="245">
        <v>5</v>
      </c>
      <c r="F32" s="230" t="s">
        <v>49</v>
      </c>
      <c r="G32" s="230" t="s">
        <v>324</v>
      </c>
      <c r="H32" s="231" t="s">
        <v>101</v>
      </c>
      <c r="I32" s="232"/>
      <c r="J32" s="247"/>
      <c r="K32" s="234"/>
      <c r="L32" s="16"/>
      <c r="M32" s="16"/>
      <c r="O32" s="16"/>
      <c r="P32" s="16"/>
      <c r="Q32" s="16"/>
      <c r="R32" s="16"/>
      <c r="S32" s="16"/>
      <c r="T32" s="87"/>
      <c r="Z32" s="87"/>
      <c r="AA32" s="87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5" t="s">
        <v>6</v>
      </c>
      <c r="B33" s="243" t="s">
        <v>6</v>
      </c>
      <c r="C33" s="140" t="str">
        <f t="shared" si="1"/>
        <v>OK</v>
      </c>
      <c r="D33" s="16"/>
      <c r="E33" s="245">
        <v>19</v>
      </c>
      <c r="F33" s="230" t="s">
        <v>37</v>
      </c>
      <c r="G33" s="230" t="s">
        <v>65</v>
      </c>
      <c r="H33" s="231" t="s">
        <v>101</v>
      </c>
      <c r="I33" s="248"/>
      <c r="J33" s="233"/>
      <c r="K33" s="234"/>
      <c r="L33" s="16"/>
      <c r="M33" s="16"/>
      <c r="O33" s="16"/>
      <c r="P33" s="16"/>
      <c r="Q33" s="16"/>
      <c r="R33" s="16"/>
      <c r="S33" s="16"/>
      <c r="T33" s="87"/>
      <c r="U33" s="87"/>
      <c r="W33" s="87"/>
      <c r="X33" s="87"/>
      <c r="Z33" s="87"/>
      <c r="AA33" s="87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5" t="s">
        <v>59</v>
      </c>
      <c r="B34" s="243" t="s">
        <v>59</v>
      </c>
      <c r="C34" s="140" t="str">
        <f t="shared" si="1"/>
        <v>OK</v>
      </c>
      <c r="D34" s="16"/>
      <c r="E34" s="249">
        <v>26</v>
      </c>
      <c r="F34" s="250" t="s">
        <v>62</v>
      </c>
      <c r="G34" s="251" t="s">
        <v>325</v>
      </c>
      <c r="H34" s="231" t="s">
        <v>101</v>
      </c>
      <c r="I34" s="248"/>
      <c r="J34" s="233"/>
      <c r="K34" s="234"/>
      <c r="L34" s="16"/>
      <c r="M34" s="16"/>
      <c r="O34" s="16"/>
      <c r="P34" s="16"/>
      <c r="Q34" s="16"/>
      <c r="R34" s="16"/>
      <c r="S34" s="16"/>
      <c r="T34" s="87"/>
      <c r="U34" s="87"/>
      <c r="W34" s="87"/>
      <c r="X34" s="87"/>
      <c r="Z34" s="87"/>
      <c r="AA34" s="87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5" t="s">
        <v>44</v>
      </c>
      <c r="B35" s="243" t="s">
        <v>44</v>
      </c>
      <c r="C35" s="140" t="str">
        <f t="shared" si="1"/>
        <v>OK</v>
      </c>
      <c r="D35" s="16"/>
      <c r="E35" s="249">
        <v>4</v>
      </c>
      <c r="F35" s="251" t="s">
        <v>66</v>
      </c>
      <c r="G35" s="251" t="s">
        <v>146</v>
      </c>
      <c r="H35" s="231" t="s">
        <v>101</v>
      </c>
      <c r="I35" s="248"/>
      <c r="J35" s="233"/>
      <c r="K35" s="234"/>
      <c r="L35" s="16"/>
      <c r="M35" s="16"/>
      <c r="O35" s="16"/>
      <c r="P35" s="16"/>
      <c r="Q35" s="16"/>
      <c r="R35" s="16"/>
      <c r="S35" s="16"/>
      <c r="T35" s="87"/>
      <c r="U35" s="87"/>
      <c r="Z35" s="87"/>
      <c r="AA35" s="87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5" t="s">
        <v>326</v>
      </c>
      <c r="B36" s="243" t="s">
        <v>11</v>
      </c>
      <c r="C36" s="140" t="str">
        <f t="shared" si="1"/>
        <v>OK</v>
      </c>
      <c r="D36" s="16"/>
      <c r="E36" s="249">
        <v>35</v>
      </c>
      <c r="F36" s="250" t="s">
        <v>63</v>
      </c>
      <c r="G36" s="251" t="s">
        <v>145</v>
      </c>
      <c r="H36" s="231" t="s">
        <v>101</v>
      </c>
      <c r="I36" s="248"/>
      <c r="J36" s="233"/>
      <c r="K36" s="234"/>
      <c r="L36" s="16"/>
      <c r="M36" s="16"/>
      <c r="O36" s="16"/>
      <c r="P36" s="16"/>
      <c r="Q36" s="16"/>
      <c r="R36" s="16"/>
      <c r="S36" s="16"/>
      <c r="T36" s="87"/>
      <c r="Z36" s="87"/>
      <c r="AA36" s="87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5" t="s">
        <v>327</v>
      </c>
      <c r="B37" s="243" t="s">
        <v>17</v>
      </c>
      <c r="C37" s="140" t="str">
        <f t="shared" si="1"/>
        <v>OK</v>
      </c>
      <c r="D37" s="16"/>
      <c r="E37" s="252">
        <v>38</v>
      </c>
      <c r="F37" s="253" t="s">
        <v>108</v>
      </c>
      <c r="G37" s="253" t="s">
        <v>148</v>
      </c>
      <c r="H37" s="254" t="s">
        <v>101</v>
      </c>
      <c r="I37" s="255"/>
      <c r="J37" s="256"/>
      <c r="K37" s="257"/>
      <c r="L37" s="16"/>
      <c r="M37" s="16"/>
      <c r="O37" s="16"/>
      <c r="P37" s="16"/>
      <c r="Q37" s="16"/>
      <c r="R37" s="16"/>
      <c r="S37" s="16"/>
      <c r="T37" s="87"/>
      <c r="Z37" s="87"/>
      <c r="AA37" s="87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5" t="s">
        <v>328</v>
      </c>
      <c r="B38" s="243" t="s">
        <v>17</v>
      </c>
      <c r="C38" s="140" t="str">
        <f t="shared" si="1"/>
        <v>OK</v>
      </c>
      <c r="D38" s="258"/>
      <c r="E38" s="258"/>
      <c r="F38" s="258"/>
      <c r="G38" s="258"/>
      <c r="H38" s="258"/>
      <c r="I38" s="259"/>
      <c r="J38" s="16"/>
      <c r="K38" s="16"/>
      <c r="L38" s="16"/>
      <c r="M38" s="16"/>
      <c r="O38" s="16"/>
      <c r="P38" s="16"/>
      <c r="Q38" s="16"/>
      <c r="R38" s="16"/>
      <c r="S38" s="16"/>
      <c r="T38" s="87"/>
      <c r="Z38" s="87"/>
      <c r="AA38" s="87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5" t="s">
        <v>329</v>
      </c>
      <c r="B39" s="243" t="s">
        <v>22</v>
      </c>
      <c r="C39" s="140" t="str">
        <f t="shared" si="1"/>
        <v>OK</v>
      </c>
      <c r="D39" s="258"/>
      <c r="E39" s="258"/>
      <c r="F39" s="258"/>
      <c r="G39" s="258"/>
      <c r="H39" s="258"/>
      <c r="I39" s="259"/>
      <c r="J39" s="16"/>
      <c r="K39" s="16"/>
      <c r="L39" s="16"/>
      <c r="M39" s="16"/>
      <c r="O39" s="16"/>
      <c r="P39" s="16"/>
      <c r="Q39" s="16"/>
      <c r="R39" s="16"/>
      <c r="S39" s="16"/>
      <c r="T39" s="87"/>
      <c r="Z39" s="87"/>
      <c r="AA39" s="87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5" t="s">
        <v>330</v>
      </c>
      <c r="B40" s="243" t="s">
        <v>22</v>
      </c>
      <c r="C40" s="140" t="str">
        <f t="shared" si="1"/>
        <v>OK</v>
      </c>
      <c r="D40" s="258"/>
      <c r="E40" s="258"/>
      <c r="F40" s="258"/>
      <c r="G40" s="258"/>
      <c r="H40" s="258"/>
      <c r="I40" s="259"/>
      <c r="J40" s="16"/>
      <c r="K40" s="16"/>
      <c r="L40" s="16"/>
      <c r="M40" s="16"/>
      <c r="O40" s="16"/>
      <c r="P40" s="16"/>
      <c r="Q40" s="16"/>
      <c r="R40" s="16"/>
      <c r="S40" s="16"/>
      <c r="T40" s="87"/>
      <c r="Z40" s="87"/>
      <c r="AA40" s="87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5" t="s">
        <v>331</v>
      </c>
      <c r="B41" s="243" t="s">
        <v>25</v>
      </c>
      <c r="C41" s="140" t="str">
        <f t="shared" si="1"/>
        <v>OK</v>
      </c>
      <c r="D41" s="258"/>
      <c r="E41" s="258"/>
      <c r="F41" s="258"/>
      <c r="G41" s="258"/>
      <c r="H41" s="258"/>
      <c r="I41" s="259"/>
      <c r="J41" s="16"/>
      <c r="K41" s="16"/>
      <c r="L41" s="16"/>
      <c r="M41" s="16"/>
      <c r="O41" s="16"/>
      <c r="P41" s="16"/>
      <c r="Q41" s="16"/>
      <c r="R41" s="16"/>
      <c r="S41" s="16"/>
      <c r="T41" s="87"/>
      <c r="Z41" s="87"/>
      <c r="AA41" s="87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5" t="s">
        <v>332</v>
      </c>
      <c r="B42" s="243" t="s">
        <v>25</v>
      </c>
      <c r="C42" s="140" t="str">
        <f t="shared" si="1"/>
        <v>OK</v>
      </c>
      <c r="D42" s="258"/>
      <c r="E42" s="258"/>
      <c r="F42" s="258"/>
      <c r="G42" s="258"/>
      <c r="H42" s="258"/>
      <c r="I42" s="259"/>
      <c r="J42" s="16"/>
      <c r="K42" s="16"/>
      <c r="L42" s="16"/>
      <c r="M42" s="16"/>
      <c r="O42" s="16"/>
      <c r="P42" s="16"/>
      <c r="Q42" s="16"/>
      <c r="R42" s="16"/>
      <c r="S42" s="16"/>
      <c r="T42" s="87"/>
      <c r="Z42" s="87"/>
      <c r="AA42" s="87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5" t="s">
        <v>333</v>
      </c>
      <c r="B43" s="243" t="s">
        <v>28</v>
      </c>
      <c r="C43" s="140" t="str">
        <f t="shared" si="1"/>
        <v>OK</v>
      </c>
      <c r="D43" s="258"/>
      <c r="E43" s="258"/>
      <c r="F43" s="258"/>
      <c r="G43" s="258"/>
      <c r="H43" s="258"/>
      <c r="I43" s="259"/>
      <c r="J43" s="16"/>
      <c r="K43" s="16"/>
      <c r="L43" s="16"/>
      <c r="M43" s="16"/>
      <c r="O43" s="16"/>
      <c r="P43" s="16"/>
      <c r="Q43" s="16"/>
      <c r="R43" s="16"/>
      <c r="S43" s="16"/>
      <c r="T43" s="87"/>
      <c r="Z43" s="87"/>
      <c r="AA43" s="87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5" t="s">
        <v>67</v>
      </c>
      <c r="B44" s="243" t="s">
        <v>28</v>
      </c>
      <c r="C44" s="140" t="str">
        <f t="shared" si="1"/>
        <v>OK</v>
      </c>
      <c r="D44" s="258"/>
      <c r="E44" s="258"/>
      <c r="F44" s="258"/>
      <c r="G44" s="258"/>
      <c r="H44" s="258"/>
      <c r="I44" s="259"/>
      <c r="J44" s="16"/>
      <c r="K44" s="16"/>
      <c r="L44" s="16"/>
      <c r="M44" s="16"/>
      <c r="O44" s="16"/>
      <c r="P44" s="16"/>
      <c r="Q44" s="16"/>
      <c r="R44" s="16"/>
      <c r="S44" s="16"/>
      <c r="T44" s="87"/>
      <c r="W44" s="87"/>
      <c r="X44" s="87"/>
      <c r="Z44" s="87"/>
      <c r="AA44" s="87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5" t="s">
        <v>68</v>
      </c>
      <c r="B45" s="243" t="s">
        <v>3</v>
      </c>
      <c r="C45" s="140">
        <f t="shared" si="1"/>
        <v>0</v>
      </c>
      <c r="D45" s="258"/>
      <c r="E45" s="258"/>
      <c r="F45" s="258"/>
      <c r="G45" s="258"/>
      <c r="H45" s="258"/>
      <c r="I45" s="259"/>
      <c r="J45" s="16"/>
      <c r="K45" s="16"/>
      <c r="L45" s="16"/>
      <c r="M45" s="16"/>
      <c r="O45" s="16"/>
      <c r="P45" s="16"/>
      <c r="Q45" s="16"/>
      <c r="R45" s="16"/>
      <c r="S45" s="16"/>
      <c r="T45" s="87"/>
      <c r="U45" s="87"/>
      <c r="W45" s="87"/>
      <c r="X45" s="87"/>
      <c r="Z45" s="87"/>
      <c r="AA45" s="87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5" t="s">
        <v>334</v>
      </c>
      <c r="B46" s="243" t="s">
        <v>3</v>
      </c>
      <c r="C46" s="140">
        <f t="shared" si="1"/>
        <v>0</v>
      </c>
      <c r="D46" s="258"/>
      <c r="E46" s="258"/>
      <c r="F46" s="258"/>
      <c r="G46" s="258"/>
      <c r="H46" s="258"/>
      <c r="I46" s="259"/>
      <c r="J46" s="16"/>
      <c r="K46" s="16"/>
      <c r="L46" s="16"/>
      <c r="M46" s="16"/>
      <c r="O46" s="16"/>
      <c r="P46" s="16"/>
      <c r="Q46" s="16"/>
      <c r="R46" s="16"/>
      <c r="S46" s="16"/>
      <c r="T46" s="87"/>
      <c r="W46" s="87"/>
      <c r="X46" s="87"/>
      <c r="Z46" s="87"/>
      <c r="AA46" s="87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5" t="s">
        <v>335</v>
      </c>
      <c r="B47" s="243" t="s">
        <v>3</v>
      </c>
      <c r="C47" s="140">
        <f t="shared" si="1"/>
        <v>0</v>
      </c>
      <c r="D47" s="258"/>
      <c r="E47" s="258"/>
      <c r="F47" s="258"/>
      <c r="G47" s="258"/>
      <c r="H47" s="258"/>
      <c r="I47" s="259"/>
      <c r="J47" s="16"/>
      <c r="K47" s="16"/>
      <c r="L47" s="16"/>
      <c r="M47" s="16"/>
      <c r="O47" s="16"/>
      <c r="P47" s="16"/>
      <c r="Q47" s="16"/>
      <c r="R47" s="16"/>
      <c r="S47" s="16"/>
      <c r="T47" s="87"/>
      <c r="U47" s="87"/>
      <c r="Z47" s="87"/>
      <c r="AA47" s="87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5" t="s">
        <v>336</v>
      </c>
      <c r="B48" s="243" t="s">
        <v>51</v>
      </c>
      <c r="C48" s="140" t="str">
        <f t="shared" si="1"/>
        <v>OK</v>
      </c>
      <c r="D48" s="258"/>
      <c r="E48" s="258"/>
      <c r="F48" s="258"/>
      <c r="G48" s="258"/>
      <c r="H48" s="258"/>
      <c r="I48" s="259"/>
      <c r="J48" s="16"/>
      <c r="K48" s="16"/>
      <c r="L48" s="16"/>
      <c r="M48" s="16"/>
      <c r="O48" s="16"/>
      <c r="P48" s="16"/>
      <c r="Q48" s="16"/>
      <c r="R48" s="16"/>
      <c r="S48" s="16"/>
      <c r="T48" s="87"/>
      <c r="U48" s="87"/>
      <c r="Z48" s="87"/>
      <c r="AA48" s="87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5" t="s">
        <v>337</v>
      </c>
      <c r="B49" s="243" t="s">
        <v>46</v>
      </c>
      <c r="C49" s="140" t="str">
        <f t="shared" si="1"/>
        <v>OK</v>
      </c>
      <c r="D49" s="258"/>
      <c r="E49" s="258"/>
      <c r="F49" s="258"/>
      <c r="G49" s="258"/>
      <c r="H49" s="258"/>
      <c r="I49" s="259"/>
      <c r="J49" s="16"/>
      <c r="K49" s="16"/>
      <c r="L49" s="16"/>
      <c r="M49" s="16"/>
      <c r="O49" s="16"/>
      <c r="P49" s="16"/>
      <c r="Q49" s="16"/>
      <c r="R49" s="16"/>
      <c r="S49" s="16"/>
      <c r="T49" s="87"/>
      <c r="U49" s="87"/>
      <c r="W49" s="87"/>
      <c r="X49" s="87"/>
      <c r="Z49" s="87"/>
      <c r="AA49" s="87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5" t="s">
        <v>69</v>
      </c>
      <c r="B50" s="243" t="s">
        <v>58</v>
      </c>
      <c r="C50" s="140" t="str">
        <f t="shared" si="1"/>
        <v>OK</v>
      </c>
      <c r="D50" s="258"/>
      <c r="E50" s="258"/>
      <c r="F50" s="258"/>
      <c r="G50" s="258"/>
      <c r="H50" s="258"/>
      <c r="I50" s="259"/>
      <c r="J50" s="16"/>
      <c r="K50" s="16"/>
      <c r="L50" s="16"/>
      <c r="M50" s="16"/>
      <c r="O50" s="16"/>
      <c r="P50" s="16"/>
      <c r="Q50" s="16"/>
      <c r="R50" s="16"/>
      <c r="S50" s="16"/>
      <c r="T50" s="87"/>
      <c r="Z50" s="87"/>
      <c r="AA50" s="87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5" t="s">
        <v>338</v>
      </c>
      <c r="B51" s="243" t="s">
        <v>58</v>
      </c>
      <c r="C51" s="140" t="str">
        <f t="shared" si="1"/>
        <v>OK</v>
      </c>
      <c r="D51" s="16"/>
      <c r="E51" s="17"/>
      <c r="F51" s="16"/>
      <c r="G51" s="16"/>
      <c r="H51" s="16"/>
      <c r="I51" s="259"/>
      <c r="J51" s="16"/>
      <c r="K51" s="16"/>
      <c r="L51" s="16"/>
      <c r="M51" s="16"/>
      <c r="O51" s="16"/>
      <c r="P51" s="16"/>
      <c r="Q51" s="16"/>
      <c r="R51" s="16"/>
      <c r="S51" s="16"/>
      <c r="T51" s="87"/>
      <c r="Z51" s="87"/>
      <c r="AA51" s="87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5" t="s">
        <v>339</v>
      </c>
      <c r="B52" s="243" t="s">
        <v>62</v>
      </c>
      <c r="C52" s="140" t="str">
        <f t="shared" si="1"/>
        <v>OK</v>
      </c>
      <c r="D52" s="16"/>
      <c r="E52" s="17"/>
      <c r="F52" s="16"/>
      <c r="G52" s="16"/>
      <c r="H52" s="16"/>
      <c r="I52" s="259"/>
      <c r="J52" s="16"/>
      <c r="K52" s="16"/>
      <c r="L52" s="16"/>
      <c r="M52" s="16"/>
      <c r="O52" s="16"/>
      <c r="P52" s="16"/>
      <c r="Q52" s="16"/>
      <c r="R52" s="16"/>
      <c r="S52" s="16"/>
      <c r="T52" s="87"/>
      <c r="Z52" s="87"/>
      <c r="AA52" s="87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5" t="s">
        <v>70</v>
      </c>
      <c r="B53" s="243" t="s">
        <v>62</v>
      </c>
      <c r="C53" s="140" t="str">
        <f t="shared" si="1"/>
        <v>OK</v>
      </c>
      <c r="D53" s="16"/>
      <c r="E53" s="17"/>
      <c r="F53" s="16"/>
      <c r="G53" s="16"/>
      <c r="H53" s="16"/>
      <c r="I53" s="259"/>
      <c r="J53" s="16"/>
      <c r="K53" s="16"/>
      <c r="L53" s="16"/>
      <c r="M53" s="16"/>
      <c r="O53" s="16"/>
      <c r="P53" s="16"/>
      <c r="Q53" s="16"/>
      <c r="R53" s="16"/>
      <c r="S53" s="16"/>
      <c r="T53" s="87"/>
      <c r="Z53" s="87"/>
      <c r="AA53" s="87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5" t="s">
        <v>340</v>
      </c>
      <c r="B54" s="243" t="s">
        <v>62</v>
      </c>
      <c r="C54" s="140" t="str">
        <f t="shared" si="1"/>
        <v>OK</v>
      </c>
      <c r="D54" s="16"/>
      <c r="E54" s="17"/>
      <c r="F54" s="16"/>
      <c r="G54" s="16"/>
      <c r="H54" s="16"/>
      <c r="I54" s="259"/>
      <c r="J54" s="16"/>
      <c r="K54" s="16"/>
      <c r="L54" s="16"/>
      <c r="M54" s="16"/>
      <c r="O54" s="16"/>
      <c r="P54" s="16"/>
      <c r="Q54" s="16"/>
      <c r="R54" s="16"/>
      <c r="S54" s="16"/>
      <c r="T54" s="87"/>
      <c r="Z54" s="87"/>
      <c r="AA54" s="87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5" t="s">
        <v>341</v>
      </c>
      <c r="B55" s="243" t="s">
        <v>62</v>
      </c>
      <c r="C55" s="140" t="str">
        <f t="shared" si="1"/>
        <v>OK</v>
      </c>
      <c r="D55" s="16"/>
      <c r="E55" s="17"/>
      <c r="F55" s="16"/>
      <c r="G55" s="16"/>
      <c r="H55" s="16"/>
      <c r="I55" s="259"/>
      <c r="J55" s="16"/>
      <c r="K55" s="16"/>
      <c r="L55" s="16"/>
      <c r="M55" s="16"/>
      <c r="O55" s="16"/>
      <c r="P55" s="16"/>
      <c r="Q55" s="16"/>
      <c r="R55" s="16"/>
      <c r="S55" s="16"/>
      <c r="T55" s="87"/>
      <c r="Z55" s="87"/>
      <c r="AA55" s="87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5" t="s">
        <v>342</v>
      </c>
      <c r="B56" s="243" t="s">
        <v>62</v>
      </c>
      <c r="C56" s="140" t="str">
        <f t="shared" si="1"/>
        <v>OK</v>
      </c>
      <c r="D56" s="16"/>
      <c r="E56" s="17"/>
      <c r="F56" s="16"/>
      <c r="G56" s="16"/>
      <c r="H56" s="16"/>
      <c r="I56" s="259"/>
      <c r="J56" s="16"/>
      <c r="K56" s="16"/>
      <c r="L56" s="16"/>
      <c r="M56" s="16"/>
      <c r="O56" s="16"/>
      <c r="P56" s="16"/>
      <c r="Q56" s="16"/>
      <c r="R56" s="16"/>
      <c r="S56" s="16"/>
      <c r="T56" s="87"/>
      <c r="Z56" s="87"/>
      <c r="AA56" s="87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5" t="s">
        <v>343</v>
      </c>
      <c r="B57" s="243" t="s">
        <v>63</v>
      </c>
      <c r="C57" s="140" t="str">
        <f t="shared" si="1"/>
        <v>OK</v>
      </c>
      <c r="D57" s="16"/>
      <c r="E57" s="17"/>
      <c r="F57" s="16"/>
      <c r="G57" s="16"/>
      <c r="H57" s="16"/>
      <c r="I57" s="259"/>
      <c r="J57" s="16"/>
      <c r="K57" s="16"/>
      <c r="L57" s="16"/>
      <c r="M57" s="16"/>
      <c r="O57" s="16"/>
      <c r="P57" s="16"/>
      <c r="Q57" s="16"/>
      <c r="R57" s="16"/>
      <c r="S57" s="16"/>
      <c r="T57" s="87"/>
      <c r="Z57" s="87"/>
      <c r="AA57" s="87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0" t="s">
        <v>344</v>
      </c>
      <c r="B58" s="243" t="s">
        <v>63</v>
      </c>
      <c r="C58" s="140" t="str">
        <f t="shared" si="1"/>
        <v>OK</v>
      </c>
      <c r="D58" s="16"/>
      <c r="E58" s="17"/>
      <c r="F58" s="16"/>
      <c r="G58" s="16"/>
      <c r="H58" s="16"/>
      <c r="I58" s="259"/>
      <c r="J58" s="16"/>
      <c r="K58" s="16"/>
      <c r="L58" s="16"/>
      <c r="M58" s="16"/>
      <c r="O58" s="16"/>
      <c r="P58" s="16"/>
      <c r="Q58" s="16"/>
      <c r="R58" s="16"/>
      <c r="S58" s="16"/>
      <c r="AA58" s="87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0" t="s">
        <v>345</v>
      </c>
      <c r="B59" s="243" t="s">
        <v>25</v>
      </c>
      <c r="C59" s="140" t="str">
        <f t="shared" si="1"/>
        <v>OK</v>
      </c>
      <c r="D59" s="16"/>
      <c r="E59" s="17"/>
      <c r="F59" s="16"/>
      <c r="G59" s="16"/>
      <c r="H59" s="16"/>
      <c r="I59" s="259"/>
      <c r="J59" s="16"/>
      <c r="K59" s="16"/>
      <c r="L59" s="16"/>
      <c r="M59" s="16"/>
      <c r="O59" s="16"/>
      <c r="P59" s="16"/>
      <c r="Q59" s="16"/>
      <c r="R59" s="16"/>
      <c r="S59" s="16"/>
      <c r="T59" s="87"/>
      <c r="Z59" s="87"/>
      <c r="AA59" s="87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0" t="s">
        <v>346</v>
      </c>
      <c r="B60" s="243" t="s">
        <v>11</v>
      </c>
      <c r="C60" s="140" t="str">
        <f t="shared" si="1"/>
        <v>OK</v>
      </c>
      <c r="D60" s="16"/>
      <c r="E60" s="17"/>
      <c r="F60" s="16"/>
      <c r="G60" s="16"/>
      <c r="H60" s="16"/>
      <c r="I60" s="259"/>
      <c r="J60" s="16"/>
      <c r="K60" s="16"/>
      <c r="L60" s="16"/>
      <c r="M60" s="16"/>
      <c r="O60" s="16"/>
      <c r="P60" s="16"/>
      <c r="Q60" s="16"/>
      <c r="R60" s="16"/>
      <c r="S60" s="16"/>
      <c r="T60" s="87"/>
      <c r="Z60" s="87"/>
      <c r="AA60" s="87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08" t="s">
        <v>89</v>
      </c>
      <c r="B61" s="243" t="s">
        <v>62</v>
      </c>
      <c r="C61" s="140" t="str">
        <f t="shared" si="1"/>
        <v>OK</v>
      </c>
      <c r="D61" s="16"/>
      <c r="E61" s="17"/>
      <c r="F61" s="16"/>
      <c r="G61" s="16"/>
      <c r="H61" s="16"/>
      <c r="I61" s="259"/>
      <c r="J61" s="16"/>
      <c r="K61" s="16"/>
      <c r="L61" s="16"/>
      <c r="M61" s="16"/>
      <c r="O61" s="16"/>
      <c r="P61" s="16"/>
      <c r="Q61" s="16"/>
      <c r="R61" s="16"/>
      <c r="S61" s="16"/>
      <c r="T61" s="87"/>
      <c r="Z61" s="87"/>
      <c r="AA61" s="87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08" t="s">
        <v>92</v>
      </c>
      <c r="B62" s="243" t="s">
        <v>58</v>
      </c>
      <c r="C62" s="140" t="str">
        <f t="shared" si="1"/>
        <v>OK</v>
      </c>
      <c r="D62" s="16"/>
      <c r="E62" s="17"/>
      <c r="F62" s="16"/>
      <c r="G62" s="16"/>
      <c r="H62" s="16"/>
      <c r="I62" s="259"/>
      <c r="J62" s="16"/>
      <c r="K62" s="16"/>
      <c r="L62" s="16"/>
      <c r="M62" s="16"/>
      <c r="O62" s="16"/>
      <c r="P62" s="16"/>
      <c r="Q62" s="16"/>
      <c r="R62" s="16"/>
      <c r="S62" s="16"/>
      <c r="T62" s="87"/>
      <c r="U62" s="87"/>
      <c r="Z62" s="87"/>
      <c r="AA62" s="87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08" t="s">
        <v>347</v>
      </c>
      <c r="B63" s="243" t="s">
        <v>2</v>
      </c>
      <c r="C63" s="140" t="str">
        <f t="shared" si="1"/>
        <v>OK</v>
      </c>
      <c r="D63" s="16"/>
      <c r="E63" s="17"/>
      <c r="F63" s="16"/>
      <c r="G63" s="16"/>
      <c r="H63" s="16"/>
      <c r="I63" s="259"/>
      <c r="J63" s="16"/>
      <c r="K63" s="16"/>
      <c r="L63" s="16"/>
      <c r="M63" s="16"/>
      <c r="O63" s="16"/>
      <c r="P63" s="16"/>
      <c r="Q63" s="16"/>
      <c r="R63" s="16"/>
      <c r="S63" s="16"/>
      <c r="T63" s="87"/>
      <c r="Z63" s="87"/>
      <c r="AA63" s="87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08" t="s">
        <v>94</v>
      </c>
      <c r="B64" s="243" t="s">
        <v>63</v>
      </c>
      <c r="C64" s="140" t="str">
        <f t="shared" si="1"/>
        <v>OK</v>
      </c>
      <c r="D64" s="16"/>
      <c r="E64" s="17"/>
      <c r="F64" s="16"/>
      <c r="G64" s="16"/>
      <c r="H64" s="16"/>
      <c r="I64" s="259"/>
      <c r="J64" s="16"/>
      <c r="K64" s="16"/>
      <c r="L64" s="16"/>
      <c r="M64" s="16"/>
      <c r="O64" s="16"/>
      <c r="P64" s="16"/>
      <c r="Q64" s="16"/>
      <c r="R64" s="16"/>
      <c r="S64" s="16"/>
      <c r="AA64" s="87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1" t="s">
        <v>4</v>
      </c>
      <c r="B65" s="262" t="s">
        <v>3</v>
      </c>
      <c r="C65" s="140">
        <f t="shared" si="1"/>
        <v>0</v>
      </c>
      <c r="D65" s="16"/>
      <c r="E65" s="17"/>
      <c r="F65" s="16"/>
      <c r="G65" s="16"/>
      <c r="H65" s="16"/>
      <c r="I65" s="259"/>
      <c r="J65" s="16"/>
      <c r="K65" s="16"/>
      <c r="L65" s="16"/>
      <c r="M65" s="16"/>
      <c r="O65" s="16"/>
      <c r="P65" s="16"/>
      <c r="Q65" s="16"/>
      <c r="R65" s="16"/>
      <c r="S65" s="16"/>
      <c r="T65" s="87"/>
      <c r="Z65" s="87"/>
      <c r="AA65" s="87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1" t="s">
        <v>7</v>
      </c>
      <c r="B66" s="262" t="s">
        <v>6</v>
      </c>
      <c r="C66" s="140" t="str">
        <f t="shared" si="1"/>
        <v>OK</v>
      </c>
      <c r="D66" s="16"/>
      <c r="E66" s="17"/>
      <c r="F66" s="16"/>
      <c r="G66" s="16"/>
      <c r="H66" s="16"/>
      <c r="I66" s="259"/>
      <c r="J66" s="16"/>
      <c r="K66" s="16"/>
      <c r="L66" s="16"/>
      <c r="M66" s="16"/>
      <c r="O66" s="16"/>
      <c r="P66" s="16"/>
      <c r="Q66" s="16"/>
      <c r="R66" s="16"/>
      <c r="S66" s="16"/>
      <c r="T66" s="87"/>
      <c r="Z66" s="87"/>
      <c r="AA66" s="87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1" t="s">
        <v>10</v>
      </c>
      <c r="B67" s="262" t="s">
        <v>9</v>
      </c>
      <c r="C67" s="140" t="str">
        <f t="shared" si="1"/>
        <v>OK</v>
      </c>
      <c r="D67" s="16"/>
      <c r="E67" s="17"/>
      <c r="F67" s="16"/>
      <c r="G67" s="16"/>
      <c r="H67" s="16"/>
      <c r="I67" s="259"/>
      <c r="J67" s="16"/>
      <c r="K67" s="16"/>
      <c r="L67" s="16"/>
      <c r="M67" s="16"/>
      <c r="O67" s="16"/>
      <c r="P67" s="16"/>
      <c r="Q67" s="16"/>
      <c r="R67" s="16"/>
      <c r="S67" s="16"/>
      <c r="T67" s="87"/>
      <c r="W67" s="87"/>
      <c r="X67" s="87"/>
      <c r="Z67" s="87"/>
      <c r="AA67" s="87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1" t="s">
        <v>13</v>
      </c>
      <c r="B68" s="262" t="s">
        <v>12</v>
      </c>
      <c r="C68" s="140" t="str">
        <f t="shared" si="1"/>
        <v>OK</v>
      </c>
      <c r="D68" s="16"/>
      <c r="E68" s="17"/>
      <c r="F68" s="16"/>
      <c r="G68" s="16"/>
      <c r="H68" s="16"/>
      <c r="I68" s="259"/>
      <c r="J68" s="16"/>
      <c r="K68" s="16"/>
      <c r="L68" s="16"/>
      <c r="M68" s="16"/>
      <c r="O68" s="16"/>
      <c r="P68" s="16"/>
      <c r="Q68" s="16"/>
      <c r="R68" s="16"/>
      <c r="S68" s="16"/>
      <c r="T68" s="87"/>
      <c r="W68" s="87"/>
      <c r="X68" s="87"/>
      <c r="Z68" s="87"/>
      <c r="AA68" s="87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1" t="s">
        <v>318</v>
      </c>
      <c r="B69" s="262" t="s">
        <v>46</v>
      </c>
      <c r="C69" s="140" t="str">
        <f t="shared" si="1"/>
        <v>OK</v>
      </c>
      <c r="D69" s="16"/>
      <c r="E69" s="17"/>
      <c r="F69" s="16"/>
      <c r="G69" s="16"/>
      <c r="H69" s="16"/>
      <c r="I69" s="259"/>
      <c r="J69" s="16"/>
      <c r="K69" s="16"/>
      <c r="L69" s="16"/>
      <c r="M69" s="16"/>
      <c r="O69" s="16"/>
      <c r="P69" s="16"/>
      <c r="Q69" s="16"/>
      <c r="R69" s="16"/>
      <c r="S69" s="16"/>
      <c r="T69" s="87"/>
      <c r="U69" s="87"/>
      <c r="W69" s="87"/>
      <c r="X69" s="87"/>
      <c r="Z69" s="87"/>
      <c r="AA69" s="87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1" t="s">
        <v>16</v>
      </c>
      <c r="B70" s="262" t="s">
        <v>15</v>
      </c>
      <c r="C70" s="140" t="str">
        <f t="shared" si="1"/>
        <v>OK</v>
      </c>
      <c r="D70" s="16"/>
      <c r="E70" s="17"/>
      <c r="F70" s="16"/>
      <c r="G70" s="16"/>
      <c r="H70" s="16"/>
      <c r="I70" s="259"/>
      <c r="J70" s="16"/>
      <c r="K70" s="16"/>
      <c r="L70" s="16"/>
      <c r="M70" s="16"/>
      <c r="O70" s="16"/>
      <c r="P70" s="16"/>
      <c r="Q70" s="16"/>
      <c r="R70" s="16"/>
      <c r="S70" s="16"/>
      <c r="T70" s="87"/>
      <c r="U70" s="87"/>
      <c r="W70" s="87"/>
      <c r="X70" s="87"/>
      <c r="Z70" s="87"/>
      <c r="AA70" s="87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1" t="s">
        <v>19</v>
      </c>
      <c r="B71" s="262" t="s">
        <v>18</v>
      </c>
      <c r="C71" s="140" t="str">
        <f t="shared" si="1"/>
        <v>OK</v>
      </c>
      <c r="D71" s="16"/>
      <c r="E71" s="17"/>
      <c r="F71" s="16"/>
      <c r="G71" s="16"/>
      <c r="H71" s="16"/>
      <c r="I71" s="259"/>
      <c r="J71" s="16"/>
      <c r="K71" s="16"/>
      <c r="L71" s="16"/>
      <c r="M71" s="16"/>
      <c r="O71" s="16"/>
      <c r="P71" s="16"/>
      <c r="Q71" s="16"/>
      <c r="R71" s="16"/>
      <c r="S71" s="16"/>
      <c r="T71" s="87"/>
      <c r="U71" s="87"/>
      <c r="W71" s="87"/>
      <c r="X71" s="87"/>
      <c r="Z71" s="87"/>
      <c r="AA71" s="87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1" t="s">
        <v>21</v>
      </c>
      <c r="B72" s="262" t="s">
        <v>5</v>
      </c>
      <c r="C72" s="140" t="str">
        <f t="shared" si="1"/>
        <v>OK</v>
      </c>
      <c r="D72" s="16"/>
      <c r="E72" s="17"/>
      <c r="F72" s="16"/>
      <c r="G72" s="16"/>
      <c r="H72" s="16"/>
      <c r="I72" s="259"/>
      <c r="J72" s="16"/>
      <c r="K72" s="16"/>
      <c r="L72" s="16"/>
      <c r="M72" s="16"/>
      <c r="O72" s="16"/>
      <c r="P72" s="16"/>
      <c r="Q72" s="16"/>
      <c r="R72" s="16"/>
      <c r="S72" s="16"/>
      <c r="T72" s="87"/>
      <c r="U72" s="87"/>
      <c r="W72" s="87"/>
      <c r="X72" s="87"/>
      <c r="Z72" s="87"/>
      <c r="AA72" s="87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1" t="s">
        <v>24</v>
      </c>
      <c r="B73" s="262" t="s">
        <v>23</v>
      </c>
      <c r="C73" s="140" t="str">
        <f t="shared" si="1"/>
        <v>OK</v>
      </c>
      <c r="D73" s="16"/>
      <c r="E73" s="17"/>
      <c r="F73" s="16"/>
      <c r="G73" s="16"/>
      <c r="H73" s="16"/>
      <c r="I73" s="259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7"/>
      <c r="Z73" s="87"/>
      <c r="AA73" s="87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1" t="s">
        <v>27</v>
      </c>
      <c r="B74" s="262" t="s">
        <v>26</v>
      </c>
      <c r="C74" s="140" t="str">
        <f t="shared" si="1"/>
        <v>OK</v>
      </c>
      <c r="D74" s="16"/>
      <c r="E74" s="17"/>
      <c r="F74" s="16"/>
      <c r="G74" s="16"/>
      <c r="H74" s="16"/>
      <c r="I74" s="259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7"/>
      <c r="Z74" s="87"/>
      <c r="AA74" s="87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1" t="s">
        <v>30</v>
      </c>
      <c r="B75" s="262" t="s">
        <v>29</v>
      </c>
      <c r="C75" s="140" t="str">
        <f t="shared" si="1"/>
        <v>OK</v>
      </c>
      <c r="D75" s="16"/>
      <c r="E75" s="17"/>
      <c r="F75" s="16"/>
      <c r="G75" s="16"/>
      <c r="H75" s="16"/>
      <c r="I75" s="259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7"/>
      <c r="Z75" s="87"/>
      <c r="AA75" s="87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1" t="s">
        <v>32</v>
      </c>
      <c r="B76" s="262" t="s">
        <v>8</v>
      </c>
      <c r="C76" s="140" t="str">
        <f t="shared" si="1"/>
        <v>OK</v>
      </c>
      <c r="D76" s="16"/>
      <c r="E76" s="17"/>
      <c r="F76" s="16"/>
      <c r="G76" s="16"/>
      <c r="H76" s="16"/>
      <c r="I76" s="259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7"/>
      <c r="Z76" s="87"/>
      <c r="AA76" s="87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1" t="s">
        <v>34</v>
      </c>
      <c r="B77" s="262" t="s">
        <v>14</v>
      </c>
      <c r="C77" s="140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59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7"/>
      <c r="U77" s="382"/>
      <c r="W77" s="87"/>
      <c r="X77" s="87"/>
      <c r="Z77" s="87"/>
      <c r="AA77" s="87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1" t="s">
        <v>35</v>
      </c>
      <c r="B78" s="262" t="s">
        <v>11</v>
      </c>
      <c r="C78" s="140" t="str">
        <f t="shared" si="2"/>
        <v>OK</v>
      </c>
      <c r="D78" s="16"/>
      <c r="E78" s="17"/>
      <c r="F78" s="16"/>
      <c r="G78" s="16"/>
      <c r="H78" s="16"/>
      <c r="I78" s="259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7"/>
      <c r="Z78" s="87"/>
      <c r="AA78" s="87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1" t="s">
        <v>320</v>
      </c>
      <c r="B79" s="262" t="s">
        <v>319</v>
      </c>
      <c r="C79" s="140" t="str">
        <f t="shared" si="2"/>
        <v>OK</v>
      </c>
      <c r="D79" s="16"/>
      <c r="E79" s="17"/>
      <c r="F79" s="16"/>
      <c r="G79" s="16"/>
      <c r="H79" s="16"/>
      <c r="I79" s="259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7"/>
      <c r="Z79" s="87"/>
      <c r="AA79" s="87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1" t="s">
        <v>38</v>
      </c>
      <c r="B80" s="262" t="s">
        <v>17</v>
      </c>
      <c r="C80" s="140" t="str">
        <f t="shared" si="2"/>
        <v>OK</v>
      </c>
      <c r="D80" s="16"/>
      <c r="E80" s="17"/>
      <c r="F80" s="16"/>
      <c r="G80" s="16"/>
      <c r="H80" s="16"/>
      <c r="I80" s="259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7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1" t="s">
        <v>40</v>
      </c>
      <c r="B81" s="262" t="s">
        <v>2</v>
      </c>
      <c r="C81" s="140" t="str">
        <f t="shared" si="2"/>
        <v>OK</v>
      </c>
      <c r="D81" s="16"/>
      <c r="E81" s="17"/>
      <c r="F81" s="16"/>
      <c r="G81" s="16"/>
      <c r="H81" s="16"/>
      <c r="I81" s="259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7"/>
      <c r="U81" s="382"/>
      <c r="Z81" s="87"/>
      <c r="AA81" s="87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1" t="s">
        <v>41</v>
      </c>
      <c r="B82" s="262" t="s">
        <v>39</v>
      </c>
      <c r="C82" s="140" t="str">
        <f t="shared" si="2"/>
        <v>OK</v>
      </c>
      <c r="D82" s="16"/>
      <c r="E82" s="17"/>
      <c r="F82" s="16"/>
      <c r="G82" s="16"/>
      <c r="H82" s="16"/>
      <c r="I82" s="259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7"/>
      <c r="Z82" s="87"/>
      <c r="AA82" s="87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1" t="s">
        <v>43</v>
      </c>
      <c r="B83" s="262" t="s">
        <v>42</v>
      </c>
      <c r="C83" s="140" t="str">
        <f t="shared" si="2"/>
        <v>OK</v>
      </c>
      <c r="D83" s="16"/>
      <c r="E83" s="17"/>
      <c r="F83" s="16"/>
      <c r="G83" s="16"/>
      <c r="H83" s="16"/>
      <c r="I83" s="259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7"/>
      <c r="Z83" s="87"/>
      <c r="AA83" s="87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1" t="s">
        <v>45</v>
      </c>
      <c r="B84" s="262" t="s">
        <v>44</v>
      </c>
      <c r="C84" s="140" t="str">
        <f t="shared" si="2"/>
        <v>OK</v>
      </c>
      <c r="D84" s="16"/>
      <c r="E84" s="17"/>
      <c r="F84" s="16"/>
      <c r="G84" s="16"/>
      <c r="H84" s="16"/>
      <c r="I84" s="259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7"/>
      <c r="U84" s="87"/>
      <c r="Z84" s="87"/>
      <c r="AA84" s="87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1" t="s">
        <v>48</v>
      </c>
      <c r="B85" s="262" t="s">
        <v>47</v>
      </c>
      <c r="C85" s="140" t="str">
        <f t="shared" si="2"/>
        <v>OK</v>
      </c>
      <c r="D85" s="16"/>
      <c r="E85" s="17"/>
      <c r="F85" s="16"/>
      <c r="G85" s="16"/>
      <c r="H85" s="16"/>
      <c r="I85" s="259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7"/>
      <c r="Z85" s="87"/>
      <c r="AA85" s="87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1" t="s">
        <v>321</v>
      </c>
      <c r="B86" s="262" t="s">
        <v>50</v>
      </c>
      <c r="C86" s="140" t="str">
        <f t="shared" si="2"/>
        <v>OK</v>
      </c>
      <c r="D86" s="16"/>
      <c r="E86" s="17"/>
      <c r="F86" s="16"/>
      <c r="G86" s="16"/>
      <c r="H86" s="16"/>
      <c r="I86" s="259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7"/>
      <c r="Z86" s="87"/>
      <c r="AA86" s="87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1" t="s">
        <v>52</v>
      </c>
      <c r="B87" s="262" t="s">
        <v>51</v>
      </c>
      <c r="C87" s="140" t="str">
        <f t="shared" si="2"/>
        <v>OK</v>
      </c>
      <c r="D87" s="16"/>
      <c r="E87" s="17"/>
      <c r="F87" s="16"/>
      <c r="G87" s="16"/>
      <c r="H87" s="16"/>
      <c r="I87" s="259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7"/>
      <c r="Z87" s="87"/>
      <c r="AA87" s="87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1" t="s">
        <v>56</v>
      </c>
      <c r="B88" s="262" t="s">
        <v>33</v>
      </c>
      <c r="C88" s="140" t="str">
        <f t="shared" si="2"/>
        <v>OK</v>
      </c>
      <c r="D88" s="16"/>
      <c r="E88" s="17"/>
      <c r="F88" s="16"/>
      <c r="G88" s="16"/>
      <c r="H88" s="16"/>
      <c r="I88" s="259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7"/>
      <c r="U88" s="87"/>
      <c r="Z88" s="87"/>
      <c r="AA88" s="87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1" t="s">
        <v>57</v>
      </c>
      <c r="B89" s="262" t="s">
        <v>20</v>
      </c>
      <c r="C89" s="140" t="str">
        <f t="shared" si="2"/>
        <v>OK</v>
      </c>
      <c r="D89" s="16"/>
      <c r="E89" s="17"/>
      <c r="F89" s="16"/>
      <c r="G89" s="16"/>
      <c r="H89" s="16"/>
      <c r="I89" s="259"/>
      <c r="J89" s="16"/>
      <c r="K89" s="16"/>
      <c r="L89" s="16"/>
      <c r="M89" s="16"/>
      <c r="O89" s="16"/>
      <c r="P89" s="16"/>
      <c r="Q89" s="16"/>
      <c r="R89" s="16"/>
      <c r="S89" s="16"/>
      <c r="T89" s="87"/>
      <c r="U89" s="87"/>
      <c r="W89" s="87"/>
      <c r="X89" s="87"/>
      <c r="Z89" s="87"/>
      <c r="AA89" s="87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1" t="s">
        <v>60</v>
      </c>
      <c r="B90" s="262" t="s">
        <v>59</v>
      </c>
      <c r="C90" s="140" t="str">
        <f t="shared" si="2"/>
        <v>OK</v>
      </c>
      <c r="D90" s="16"/>
      <c r="E90" s="17"/>
      <c r="F90" s="16"/>
      <c r="G90" s="16"/>
      <c r="H90" s="16"/>
      <c r="I90" s="259"/>
      <c r="J90" s="16"/>
      <c r="K90" s="16"/>
      <c r="L90" s="16"/>
      <c r="M90" s="16"/>
      <c r="O90" s="16"/>
      <c r="P90" s="16"/>
      <c r="Q90" s="16"/>
      <c r="R90" s="16"/>
      <c r="S90" s="16"/>
      <c r="T90" s="87"/>
      <c r="U90" s="87"/>
      <c r="W90" s="87"/>
      <c r="X90" s="87"/>
      <c r="Z90" s="87"/>
      <c r="AA90" s="87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1" t="s">
        <v>61</v>
      </c>
      <c r="B91" s="262" t="s">
        <v>28</v>
      </c>
      <c r="C91" s="140" t="str">
        <f t="shared" si="2"/>
        <v>OK</v>
      </c>
      <c r="D91" s="16"/>
      <c r="E91" s="17"/>
      <c r="F91" s="16"/>
      <c r="G91" s="16"/>
      <c r="H91" s="16"/>
      <c r="I91" s="259"/>
      <c r="J91" s="16"/>
      <c r="K91" s="16"/>
      <c r="L91" s="16"/>
      <c r="M91" s="16"/>
      <c r="O91" s="16"/>
      <c r="P91" s="16"/>
      <c r="Q91" s="16"/>
      <c r="R91" s="16"/>
      <c r="S91" s="16"/>
      <c r="T91" s="87"/>
      <c r="U91" s="87"/>
      <c r="Z91" s="87"/>
      <c r="AA91" s="87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1" t="s">
        <v>322</v>
      </c>
      <c r="B92" s="262" t="s">
        <v>31</v>
      </c>
      <c r="C92" s="140" t="str">
        <f t="shared" si="2"/>
        <v>OK</v>
      </c>
      <c r="D92" s="16"/>
      <c r="E92" s="17"/>
      <c r="F92" s="16"/>
      <c r="G92" s="16"/>
      <c r="H92" s="16"/>
      <c r="I92" s="259"/>
      <c r="J92" s="16"/>
      <c r="K92" s="16"/>
      <c r="L92" s="16"/>
      <c r="M92" s="16"/>
      <c r="O92" s="16"/>
      <c r="P92" s="16"/>
      <c r="Q92" s="16"/>
      <c r="R92" s="16"/>
      <c r="S92" s="16"/>
      <c r="T92" s="87"/>
      <c r="U92" s="87"/>
      <c r="Z92" s="87"/>
      <c r="AA92" s="87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1" t="s">
        <v>323</v>
      </c>
      <c r="B93" s="262" t="s">
        <v>53</v>
      </c>
      <c r="C93" s="140" t="str">
        <f t="shared" si="2"/>
        <v>OK</v>
      </c>
      <c r="D93" s="16"/>
      <c r="E93" s="17"/>
      <c r="F93" s="16"/>
      <c r="G93" s="16"/>
      <c r="H93" s="16"/>
      <c r="I93" s="259"/>
      <c r="J93" s="16"/>
      <c r="K93" s="16"/>
      <c r="L93" s="16"/>
      <c r="M93" s="16"/>
      <c r="O93" s="16"/>
      <c r="P93" s="16"/>
      <c r="Q93" s="16"/>
      <c r="R93" s="16"/>
      <c r="S93" s="16"/>
      <c r="T93" s="87"/>
      <c r="U93" s="87"/>
      <c r="Z93" s="87"/>
      <c r="AA93" s="87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1" t="s">
        <v>64</v>
      </c>
      <c r="B94" s="262" t="s">
        <v>25</v>
      </c>
      <c r="C94" s="140" t="str">
        <f t="shared" si="2"/>
        <v>OK</v>
      </c>
      <c r="D94" s="16"/>
      <c r="E94" s="17"/>
      <c r="F94" s="16"/>
      <c r="G94" s="16"/>
      <c r="H94" s="16"/>
      <c r="I94" s="259"/>
      <c r="J94" s="16"/>
      <c r="K94" s="16"/>
      <c r="L94" s="16"/>
      <c r="M94" s="16"/>
      <c r="O94" s="16"/>
      <c r="P94" s="16"/>
      <c r="Q94" s="16"/>
      <c r="R94" s="16"/>
      <c r="S94" s="16"/>
      <c r="T94" s="87"/>
      <c r="U94" s="87"/>
      <c r="Z94" s="87"/>
      <c r="AA94" s="87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1" t="s">
        <v>324</v>
      </c>
      <c r="B95" s="262" t="s">
        <v>49</v>
      </c>
      <c r="C95" s="140" t="str">
        <f t="shared" si="2"/>
        <v>OK</v>
      </c>
      <c r="D95" s="16"/>
      <c r="E95" s="17"/>
      <c r="F95" s="16"/>
      <c r="G95" s="16"/>
      <c r="H95" s="16"/>
      <c r="I95" s="259"/>
      <c r="J95" s="16"/>
      <c r="K95" s="16"/>
      <c r="L95" s="16"/>
      <c r="M95" s="16"/>
      <c r="O95" s="16"/>
      <c r="P95" s="16"/>
      <c r="Q95" s="16"/>
      <c r="R95" s="16"/>
      <c r="S95" s="16"/>
      <c r="T95" s="87"/>
      <c r="U95" s="87"/>
      <c r="Z95" s="87"/>
      <c r="AA95" s="87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1" t="s">
        <v>65</v>
      </c>
      <c r="B96" s="262" t="s">
        <v>37</v>
      </c>
      <c r="C96" s="140" t="str">
        <f t="shared" si="2"/>
        <v>OK</v>
      </c>
      <c r="D96" s="16"/>
      <c r="E96" s="17"/>
      <c r="F96" s="16"/>
      <c r="G96" s="16"/>
      <c r="H96" s="16"/>
      <c r="I96" s="259"/>
      <c r="J96" s="16"/>
      <c r="K96" s="16"/>
      <c r="L96" s="16"/>
      <c r="M96" s="16"/>
      <c r="O96" s="16"/>
      <c r="P96" s="16"/>
      <c r="Q96" s="16"/>
      <c r="R96" s="16"/>
      <c r="S96" s="16"/>
      <c r="T96" s="87"/>
      <c r="U96" s="87"/>
      <c r="Z96" s="87"/>
      <c r="AA96" s="87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08" t="s">
        <v>93</v>
      </c>
      <c r="B97" s="262" t="s">
        <v>15</v>
      </c>
      <c r="C97" s="140" t="str">
        <f t="shared" si="2"/>
        <v>OK</v>
      </c>
      <c r="D97" s="16"/>
      <c r="E97" s="17"/>
      <c r="F97" s="16"/>
      <c r="G97" s="16"/>
      <c r="H97" s="16"/>
      <c r="I97" s="259"/>
      <c r="J97" s="16"/>
      <c r="K97" s="16"/>
      <c r="L97" s="16"/>
      <c r="M97" s="16"/>
      <c r="O97" s="16"/>
      <c r="P97" s="16"/>
      <c r="Q97" s="16"/>
      <c r="R97" s="16"/>
      <c r="S97" s="16"/>
      <c r="T97" s="87"/>
      <c r="U97" s="87"/>
      <c r="Z97" s="87"/>
      <c r="AA97" s="87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1" t="s">
        <v>348</v>
      </c>
      <c r="B98" s="243" t="s">
        <v>25</v>
      </c>
      <c r="C98" s="140" t="str">
        <f t="shared" si="2"/>
        <v>OK</v>
      </c>
      <c r="D98" s="16"/>
      <c r="E98" s="17"/>
      <c r="F98" s="16"/>
      <c r="G98" s="16"/>
      <c r="H98" s="16"/>
      <c r="I98" s="259"/>
      <c r="J98" s="16"/>
      <c r="K98" s="16"/>
      <c r="L98" s="16"/>
      <c r="M98" s="16"/>
      <c r="O98" s="16"/>
      <c r="P98" s="16"/>
      <c r="Q98" s="16"/>
      <c r="R98" s="16"/>
      <c r="S98" s="16"/>
      <c r="T98" s="87"/>
      <c r="U98" s="87"/>
      <c r="Z98" s="87"/>
      <c r="AA98" s="87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08" t="s">
        <v>349</v>
      </c>
      <c r="B99" s="243" t="s">
        <v>63</v>
      </c>
      <c r="C99" s="140" t="str">
        <f t="shared" si="2"/>
        <v>OK</v>
      </c>
      <c r="D99" s="16"/>
      <c r="E99" s="17"/>
      <c r="F99" s="16"/>
      <c r="G99" s="16"/>
      <c r="H99" s="16"/>
      <c r="I99" s="259"/>
      <c r="J99" s="16"/>
      <c r="K99" s="16"/>
      <c r="L99" s="16"/>
      <c r="M99" s="16"/>
      <c r="O99" s="16"/>
      <c r="P99" s="16"/>
      <c r="Q99" s="16"/>
      <c r="R99" s="16"/>
      <c r="S99" s="16"/>
      <c r="T99" s="87"/>
      <c r="Z99" s="87"/>
      <c r="AA99" s="87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08" t="s">
        <v>350</v>
      </c>
      <c r="B100" s="243" t="s">
        <v>63</v>
      </c>
      <c r="C100" s="140" t="str">
        <f t="shared" si="2"/>
        <v>OK</v>
      </c>
      <c r="D100" s="16"/>
      <c r="E100" s="17"/>
      <c r="F100" s="16"/>
      <c r="G100" s="16"/>
      <c r="H100" s="16"/>
      <c r="I100" s="259"/>
      <c r="J100" s="16"/>
      <c r="K100" s="16"/>
      <c r="L100" s="16"/>
      <c r="M100" s="16"/>
      <c r="O100" s="16"/>
      <c r="P100" s="16"/>
      <c r="Q100" s="16"/>
      <c r="R100" s="16"/>
      <c r="S100" s="16"/>
      <c r="T100" s="87"/>
      <c r="U100" s="87"/>
      <c r="Z100" s="87"/>
      <c r="AA100" s="87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8" t="s">
        <v>351</v>
      </c>
      <c r="B101" s="243" t="s">
        <v>62</v>
      </c>
      <c r="C101" s="140" t="str">
        <f t="shared" si="2"/>
        <v>OK</v>
      </c>
      <c r="D101" s="16"/>
      <c r="E101" s="17"/>
      <c r="F101" s="16"/>
      <c r="G101" s="16"/>
      <c r="H101" s="16"/>
      <c r="I101" s="259"/>
      <c r="J101" s="16"/>
      <c r="K101" s="16"/>
      <c r="L101" s="16"/>
      <c r="M101" s="16"/>
      <c r="O101" s="16"/>
      <c r="P101" s="16"/>
      <c r="Q101" s="16"/>
      <c r="R101" s="16"/>
      <c r="S101" s="16"/>
      <c r="T101" s="87"/>
      <c r="U101" s="87"/>
      <c r="Z101" s="87"/>
      <c r="AA101" s="87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1" t="s">
        <v>51</v>
      </c>
      <c r="B102" s="262" t="s">
        <v>51</v>
      </c>
      <c r="C102" s="140" t="str">
        <f t="shared" si="2"/>
        <v>OK</v>
      </c>
      <c r="D102" s="16"/>
      <c r="E102" s="17"/>
      <c r="F102" s="16"/>
      <c r="G102" s="16"/>
      <c r="H102" s="16"/>
      <c r="I102" s="259"/>
      <c r="J102" s="16"/>
      <c r="K102" s="16"/>
      <c r="L102" s="16"/>
      <c r="M102" s="16"/>
      <c r="O102" s="16"/>
      <c r="P102" s="16"/>
      <c r="Q102" s="16"/>
      <c r="R102" s="16"/>
      <c r="S102" s="16"/>
      <c r="T102" s="87"/>
      <c r="U102" s="87"/>
      <c r="Z102" s="87"/>
      <c r="AA102" s="87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08" t="s">
        <v>352</v>
      </c>
      <c r="B103" s="246" t="s">
        <v>14</v>
      </c>
      <c r="C103" s="140" t="str">
        <f t="shared" si="2"/>
        <v>OK</v>
      </c>
      <c r="D103" s="16"/>
      <c r="E103" s="17"/>
      <c r="F103" s="16"/>
      <c r="G103" s="16"/>
      <c r="H103" s="16"/>
      <c r="I103" s="259"/>
      <c r="J103" s="16"/>
      <c r="K103" s="16"/>
      <c r="L103" s="16"/>
      <c r="M103" s="16"/>
      <c r="O103" s="16"/>
      <c r="P103" s="16"/>
      <c r="Q103" s="16"/>
      <c r="R103" s="16"/>
      <c r="S103" s="16"/>
      <c r="T103" s="87"/>
      <c r="U103" s="87"/>
      <c r="Z103" s="87"/>
      <c r="AA103" s="87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08" t="s">
        <v>108</v>
      </c>
      <c r="B104" s="246" t="s">
        <v>110</v>
      </c>
      <c r="C104" s="140" t="str">
        <f t="shared" si="2"/>
        <v>OK</v>
      </c>
      <c r="D104" s="16"/>
      <c r="E104" s="17"/>
      <c r="F104" s="16"/>
      <c r="G104" s="16"/>
      <c r="H104" s="16"/>
      <c r="I104" s="259"/>
      <c r="J104" s="16"/>
      <c r="K104" s="16"/>
      <c r="L104" s="16"/>
      <c r="M104" s="16"/>
      <c r="O104" s="16"/>
      <c r="P104" s="16"/>
      <c r="Q104" s="16"/>
      <c r="R104" s="16"/>
      <c r="S104" s="16"/>
      <c r="T104" s="87"/>
      <c r="U104" s="87"/>
      <c r="Z104" s="87"/>
      <c r="AA104" s="87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08" t="s">
        <v>109</v>
      </c>
      <c r="B105" s="243" t="s">
        <v>62</v>
      </c>
      <c r="C105" s="140" t="str">
        <f t="shared" si="2"/>
        <v>OK</v>
      </c>
      <c r="D105" s="16"/>
      <c r="E105" s="17"/>
      <c r="F105" s="16"/>
      <c r="G105" s="16"/>
      <c r="H105" s="16"/>
      <c r="I105" s="259"/>
      <c r="J105" s="16"/>
      <c r="K105" s="16"/>
      <c r="L105" s="16"/>
      <c r="M105" s="16"/>
      <c r="O105" s="16"/>
      <c r="P105" s="16"/>
      <c r="Q105" s="16"/>
      <c r="R105" s="16"/>
      <c r="S105" s="16"/>
      <c r="T105" s="87"/>
      <c r="U105" s="87"/>
      <c r="Z105" s="87"/>
      <c r="AA105" s="87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8" t="s">
        <v>143</v>
      </c>
      <c r="B106" s="243" t="s">
        <v>62</v>
      </c>
      <c r="C106" s="140" t="str">
        <f t="shared" si="2"/>
        <v>OK</v>
      </c>
      <c r="D106" s="16"/>
      <c r="E106" s="17"/>
      <c r="F106" s="16"/>
      <c r="G106" s="16"/>
      <c r="H106" s="16"/>
      <c r="I106" s="259"/>
      <c r="J106" s="16"/>
      <c r="K106" s="16"/>
      <c r="L106" s="16"/>
      <c r="M106" s="16"/>
      <c r="O106" s="16"/>
      <c r="P106" s="16"/>
      <c r="Q106" s="16"/>
      <c r="R106" s="16"/>
      <c r="S106" s="16"/>
      <c r="T106" s="87"/>
      <c r="U106" s="87"/>
      <c r="Z106" s="87"/>
      <c r="AA106" s="87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8" t="s">
        <v>353</v>
      </c>
      <c r="B107" s="262" t="s">
        <v>2</v>
      </c>
      <c r="C107" s="140" t="str">
        <f t="shared" si="2"/>
        <v>OK</v>
      </c>
      <c r="D107" s="16"/>
      <c r="E107" s="17"/>
      <c r="F107" s="16"/>
      <c r="G107" s="16"/>
      <c r="H107" s="16"/>
      <c r="I107" s="259"/>
      <c r="J107" s="16"/>
      <c r="K107" s="16"/>
      <c r="L107" s="16"/>
      <c r="M107" s="16"/>
      <c r="O107" s="16"/>
      <c r="P107" s="16"/>
      <c r="Q107" s="16"/>
      <c r="R107" s="16"/>
      <c r="S107" s="16"/>
      <c r="T107" s="87"/>
      <c r="U107" s="87"/>
      <c r="Z107" s="87"/>
      <c r="AA107" s="87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8" t="s">
        <v>354</v>
      </c>
      <c r="B108" s="262" t="s">
        <v>6</v>
      </c>
      <c r="C108" s="140" t="str">
        <f t="shared" si="2"/>
        <v>OK</v>
      </c>
      <c r="D108" s="16"/>
      <c r="E108" s="17"/>
      <c r="F108" s="16"/>
      <c r="G108" s="16"/>
      <c r="H108" s="16"/>
      <c r="I108" s="259"/>
      <c r="J108" s="16"/>
      <c r="K108" s="16"/>
      <c r="L108" s="16"/>
      <c r="M108" s="16"/>
      <c r="O108" s="16"/>
      <c r="P108" s="16"/>
      <c r="Q108" s="16"/>
      <c r="R108" s="16"/>
      <c r="S108" s="16"/>
      <c r="T108" s="87"/>
      <c r="U108" s="87"/>
      <c r="Z108" s="87"/>
      <c r="AA108" s="87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8" t="s">
        <v>355</v>
      </c>
      <c r="B109" s="262" t="s">
        <v>25</v>
      </c>
      <c r="C109" s="140" t="str">
        <f t="shared" si="2"/>
        <v>OK</v>
      </c>
      <c r="D109" s="16"/>
      <c r="E109" s="16"/>
      <c r="F109" s="16"/>
      <c r="G109" s="16"/>
      <c r="H109" s="16"/>
      <c r="I109" s="259"/>
      <c r="J109" s="16"/>
      <c r="K109" s="16"/>
      <c r="L109" s="16"/>
      <c r="M109" s="16"/>
      <c r="O109" s="16"/>
      <c r="P109" s="16"/>
      <c r="Q109" s="16"/>
      <c r="R109" s="16"/>
      <c r="S109" s="16"/>
      <c r="T109" s="87"/>
      <c r="Z109" s="87"/>
      <c r="AA109" s="87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8" t="s">
        <v>356</v>
      </c>
      <c r="B110" s="262" t="s">
        <v>6</v>
      </c>
      <c r="C110" s="140" t="str">
        <f t="shared" si="2"/>
        <v>OK</v>
      </c>
      <c r="D110" s="16"/>
      <c r="E110" s="16"/>
      <c r="F110" s="16"/>
      <c r="G110" s="16"/>
      <c r="H110" s="16"/>
      <c r="I110" s="259"/>
      <c r="J110" s="16"/>
      <c r="K110" s="16"/>
      <c r="L110" s="16"/>
      <c r="M110" s="16"/>
      <c r="O110" s="16"/>
      <c r="P110" s="16"/>
      <c r="Q110" s="16"/>
      <c r="R110" s="16"/>
      <c r="S110" s="16"/>
      <c r="T110" s="87"/>
      <c r="U110" s="87"/>
      <c r="Z110" s="87"/>
      <c r="AA110" s="87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8" t="s">
        <v>146</v>
      </c>
      <c r="B111" s="262" t="s">
        <v>46</v>
      </c>
      <c r="C111" s="140" t="str">
        <f t="shared" si="2"/>
        <v>OK</v>
      </c>
      <c r="D111" s="16"/>
      <c r="E111" s="16"/>
      <c r="F111" s="16"/>
      <c r="G111" s="16"/>
      <c r="H111" s="16"/>
      <c r="I111" s="259"/>
      <c r="J111" s="16"/>
      <c r="K111" s="16"/>
      <c r="L111" s="16"/>
      <c r="M111" s="16"/>
      <c r="O111" s="16"/>
      <c r="P111" s="16"/>
      <c r="Q111" s="16"/>
      <c r="R111" s="16"/>
      <c r="S111" s="16"/>
      <c r="T111" s="87"/>
      <c r="U111" s="87"/>
      <c r="Z111" s="87"/>
      <c r="AA111" s="87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8" t="s">
        <v>147</v>
      </c>
      <c r="B112" s="262" t="s">
        <v>31</v>
      </c>
      <c r="C112" s="140" t="str">
        <f t="shared" si="2"/>
        <v>OK</v>
      </c>
      <c r="D112" s="16"/>
      <c r="E112" s="16"/>
      <c r="F112" s="16"/>
      <c r="G112" s="16"/>
      <c r="H112" s="16"/>
      <c r="I112" s="259"/>
      <c r="J112" s="16"/>
      <c r="K112" s="16"/>
      <c r="L112" s="16"/>
      <c r="M112" s="16"/>
      <c r="O112" s="16"/>
      <c r="P112" s="16"/>
      <c r="Q112" s="16"/>
      <c r="R112" s="16"/>
      <c r="S112" s="16"/>
      <c r="T112" s="87"/>
      <c r="U112" s="87"/>
      <c r="Z112" s="87"/>
      <c r="AA112" s="87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8" t="s">
        <v>357</v>
      </c>
      <c r="B113" s="243" t="s">
        <v>23</v>
      </c>
      <c r="C113" s="140" t="str">
        <f t="shared" si="2"/>
        <v>OK</v>
      </c>
      <c r="D113" s="16"/>
      <c r="E113" s="16"/>
      <c r="F113" s="16"/>
      <c r="G113" s="16"/>
      <c r="H113" s="16"/>
      <c r="I113" s="259"/>
      <c r="J113" s="16"/>
      <c r="K113" s="16"/>
      <c r="L113" s="16"/>
      <c r="M113" s="16"/>
      <c r="O113" s="16"/>
      <c r="P113" s="16"/>
      <c r="Q113" s="16"/>
      <c r="R113" s="16"/>
      <c r="S113" s="16"/>
      <c r="T113" s="87"/>
      <c r="Z113" s="87"/>
      <c r="AA113" s="87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8" t="s">
        <v>358</v>
      </c>
      <c r="B114" s="262" t="s">
        <v>2</v>
      </c>
      <c r="C114" s="140" t="str">
        <f t="shared" si="2"/>
        <v>OK</v>
      </c>
      <c r="D114" s="16"/>
      <c r="E114" s="16"/>
      <c r="F114" s="16"/>
      <c r="G114" s="16"/>
      <c r="H114" s="16"/>
      <c r="I114" s="259"/>
      <c r="J114" s="16"/>
      <c r="K114" s="16"/>
      <c r="L114" s="16"/>
      <c r="M114" s="16"/>
      <c r="O114" s="16"/>
      <c r="P114" s="16"/>
      <c r="Q114" s="16"/>
      <c r="R114" s="16"/>
      <c r="S114" s="16"/>
      <c r="T114" s="87"/>
      <c r="U114" s="87"/>
      <c r="Z114" s="87"/>
      <c r="AA114" s="87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8" t="s">
        <v>148</v>
      </c>
      <c r="B115" s="246" t="s">
        <v>110</v>
      </c>
      <c r="C115" s="140" t="str">
        <f t="shared" si="2"/>
        <v>OK</v>
      </c>
      <c r="D115" s="16"/>
      <c r="E115" s="16"/>
      <c r="F115" s="16"/>
      <c r="G115" s="16"/>
      <c r="H115" s="16"/>
      <c r="I115" s="259"/>
      <c r="J115" s="16"/>
      <c r="K115" s="16"/>
      <c r="L115" s="16"/>
      <c r="M115" s="16"/>
      <c r="O115" s="16"/>
      <c r="P115" s="16"/>
      <c r="Q115" s="16"/>
      <c r="R115" s="16"/>
      <c r="S115" s="16"/>
      <c r="T115" s="87"/>
      <c r="U115" s="87"/>
      <c r="W115" s="87"/>
      <c r="X115" s="87"/>
      <c r="Z115" s="87"/>
      <c r="AA115" s="87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8" t="s">
        <v>359</v>
      </c>
      <c r="B116" s="262" t="s">
        <v>2</v>
      </c>
      <c r="C116" s="140" t="str">
        <f t="shared" si="2"/>
        <v>OK</v>
      </c>
      <c r="D116" s="16"/>
      <c r="E116" s="16"/>
      <c r="F116" s="16"/>
      <c r="G116" s="16"/>
      <c r="H116" s="16"/>
      <c r="I116" s="259"/>
      <c r="J116" s="16"/>
      <c r="K116" s="16"/>
      <c r="L116" s="16"/>
      <c r="M116" s="16"/>
      <c r="O116" s="16"/>
      <c r="P116" s="16"/>
      <c r="Q116" s="16"/>
      <c r="R116" s="16"/>
      <c r="S116" s="16"/>
      <c r="T116" s="87"/>
      <c r="U116" s="87"/>
      <c r="W116" s="87"/>
      <c r="X116" s="87"/>
      <c r="Z116" s="87"/>
      <c r="AA116" s="87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8" t="s">
        <v>149</v>
      </c>
      <c r="B117" s="243" t="s">
        <v>62</v>
      </c>
      <c r="C117" s="140" t="str">
        <f t="shared" si="2"/>
        <v>OK</v>
      </c>
      <c r="D117" s="16"/>
      <c r="E117" s="16"/>
      <c r="F117" s="16"/>
      <c r="G117" s="16"/>
      <c r="H117" s="16"/>
      <c r="I117" s="259"/>
      <c r="J117" s="16"/>
      <c r="K117" s="16"/>
      <c r="L117" s="16"/>
      <c r="M117" s="16"/>
      <c r="O117" s="16"/>
      <c r="P117" s="16"/>
      <c r="Q117" s="16"/>
      <c r="R117" s="16"/>
      <c r="S117" s="16"/>
      <c r="T117" s="87"/>
      <c r="U117" s="87"/>
      <c r="W117" s="87"/>
      <c r="X117" s="87"/>
      <c r="Z117" s="87"/>
      <c r="AA117" s="87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8" t="s">
        <v>150</v>
      </c>
      <c r="B118" s="262" t="s">
        <v>6</v>
      </c>
      <c r="C118" s="140" t="str">
        <f t="shared" si="2"/>
        <v>OK</v>
      </c>
      <c r="D118" s="16"/>
      <c r="E118" s="16"/>
      <c r="F118" s="16"/>
      <c r="G118" s="16"/>
      <c r="H118" s="16"/>
      <c r="I118" s="259"/>
      <c r="J118" s="16"/>
      <c r="K118" s="16"/>
      <c r="L118" s="16"/>
      <c r="M118" s="16"/>
      <c r="O118" s="16"/>
      <c r="P118" s="16"/>
      <c r="Q118" s="16"/>
      <c r="R118" s="16"/>
      <c r="S118" s="16"/>
      <c r="T118" s="87"/>
      <c r="U118" s="87"/>
      <c r="W118" s="87"/>
      <c r="X118" s="87"/>
      <c r="Z118" s="87"/>
      <c r="AA118" s="87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08" t="s">
        <v>325</v>
      </c>
      <c r="B119" s="243" t="s">
        <v>62</v>
      </c>
      <c r="C119" s="140" t="str">
        <f t="shared" si="2"/>
        <v>OK</v>
      </c>
      <c r="D119" s="16"/>
      <c r="E119" s="16"/>
      <c r="F119" s="16"/>
      <c r="G119" s="16"/>
      <c r="H119" s="16"/>
      <c r="I119" s="259"/>
      <c r="J119" s="16"/>
      <c r="K119" s="16"/>
      <c r="L119" s="16"/>
      <c r="M119" s="16"/>
      <c r="O119" s="16"/>
      <c r="P119" s="16"/>
      <c r="Q119" s="16"/>
      <c r="R119" s="16"/>
      <c r="S119" s="16"/>
      <c r="T119" s="87"/>
      <c r="U119" s="87"/>
      <c r="W119" s="87"/>
      <c r="X119" s="87"/>
      <c r="Z119" s="87"/>
      <c r="AA119" s="87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08" t="s">
        <v>145</v>
      </c>
      <c r="B120" s="243" t="s">
        <v>63</v>
      </c>
      <c r="C120" s="140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59"/>
      <c r="J120" s="16"/>
      <c r="K120" s="16"/>
      <c r="L120" s="16"/>
      <c r="M120" s="16"/>
      <c r="O120" s="16"/>
      <c r="P120" s="16"/>
      <c r="Q120" s="16"/>
      <c r="R120" s="16"/>
      <c r="S120" s="16"/>
      <c r="T120" s="87"/>
      <c r="U120" s="87"/>
      <c r="Z120" s="87"/>
      <c r="AA120" s="87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8" t="s">
        <v>304</v>
      </c>
      <c r="B121" s="262" t="s">
        <v>31</v>
      </c>
      <c r="C121" s="140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59"/>
      <c r="J121" s="16"/>
      <c r="K121" s="16"/>
      <c r="L121" s="16"/>
      <c r="M121" s="16"/>
      <c r="O121" s="16"/>
      <c r="P121" s="16"/>
      <c r="Q121" s="16"/>
      <c r="R121" s="16"/>
      <c r="S121" s="16"/>
      <c r="T121" s="87"/>
      <c r="Z121" s="87"/>
      <c r="AA121" s="87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8" t="s">
        <v>306</v>
      </c>
      <c r="B122" s="262" t="s">
        <v>46</v>
      </c>
      <c r="C122" s="140" t="str">
        <f t="shared" si="3"/>
        <v>OK</v>
      </c>
      <c r="D122" s="16"/>
      <c r="E122" s="16"/>
      <c r="F122" s="16"/>
      <c r="G122" s="16"/>
      <c r="H122" s="16"/>
      <c r="I122" s="259"/>
      <c r="J122" s="16"/>
      <c r="K122" s="16"/>
      <c r="L122" s="16"/>
      <c r="M122" s="16"/>
      <c r="O122" s="16"/>
      <c r="P122" s="16"/>
      <c r="Q122" s="16"/>
      <c r="R122" s="16"/>
      <c r="S122" s="16"/>
      <c r="T122" s="87"/>
      <c r="Z122" s="87"/>
      <c r="AA122" s="87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8" t="s">
        <v>307</v>
      </c>
      <c r="B123" s="262" t="s">
        <v>25</v>
      </c>
      <c r="C123" s="140" t="str">
        <f t="shared" si="3"/>
        <v>OK</v>
      </c>
      <c r="D123" s="16"/>
      <c r="E123" s="16"/>
      <c r="F123" s="16"/>
      <c r="G123" s="16"/>
      <c r="H123" s="16"/>
      <c r="I123" s="259"/>
      <c r="J123" s="16"/>
      <c r="K123" s="16"/>
      <c r="L123" s="16"/>
      <c r="M123" s="16"/>
      <c r="O123" s="16"/>
      <c r="P123" s="16"/>
      <c r="Q123" s="16"/>
      <c r="R123" s="16"/>
      <c r="S123" s="16"/>
      <c r="T123" s="87"/>
      <c r="Z123" s="87"/>
      <c r="AA123" s="87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08" t="s">
        <v>305</v>
      </c>
      <c r="B124" s="262" t="s">
        <v>49</v>
      </c>
      <c r="C124" s="140" t="str">
        <f t="shared" si="3"/>
        <v>OK</v>
      </c>
      <c r="D124" s="16"/>
      <c r="E124" s="16"/>
      <c r="F124" s="16"/>
      <c r="G124" s="16"/>
      <c r="H124" s="16"/>
      <c r="I124" s="259"/>
      <c r="J124" s="16"/>
      <c r="K124" s="16"/>
      <c r="L124" s="16"/>
      <c r="M124" s="16"/>
      <c r="O124" s="16"/>
      <c r="P124" s="16"/>
      <c r="Q124" s="16"/>
      <c r="R124" s="16"/>
      <c r="S124" s="16"/>
      <c r="T124" s="87"/>
      <c r="U124" s="382"/>
      <c r="Z124" s="87"/>
      <c r="AA124" s="87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8" t="s">
        <v>308</v>
      </c>
      <c r="B125" s="262" t="s">
        <v>37</v>
      </c>
      <c r="C125" s="140" t="str">
        <f t="shared" si="3"/>
        <v>OK</v>
      </c>
      <c r="D125" s="16"/>
      <c r="E125" s="16"/>
      <c r="F125" s="16"/>
      <c r="G125" s="16"/>
      <c r="H125" s="16"/>
      <c r="I125" s="259"/>
      <c r="J125" s="16"/>
      <c r="K125" s="16"/>
      <c r="L125" s="16"/>
      <c r="M125" s="16"/>
      <c r="O125" s="16"/>
      <c r="P125" s="16"/>
      <c r="Q125" s="16"/>
      <c r="R125" s="16"/>
      <c r="S125" s="16"/>
      <c r="T125" s="87"/>
      <c r="W125" s="87"/>
      <c r="X125" s="87"/>
      <c r="Z125" s="87"/>
      <c r="AA125" s="87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8" t="s">
        <v>309</v>
      </c>
      <c r="B126" s="262" t="s">
        <v>25</v>
      </c>
      <c r="C126" s="140" t="str">
        <f t="shared" si="3"/>
        <v>OK</v>
      </c>
      <c r="D126" s="16"/>
      <c r="E126" s="16"/>
      <c r="F126" s="16"/>
      <c r="G126" s="16"/>
      <c r="H126" s="16"/>
      <c r="I126" s="259"/>
      <c r="J126" s="16"/>
      <c r="K126" s="16"/>
      <c r="L126" s="16"/>
      <c r="M126" s="16"/>
      <c r="O126" s="16"/>
      <c r="P126" s="16"/>
      <c r="Q126" s="16"/>
      <c r="R126" s="16"/>
      <c r="S126" s="16"/>
      <c r="T126" s="87"/>
      <c r="U126" s="87"/>
      <c r="W126" s="87"/>
      <c r="X126" s="87"/>
      <c r="Z126" s="87"/>
      <c r="AA126" s="87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8" t="s">
        <v>310</v>
      </c>
      <c r="B127" s="262" t="s">
        <v>2</v>
      </c>
      <c r="C127" s="140" t="str">
        <f t="shared" si="3"/>
        <v>OK</v>
      </c>
      <c r="D127" s="16"/>
      <c r="E127" s="16"/>
      <c r="F127" s="16"/>
      <c r="G127" s="16"/>
      <c r="H127" s="16"/>
      <c r="I127" s="259"/>
      <c r="J127" s="16"/>
      <c r="K127" s="16"/>
      <c r="L127" s="16"/>
      <c r="M127" s="16"/>
      <c r="O127" s="16"/>
      <c r="P127" s="16"/>
      <c r="Q127" s="16"/>
      <c r="R127" s="16"/>
      <c r="S127" s="16"/>
      <c r="T127" s="87"/>
      <c r="Z127" s="87"/>
      <c r="AA127" s="87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8" t="s">
        <v>311</v>
      </c>
      <c r="B128" s="262" t="s">
        <v>31</v>
      </c>
      <c r="C128" s="140" t="str">
        <f t="shared" si="3"/>
        <v>OK</v>
      </c>
      <c r="D128" s="16"/>
      <c r="E128" s="16"/>
      <c r="F128" s="16"/>
      <c r="G128" s="16"/>
      <c r="H128" s="16"/>
      <c r="I128" s="259"/>
      <c r="J128" s="16"/>
      <c r="K128" s="16"/>
      <c r="L128" s="16"/>
      <c r="M128" s="16"/>
      <c r="O128" s="16"/>
      <c r="P128" s="16"/>
      <c r="Q128" s="16"/>
      <c r="R128" s="16"/>
      <c r="S128" s="16"/>
      <c r="T128" s="87"/>
      <c r="U128" s="87"/>
      <c r="Z128" s="87"/>
      <c r="AA128" s="87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8" t="s">
        <v>312</v>
      </c>
      <c r="B129" s="262" t="s">
        <v>17</v>
      </c>
      <c r="C129" s="140" t="str">
        <f t="shared" si="3"/>
        <v>OK</v>
      </c>
      <c r="D129" s="16"/>
      <c r="E129" s="16"/>
      <c r="F129" s="16"/>
      <c r="G129" s="16"/>
      <c r="H129" s="16"/>
      <c r="I129" s="259"/>
      <c r="J129" s="16"/>
      <c r="K129" s="16"/>
      <c r="L129" s="16"/>
      <c r="M129" s="16"/>
      <c r="O129" s="16"/>
      <c r="P129" s="16"/>
      <c r="Q129" s="16"/>
      <c r="R129" s="16"/>
      <c r="S129" s="16"/>
      <c r="T129" s="87"/>
      <c r="Z129" s="87"/>
      <c r="AA129" s="87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8" t="s">
        <v>313</v>
      </c>
      <c r="B130" s="262" t="s">
        <v>31</v>
      </c>
      <c r="C130" s="140" t="str">
        <f t="shared" si="3"/>
        <v>OK</v>
      </c>
      <c r="D130" s="16"/>
      <c r="E130" s="16"/>
      <c r="F130" s="16"/>
      <c r="G130" s="16"/>
      <c r="H130" s="16"/>
      <c r="I130" s="259"/>
      <c r="J130" s="16"/>
      <c r="K130" s="16"/>
      <c r="L130" s="16"/>
      <c r="M130" s="16"/>
      <c r="O130" s="16"/>
      <c r="P130" s="16"/>
      <c r="Q130" s="16"/>
      <c r="R130" s="16"/>
      <c r="S130" s="16"/>
      <c r="T130" s="87"/>
      <c r="U130" s="87"/>
      <c r="Z130" s="87"/>
      <c r="AA130" s="87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8" t="s">
        <v>314</v>
      </c>
      <c r="B131" s="262" t="s">
        <v>3</v>
      </c>
      <c r="C131" s="140">
        <f t="shared" si="3"/>
        <v>0</v>
      </c>
      <c r="D131" s="16"/>
      <c r="E131" s="16"/>
      <c r="F131" s="16"/>
      <c r="G131" s="16"/>
      <c r="H131" s="16"/>
      <c r="I131" s="259"/>
      <c r="J131" s="16"/>
      <c r="K131" s="16"/>
      <c r="L131" s="16"/>
      <c r="M131" s="16"/>
      <c r="O131" s="16"/>
      <c r="P131" s="16"/>
      <c r="Q131" s="16"/>
      <c r="R131" s="16"/>
      <c r="S131" s="16"/>
      <c r="T131" s="87"/>
      <c r="Z131" s="87"/>
      <c r="AA131" s="87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8" t="s">
        <v>414</v>
      </c>
      <c r="B132" s="243" t="s">
        <v>63</v>
      </c>
      <c r="C132" s="140" t="str">
        <f t="shared" si="3"/>
        <v>OK</v>
      </c>
      <c r="D132" s="16"/>
      <c r="E132" s="16"/>
      <c r="F132" s="16"/>
      <c r="G132" s="16"/>
      <c r="H132" s="16"/>
      <c r="I132" s="259"/>
      <c r="J132" s="16"/>
      <c r="K132" s="16"/>
      <c r="L132" s="16"/>
      <c r="M132" s="16"/>
      <c r="O132" s="16"/>
      <c r="P132" s="16"/>
      <c r="Q132" s="16"/>
      <c r="R132" s="16"/>
      <c r="S132" s="16"/>
      <c r="T132" s="87"/>
      <c r="Z132" s="87"/>
      <c r="AA132" s="87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8" t="s">
        <v>588</v>
      </c>
      <c r="B133" s="262" t="s">
        <v>46</v>
      </c>
      <c r="C133" s="140" t="str">
        <f t="shared" si="3"/>
        <v>OK</v>
      </c>
      <c r="D133" s="16"/>
      <c r="E133" s="16"/>
      <c r="F133" s="16"/>
      <c r="G133" s="16"/>
      <c r="H133" s="16"/>
      <c r="I133" s="259"/>
      <c r="J133" s="16"/>
      <c r="K133" s="16"/>
      <c r="L133" s="16"/>
      <c r="M133" s="16"/>
      <c r="O133" s="16"/>
      <c r="P133" s="16"/>
      <c r="Q133" s="16"/>
      <c r="R133" s="16"/>
      <c r="S133" s="16"/>
      <c r="T133" s="87"/>
      <c r="U133" s="87"/>
      <c r="Z133" s="87"/>
      <c r="AA133" s="87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8" t="s">
        <v>708</v>
      </c>
      <c r="B134" s="262" t="s">
        <v>29</v>
      </c>
      <c r="C134" s="140" t="str">
        <f t="shared" si="3"/>
        <v>OK</v>
      </c>
      <c r="D134" s="16"/>
      <c r="E134" s="16"/>
      <c r="F134" s="16"/>
      <c r="G134" s="16"/>
      <c r="H134" s="16"/>
      <c r="I134" s="259"/>
      <c r="J134" s="16"/>
      <c r="K134" s="16"/>
      <c r="L134" s="16"/>
      <c r="M134" s="16"/>
      <c r="O134" s="16"/>
      <c r="P134" s="16"/>
      <c r="Q134" s="16"/>
      <c r="R134" s="16"/>
      <c r="S134" s="16"/>
      <c r="T134" s="87"/>
      <c r="U134" s="87"/>
      <c r="Z134" s="87"/>
      <c r="AA134" s="87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8" t="s">
        <v>709</v>
      </c>
      <c r="B135" s="262" t="s">
        <v>17</v>
      </c>
      <c r="C135" s="140" t="str">
        <f t="shared" si="3"/>
        <v>OK</v>
      </c>
      <c r="D135" s="16"/>
      <c r="E135" s="16"/>
      <c r="F135" s="16"/>
      <c r="G135" s="16"/>
      <c r="H135" s="16"/>
      <c r="I135" s="259"/>
      <c r="J135" s="16"/>
      <c r="K135" s="16"/>
      <c r="L135" s="16"/>
      <c r="M135" s="16"/>
      <c r="O135" s="16"/>
      <c r="P135" s="16"/>
      <c r="Q135" s="16"/>
      <c r="R135" s="16"/>
      <c r="S135" s="16"/>
      <c r="T135" s="87"/>
      <c r="U135" s="87"/>
      <c r="Z135" s="87"/>
      <c r="AA135" s="87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8" t="s">
        <v>710</v>
      </c>
      <c r="B136" s="262" t="s">
        <v>6</v>
      </c>
      <c r="C136" s="140" t="str">
        <f t="shared" si="3"/>
        <v>OK</v>
      </c>
      <c r="D136" s="16"/>
      <c r="E136" s="16"/>
      <c r="F136" s="16"/>
      <c r="G136" s="16"/>
      <c r="H136" s="16"/>
      <c r="I136" s="259"/>
      <c r="J136" s="16"/>
      <c r="K136" s="16"/>
      <c r="L136" s="16"/>
      <c r="M136" s="16"/>
      <c r="O136" s="16"/>
      <c r="P136" s="16"/>
      <c r="Q136" s="16"/>
      <c r="R136" s="16"/>
      <c r="S136" s="16"/>
      <c r="T136" s="87"/>
      <c r="U136" s="382"/>
      <c r="Z136" s="87"/>
      <c r="AA136" s="87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8" t="s">
        <v>711</v>
      </c>
      <c r="B137" s="262" t="s">
        <v>26</v>
      </c>
      <c r="C137" s="140" t="str">
        <f t="shared" si="3"/>
        <v>OK</v>
      </c>
      <c r="D137" s="16"/>
      <c r="E137" s="16"/>
      <c r="F137" s="16"/>
      <c r="G137" s="16"/>
      <c r="H137" s="16"/>
      <c r="I137" s="259"/>
      <c r="J137" s="16"/>
      <c r="K137" s="16"/>
      <c r="L137" s="16"/>
      <c r="M137" s="16"/>
      <c r="O137" s="16"/>
      <c r="P137" s="16"/>
      <c r="Q137" s="16"/>
      <c r="R137" s="16"/>
      <c r="S137" s="16"/>
      <c r="T137" s="87"/>
      <c r="U137" s="382"/>
      <c r="Z137" s="87"/>
      <c r="AA137" s="87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8" t="s">
        <v>712</v>
      </c>
      <c r="B138" s="243" t="s">
        <v>62</v>
      </c>
      <c r="C138" s="140" t="str">
        <f t="shared" si="3"/>
        <v>OK</v>
      </c>
      <c r="D138" s="16"/>
      <c r="E138" s="16"/>
      <c r="F138" s="16"/>
      <c r="G138" s="16"/>
      <c r="H138" s="16"/>
      <c r="I138" s="259"/>
      <c r="J138" s="16"/>
      <c r="K138" s="16"/>
      <c r="L138" s="16"/>
      <c r="M138" s="16"/>
      <c r="O138" s="16"/>
      <c r="P138" s="16"/>
      <c r="Q138" s="16"/>
      <c r="R138" s="16"/>
      <c r="S138" s="16"/>
      <c r="T138" s="87"/>
      <c r="Z138" s="87"/>
      <c r="AA138" s="87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08" t="s">
        <v>713</v>
      </c>
      <c r="B139" s="262" t="s">
        <v>319</v>
      </c>
      <c r="C139" s="140" t="str">
        <f t="shared" si="3"/>
        <v>OK</v>
      </c>
      <c r="D139" s="16"/>
      <c r="E139" s="16"/>
      <c r="F139" s="16"/>
      <c r="G139" s="16"/>
      <c r="H139" s="16"/>
      <c r="I139" s="259"/>
      <c r="J139" s="16"/>
      <c r="K139" s="16"/>
      <c r="L139" s="16"/>
      <c r="M139" s="16"/>
      <c r="O139" s="16"/>
      <c r="P139" s="16"/>
      <c r="Q139" s="16"/>
      <c r="R139" s="16"/>
      <c r="S139" s="16"/>
      <c r="T139" s="87"/>
      <c r="Z139" s="87"/>
      <c r="AA139" s="87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08" t="s">
        <v>714</v>
      </c>
      <c r="B140" s="243" t="s">
        <v>63</v>
      </c>
      <c r="C140" s="140" t="str">
        <f t="shared" si="3"/>
        <v>OK</v>
      </c>
      <c r="D140" s="16"/>
      <c r="E140" s="16"/>
      <c r="F140" s="16"/>
      <c r="G140" s="16"/>
      <c r="H140" s="16"/>
      <c r="I140" s="259"/>
      <c r="J140" s="16"/>
      <c r="K140" s="16"/>
      <c r="L140" s="16"/>
      <c r="M140" s="16"/>
      <c r="O140" s="16"/>
      <c r="P140" s="16"/>
      <c r="Q140" s="16"/>
      <c r="R140" s="16"/>
      <c r="S140" s="16"/>
      <c r="T140" s="87"/>
      <c r="Z140" s="87"/>
      <c r="AA140" s="87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08" t="s">
        <v>845</v>
      </c>
      <c r="B141" s="262" t="s">
        <v>319</v>
      </c>
      <c r="C141" s="140" t="str">
        <f t="shared" si="3"/>
        <v>OK</v>
      </c>
      <c r="D141" s="16"/>
      <c r="E141" s="16"/>
      <c r="F141" s="16"/>
      <c r="G141" s="16"/>
      <c r="H141" s="16"/>
      <c r="I141" s="259"/>
      <c r="J141" s="16"/>
      <c r="K141" s="16"/>
      <c r="L141" s="16"/>
      <c r="M141" s="16"/>
      <c r="O141" s="16"/>
      <c r="P141" s="16"/>
      <c r="Q141" s="16"/>
      <c r="R141" s="16"/>
      <c r="S141" s="16"/>
      <c r="T141" s="87"/>
      <c r="U141" s="82"/>
      <c r="Z141" s="87"/>
      <c r="AA141" s="87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08"/>
      <c r="B142" s="262"/>
      <c r="C142" s="140" t="str">
        <f t="shared" si="3"/>
        <v/>
      </c>
      <c r="D142" s="16"/>
      <c r="E142" s="16"/>
      <c r="F142" s="16"/>
      <c r="G142" s="16"/>
      <c r="H142" s="16"/>
      <c r="I142" s="259"/>
      <c r="J142" s="16"/>
      <c r="K142" s="16"/>
      <c r="L142" s="16"/>
      <c r="M142" s="16"/>
      <c r="O142" s="16"/>
      <c r="P142" s="16"/>
      <c r="Q142" s="16"/>
      <c r="R142" s="16"/>
      <c r="S142" s="16"/>
      <c r="T142" s="87"/>
      <c r="U142" s="87"/>
      <c r="Z142" s="87"/>
      <c r="AA142" s="87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08"/>
      <c r="B143" s="262"/>
      <c r="C143" s="140" t="str">
        <f t="shared" si="3"/>
        <v/>
      </c>
      <c r="D143" s="16"/>
      <c r="E143" s="16"/>
      <c r="F143" s="16"/>
      <c r="G143" s="16"/>
      <c r="H143" s="16"/>
      <c r="I143" s="259"/>
      <c r="J143" s="16"/>
      <c r="K143" s="16"/>
      <c r="L143" s="16"/>
      <c r="M143" s="16"/>
      <c r="O143" s="16"/>
      <c r="P143" s="16"/>
      <c r="Q143" s="16"/>
      <c r="R143" s="16"/>
      <c r="S143" s="16"/>
      <c r="T143" s="87"/>
      <c r="U143" s="382"/>
      <c r="Z143" s="87"/>
      <c r="AA143" s="87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08"/>
      <c r="B144" s="262"/>
      <c r="C144" s="140" t="str">
        <f t="shared" si="3"/>
        <v/>
      </c>
      <c r="D144" s="16"/>
      <c r="E144" s="16"/>
      <c r="F144" s="16"/>
      <c r="G144" s="16"/>
      <c r="H144" s="16"/>
      <c r="I144" s="259"/>
      <c r="J144" s="16"/>
      <c r="K144" s="16"/>
      <c r="L144" s="16"/>
      <c r="M144" s="16"/>
      <c r="O144" s="16"/>
      <c r="P144" s="16"/>
      <c r="Q144" s="16"/>
      <c r="R144" s="16"/>
      <c r="S144" s="16"/>
      <c r="T144" s="87"/>
      <c r="U144" s="87"/>
      <c r="Z144" s="87"/>
      <c r="AA144" s="87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08"/>
      <c r="B145" s="262"/>
      <c r="C145" s="140" t="str">
        <f t="shared" si="3"/>
        <v/>
      </c>
      <c r="D145" s="16"/>
      <c r="E145" s="16"/>
      <c r="F145" s="16"/>
      <c r="G145" s="16"/>
      <c r="H145" s="16"/>
      <c r="I145" s="259"/>
      <c r="J145" s="16"/>
      <c r="K145" s="16"/>
      <c r="L145" s="16"/>
      <c r="M145" s="16"/>
      <c r="O145" s="16"/>
      <c r="P145" s="16"/>
      <c r="Q145" s="16"/>
      <c r="R145" s="16"/>
      <c r="S145" s="16"/>
      <c r="T145" s="87"/>
      <c r="U145" s="87"/>
      <c r="Z145" s="87"/>
      <c r="AA145" s="87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08"/>
      <c r="B146" s="262"/>
      <c r="C146" s="140" t="str">
        <f t="shared" si="3"/>
        <v/>
      </c>
      <c r="D146" s="16"/>
      <c r="E146" s="16"/>
      <c r="F146" s="16"/>
      <c r="G146" s="16"/>
      <c r="H146" s="16"/>
      <c r="I146" s="259"/>
      <c r="J146" s="16"/>
      <c r="K146" s="16"/>
      <c r="L146" s="16"/>
      <c r="M146" s="16"/>
      <c r="O146" s="16"/>
      <c r="P146" s="16"/>
      <c r="Q146" s="16"/>
      <c r="R146" s="16"/>
      <c r="S146" s="16"/>
      <c r="T146" s="87"/>
      <c r="Z146" s="87"/>
      <c r="AA146" s="87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08"/>
      <c r="B147" s="262"/>
      <c r="C147" s="140" t="str">
        <f t="shared" si="3"/>
        <v/>
      </c>
      <c r="D147" s="16"/>
      <c r="E147" s="16"/>
      <c r="F147" s="16"/>
      <c r="G147" s="16"/>
      <c r="H147" s="16"/>
      <c r="I147" s="259"/>
      <c r="J147" s="16"/>
      <c r="K147" s="16"/>
      <c r="L147" s="16"/>
      <c r="M147" s="16"/>
      <c r="O147" s="16"/>
      <c r="P147" s="16"/>
      <c r="Q147" s="16"/>
      <c r="R147" s="16"/>
      <c r="S147" s="16"/>
      <c r="T147" s="87"/>
      <c r="Z147" s="87"/>
      <c r="AA147" s="87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08"/>
      <c r="B148" s="243"/>
      <c r="C148" s="140"/>
      <c r="D148" s="16"/>
      <c r="E148" s="16"/>
      <c r="F148" s="16"/>
      <c r="G148" s="16"/>
      <c r="H148" s="16"/>
      <c r="I148" s="259"/>
      <c r="J148" s="16"/>
      <c r="K148" s="16"/>
      <c r="L148" s="16"/>
      <c r="M148" s="16"/>
      <c r="O148" s="16"/>
      <c r="P148" s="16"/>
      <c r="Q148" s="16"/>
      <c r="R148" s="16"/>
      <c r="S148" s="16"/>
      <c r="T148" s="87"/>
      <c r="U148" s="87"/>
      <c r="W148" s="87"/>
      <c r="X148" s="87"/>
      <c r="Z148" s="87"/>
      <c r="AA148" s="87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08"/>
      <c r="B149" s="246"/>
      <c r="C149" s="140"/>
      <c r="D149" s="16"/>
      <c r="E149" s="16"/>
      <c r="F149" s="16"/>
      <c r="G149" s="16"/>
      <c r="H149" s="16"/>
      <c r="I149" s="259"/>
      <c r="J149" s="16"/>
      <c r="K149" s="16"/>
      <c r="L149" s="16"/>
      <c r="M149" s="16"/>
      <c r="O149" s="16"/>
      <c r="P149" s="16"/>
      <c r="Q149" s="16"/>
      <c r="R149" s="16"/>
      <c r="S149" s="16"/>
      <c r="T149" s="87"/>
      <c r="Z149" s="87"/>
      <c r="AA149" s="87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08"/>
      <c r="B150" s="246"/>
      <c r="C150" s="140"/>
      <c r="D150" s="16"/>
      <c r="E150" s="16"/>
      <c r="F150" s="16"/>
      <c r="G150" s="16"/>
      <c r="H150" s="16"/>
      <c r="I150" s="259"/>
      <c r="J150" s="16"/>
      <c r="K150" s="16"/>
      <c r="L150" s="16"/>
      <c r="M150" s="16"/>
      <c r="O150" s="16"/>
      <c r="P150" s="16"/>
      <c r="Q150" s="16"/>
      <c r="R150" s="16"/>
      <c r="S150" s="16"/>
      <c r="T150" s="87"/>
      <c r="Z150" s="87"/>
      <c r="AA150" s="87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08"/>
      <c r="B151" s="246"/>
      <c r="C151" s="140" t="str">
        <f t="shared" si="3"/>
        <v/>
      </c>
      <c r="D151" s="16"/>
      <c r="E151" s="16"/>
      <c r="F151" s="16"/>
      <c r="G151" s="16"/>
      <c r="H151" s="16"/>
      <c r="I151" s="259"/>
      <c r="J151" s="16"/>
      <c r="K151" s="16"/>
      <c r="L151" s="16"/>
      <c r="M151" s="16"/>
      <c r="O151" s="16"/>
      <c r="P151" s="16"/>
      <c r="Q151" s="16"/>
      <c r="R151" s="16"/>
      <c r="S151" s="16"/>
      <c r="T151" s="87"/>
      <c r="Z151" s="87"/>
      <c r="AA151" s="87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08"/>
      <c r="B152" s="246"/>
      <c r="C152" s="140" t="str">
        <f t="shared" si="3"/>
        <v/>
      </c>
      <c r="D152" s="16"/>
      <c r="E152" s="16"/>
      <c r="F152" s="16"/>
      <c r="G152" s="16"/>
      <c r="H152" s="16"/>
      <c r="I152" s="259"/>
      <c r="J152" s="16"/>
      <c r="K152" s="16"/>
      <c r="L152" s="16"/>
      <c r="M152" s="16"/>
      <c r="O152" s="16"/>
      <c r="P152" s="16"/>
      <c r="Q152" s="16"/>
      <c r="R152" s="16"/>
      <c r="S152" s="16"/>
      <c r="T152" s="87"/>
      <c r="U152" s="87"/>
      <c r="W152" s="87"/>
      <c r="X152" s="87"/>
      <c r="Z152" s="87"/>
      <c r="AA152" s="87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08"/>
      <c r="B153" s="246"/>
      <c r="C153" s="140" t="str">
        <f t="shared" si="3"/>
        <v/>
      </c>
      <c r="D153" s="16"/>
      <c r="E153" s="16"/>
      <c r="F153" s="16"/>
      <c r="G153" s="16"/>
      <c r="H153" s="16"/>
      <c r="I153" s="259"/>
      <c r="J153" s="16"/>
      <c r="K153" s="16"/>
      <c r="L153" s="16"/>
      <c r="M153" s="16"/>
      <c r="O153" s="16"/>
      <c r="P153" s="16"/>
      <c r="Q153" s="16"/>
      <c r="R153" s="16"/>
      <c r="S153" s="16"/>
      <c r="T153" s="87"/>
      <c r="Z153" s="87"/>
      <c r="AA153" s="87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08"/>
      <c r="B154" s="246"/>
      <c r="C154" s="140" t="str">
        <f t="shared" si="3"/>
        <v/>
      </c>
      <c r="D154" s="16"/>
      <c r="E154" s="16"/>
      <c r="F154" s="16"/>
      <c r="G154" s="16"/>
      <c r="H154" s="16"/>
      <c r="I154" s="259"/>
      <c r="J154" s="16"/>
      <c r="K154" s="16"/>
      <c r="L154" s="16"/>
      <c r="M154" s="16"/>
      <c r="O154" s="16"/>
      <c r="P154" s="16"/>
      <c r="Q154" s="16"/>
      <c r="R154" s="16"/>
      <c r="S154" s="16"/>
      <c r="T154" s="87"/>
      <c r="U154" s="87"/>
      <c r="W154" s="87"/>
      <c r="X154" s="87"/>
      <c r="Z154" s="87"/>
      <c r="AA154" s="87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08"/>
      <c r="B155" s="246"/>
      <c r="C155" s="140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59"/>
      <c r="J155" s="16"/>
      <c r="K155" s="16"/>
      <c r="L155" s="16"/>
      <c r="M155" s="16"/>
      <c r="O155" s="16"/>
      <c r="P155" s="16"/>
      <c r="Q155" s="16"/>
      <c r="R155" s="16"/>
      <c r="S155" s="16"/>
      <c r="T155" s="87"/>
      <c r="Z155" s="87"/>
      <c r="AA155" s="87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08"/>
      <c r="B156" s="246"/>
      <c r="C156" s="140" t="str">
        <f t="shared" si="4"/>
        <v/>
      </c>
      <c r="D156" s="16"/>
      <c r="E156" s="16"/>
      <c r="F156" s="16"/>
      <c r="G156" s="16"/>
      <c r="H156" s="16"/>
      <c r="I156" s="259"/>
      <c r="J156" s="16"/>
      <c r="K156" s="16"/>
      <c r="L156" s="16"/>
      <c r="M156" s="16"/>
      <c r="O156" s="16"/>
      <c r="P156" s="16"/>
      <c r="Q156" s="16"/>
      <c r="R156" s="16"/>
      <c r="S156" s="16"/>
      <c r="T156" s="87"/>
      <c r="U156" s="87"/>
      <c r="Z156" s="87"/>
      <c r="AA156" s="87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08"/>
      <c r="B157" s="246"/>
      <c r="C157" s="140" t="str">
        <f t="shared" si="4"/>
        <v/>
      </c>
      <c r="D157" s="16"/>
      <c r="E157" s="16"/>
      <c r="F157" s="16"/>
      <c r="G157" s="16"/>
      <c r="H157" s="16"/>
      <c r="I157" s="259"/>
      <c r="J157" s="16"/>
      <c r="K157" s="16"/>
      <c r="L157" s="16"/>
      <c r="M157" s="16"/>
      <c r="O157" s="16"/>
      <c r="P157" s="16"/>
      <c r="Q157" s="16"/>
      <c r="R157" s="16"/>
      <c r="S157" s="16"/>
      <c r="T157" s="87"/>
      <c r="U157" s="87"/>
      <c r="Z157" s="87"/>
      <c r="AA157" s="87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08"/>
      <c r="B158" s="246"/>
      <c r="C158" s="140" t="str">
        <f t="shared" si="4"/>
        <v/>
      </c>
      <c r="D158" s="16"/>
      <c r="E158" s="16"/>
      <c r="F158" s="16"/>
      <c r="G158" s="16"/>
      <c r="H158" s="16"/>
      <c r="I158" s="259"/>
      <c r="J158" s="16"/>
      <c r="K158" s="16"/>
      <c r="L158" s="16"/>
      <c r="M158" s="16"/>
      <c r="O158" s="16"/>
      <c r="P158" s="16"/>
      <c r="Q158" s="16"/>
      <c r="R158" s="16"/>
      <c r="S158" s="16"/>
      <c r="T158" s="87"/>
      <c r="U158" s="87"/>
      <c r="Z158" s="87"/>
      <c r="AA158" s="87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08"/>
      <c r="B159" s="246"/>
      <c r="C159" s="140" t="str">
        <f t="shared" si="4"/>
        <v/>
      </c>
      <c r="D159" s="16"/>
      <c r="E159" s="16"/>
      <c r="F159" s="16"/>
      <c r="G159" s="16"/>
      <c r="H159" s="16"/>
      <c r="I159" s="259"/>
      <c r="J159" s="16"/>
      <c r="K159" s="16"/>
      <c r="L159" s="16"/>
      <c r="M159" s="16"/>
      <c r="O159" s="16"/>
      <c r="P159" s="16"/>
      <c r="Q159" s="16"/>
      <c r="R159" s="16"/>
      <c r="S159" s="16"/>
      <c r="T159" s="87"/>
      <c r="U159" s="87"/>
      <c r="Z159" s="87"/>
      <c r="AA159" s="87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08"/>
      <c r="B160" s="246"/>
      <c r="C160" s="140" t="str">
        <f t="shared" si="4"/>
        <v/>
      </c>
      <c r="D160" s="16"/>
      <c r="E160" s="16"/>
      <c r="F160" s="16"/>
      <c r="G160" s="16"/>
      <c r="H160" s="16"/>
      <c r="I160" s="259"/>
      <c r="J160" s="16"/>
      <c r="K160" s="16"/>
      <c r="L160" s="16"/>
      <c r="M160" s="16"/>
      <c r="O160" s="16"/>
      <c r="P160" s="16"/>
      <c r="Q160" s="16"/>
      <c r="R160" s="16"/>
      <c r="S160" s="16"/>
      <c r="T160" s="87"/>
      <c r="U160" s="87"/>
      <c r="Z160" s="87"/>
      <c r="AA160" s="87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08"/>
      <c r="B161" s="246"/>
      <c r="C161" s="140" t="str">
        <f t="shared" si="4"/>
        <v/>
      </c>
      <c r="D161" s="16"/>
      <c r="E161" s="16"/>
      <c r="F161" s="16"/>
      <c r="G161" s="16"/>
      <c r="H161" s="16"/>
      <c r="I161" s="259"/>
      <c r="J161" s="16"/>
      <c r="K161" s="16"/>
      <c r="L161" s="16"/>
      <c r="M161" s="16"/>
      <c r="O161" s="16"/>
      <c r="P161" s="16"/>
      <c r="Q161" s="16"/>
      <c r="R161" s="16"/>
      <c r="S161" s="16"/>
      <c r="T161" s="87"/>
      <c r="U161" s="87"/>
      <c r="Z161" s="87"/>
      <c r="AA161" s="87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08"/>
      <c r="B162" s="246"/>
      <c r="C162" s="140" t="str">
        <f t="shared" si="4"/>
        <v/>
      </c>
      <c r="D162" s="16"/>
      <c r="E162" s="16"/>
      <c r="F162" s="16"/>
      <c r="G162" s="16"/>
      <c r="H162" s="16"/>
      <c r="I162" s="259"/>
      <c r="J162" s="16"/>
      <c r="K162" s="16"/>
      <c r="L162" s="16"/>
      <c r="M162" s="16"/>
      <c r="O162" s="16"/>
      <c r="P162" s="16"/>
      <c r="Q162" s="16"/>
      <c r="R162" s="16"/>
      <c r="S162" s="16"/>
      <c r="T162" s="87"/>
      <c r="Z162" s="87"/>
      <c r="AA162" s="87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08"/>
      <c r="B163" s="246"/>
      <c r="C163" s="140" t="str">
        <f t="shared" si="4"/>
        <v/>
      </c>
      <c r="D163" s="16"/>
      <c r="E163" s="16"/>
      <c r="F163" s="16"/>
      <c r="G163" s="16"/>
      <c r="H163" s="16"/>
      <c r="I163" s="259"/>
      <c r="J163" s="16"/>
      <c r="K163" s="16"/>
      <c r="L163" s="16"/>
      <c r="M163" s="16"/>
      <c r="O163" s="16"/>
      <c r="P163" s="16"/>
      <c r="Q163" s="16"/>
      <c r="R163" s="16"/>
      <c r="S163" s="16"/>
      <c r="T163" s="87"/>
      <c r="U163" s="87"/>
      <c r="Z163" s="87"/>
      <c r="AA163" s="87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08"/>
      <c r="B164" s="246"/>
      <c r="C164" s="140" t="str">
        <f t="shared" si="4"/>
        <v/>
      </c>
      <c r="D164" s="16"/>
      <c r="E164" s="16"/>
      <c r="F164" s="16"/>
      <c r="G164" s="16"/>
      <c r="H164" s="16"/>
      <c r="I164" s="259"/>
      <c r="J164" s="16"/>
      <c r="K164" s="16"/>
      <c r="L164" s="16"/>
      <c r="M164" s="16"/>
      <c r="O164" s="16"/>
      <c r="P164" s="16"/>
      <c r="Q164" s="16"/>
      <c r="R164" s="16"/>
      <c r="S164" s="16"/>
      <c r="T164" s="87"/>
      <c r="Z164" s="87"/>
      <c r="AA164" s="87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08"/>
      <c r="B165" s="246"/>
      <c r="C165" s="140" t="str">
        <f t="shared" si="4"/>
        <v/>
      </c>
      <c r="D165" s="16"/>
      <c r="E165" s="16"/>
      <c r="F165" s="16"/>
      <c r="G165" s="16"/>
      <c r="H165" s="16"/>
      <c r="I165" s="259"/>
      <c r="J165" s="16"/>
      <c r="K165" s="16"/>
      <c r="L165" s="16"/>
      <c r="M165" s="16"/>
      <c r="O165" s="16"/>
      <c r="P165" s="16"/>
      <c r="Q165" s="16"/>
      <c r="R165" s="16"/>
      <c r="S165" s="16"/>
      <c r="T165" s="87"/>
      <c r="Z165" s="87"/>
      <c r="AA165" s="87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08"/>
      <c r="B166" s="246"/>
      <c r="C166" s="140" t="str">
        <f t="shared" si="4"/>
        <v/>
      </c>
      <c r="D166" s="16"/>
      <c r="E166" s="16"/>
      <c r="F166" s="16"/>
      <c r="G166" s="16"/>
      <c r="H166" s="16"/>
      <c r="I166" s="259"/>
      <c r="J166" s="16"/>
      <c r="K166" s="16"/>
      <c r="L166" s="16"/>
      <c r="M166" s="16"/>
      <c r="O166" s="16"/>
      <c r="P166" s="16"/>
      <c r="Q166" s="16"/>
      <c r="R166" s="16"/>
      <c r="S166" s="16"/>
      <c r="T166" s="87"/>
      <c r="Z166" s="87"/>
      <c r="AA166" s="87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08"/>
      <c r="B167" s="246"/>
      <c r="C167" s="140" t="str">
        <f t="shared" si="4"/>
        <v/>
      </c>
      <c r="D167" s="16"/>
      <c r="E167" s="16"/>
      <c r="F167" s="16"/>
      <c r="G167" s="16"/>
      <c r="H167" s="16"/>
      <c r="I167" s="259"/>
      <c r="J167" s="16"/>
      <c r="K167" s="16"/>
      <c r="L167" s="16"/>
      <c r="M167" s="16"/>
      <c r="O167" s="16"/>
      <c r="P167" s="16"/>
      <c r="Q167" s="16"/>
      <c r="R167" s="16"/>
      <c r="S167" s="16"/>
      <c r="T167" s="87"/>
      <c r="U167" s="87"/>
      <c r="Z167" s="87"/>
      <c r="AA167" s="87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08"/>
      <c r="B168" s="246"/>
      <c r="C168" s="140" t="str">
        <f t="shared" si="4"/>
        <v/>
      </c>
      <c r="D168" s="16"/>
      <c r="E168" s="16"/>
      <c r="F168" s="16"/>
      <c r="G168" s="16"/>
      <c r="H168" s="16"/>
      <c r="I168" s="259"/>
      <c r="J168" s="16"/>
      <c r="K168" s="16"/>
      <c r="L168" s="16"/>
      <c r="M168" s="16"/>
      <c r="O168" s="16"/>
      <c r="P168" s="16"/>
      <c r="Q168" s="16"/>
      <c r="R168" s="16"/>
      <c r="S168" s="16"/>
      <c r="T168" s="87"/>
      <c r="Z168" s="87"/>
      <c r="AA168" s="87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08"/>
      <c r="B169" s="246"/>
      <c r="C169" s="140" t="str">
        <f t="shared" si="4"/>
        <v/>
      </c>
      <c r="D169" s="16"/>
      <c r="E169" s="16"/>
      <c r="F169" s="16"/>
      <c r="G169" s="16"/>
      <c r="H169" s="16"/>
      <c r="I169" s="259"/>
      <c r="J169" s="16"/>
      <c r="K169" s="16"/>
      <c r="L169" s="16"/>
      <c r="M169" s="16"/>
      <c r="O169" s="16"/>
      <c r="P169" s="16"/>
      <c r="Q169" s="16"/>
      <c r="R169" s="16"/>
      <c r="S169" s="16"/>
      <c r="T169" s="87"/>
      <c r="Z169" s="87"/>
      <c r="AA169" s="87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08"/>
      <c r="B170" s="246"/>
      <c r="C170" s="140" t="str">
        <f t="shared" si="4"/>
        <v/>
      </c>
      <c r="D170" s="16"/>
      <c r="E170" s="16"/>
      <c r="F170" s="16"/>
      <c r="G170" s="16"/>
      <c r="H170" s="16"/>
      <c r="I170" s="259"/>
      <c r="J170" s="16"/>
      <c r="K170" s="16"/>
      <c r="L170" s="16"/>
      <c r="M170" s="16"/>
      <c r="O170" s="16"/>
      <c r="P170" s="16"/>
      <c r="Q170" s="16"/>
      <c r="R170" s="16"/>
      <c r="S170" s="16"/>
      <c r="T170" s="87"/>
      <c r="Z170" s="87"/>
      <c r="AA170" s="87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08"/>
      <c r="B171" s="246"/>
      <c r="C171" s="140" t="str">
        <f t="shared" si="4"/>
        <v/>
      </c>
      <c r="D171" s="16"/>
      <c r="E171" s="16"/>
      <c r="F171" s="16"/>
      <c r="G171" s="16"/>
      <c r="H171" s="16"/>
      <c r="I171" s="259"/>
      <c r="J171" s="16"/>
      <c r="K171" s="16"/>
      <c r="L171" s="16"/>
      <c r="M171" s="16"/>
      <c r="O171" s="16"/>
      <c r="P171" s="16"/>
      <c r="Q171" s="16"/>
      <c r="R171" s="16"/>
      <c r="S171" s="16"/>
      <c r="T171" s="87"/>
      <c r="U171" s="87"/>
      <c r="Z171" s="87"/>
      <c r="AA171" s="87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08"/>
      <c r="B172" s="246"/>
      <c r="C172" s="140" t="str">
        <f t="shared" si="4"/>
        <v/>
      </c>
      <c r="D172" s="16"/>
      <c r="E172" s="16"/>
      <c r="F172" s="16"/>
      <c r="G172" s="16"/>
      <c r="H172" s="16"/>
      <c r="I172" s="259"/>
      <c r="J172" s="16"/>
      <c r="K172" s="16"/>
      <c r="L172" s="16"/>
      <c r="M172" s="16"/>
      <c r="O172" s="16"/>
      <c r="P172" s="16"/>
      <c r="Q172" s="16"/>
      <c r="R172" s="16"/>
      <c r="S172" s="16"/>
      <c r="T172" s="87"/>
      <c r="U172" s="87"/>
      <c r="Z172" s="87"/>
      <c r="AA172" s="87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08"/>
      <c r="B173" s="246"/>
      <c r="C173" s="140" t="str">
        <f t="shared" si="4"/>
        <v/>
      </c>
      <c r="D173" s="16"/>
      <c r="E173" s="16"/>
      <c r="F173" s="16"/>
      <c r="G173" s="16"/>
      <c r="H173" s="16"/>
      <c r="I173" s="259"/>
      <c r="J173" s="16"/>
      <c r="K173" s="16"/>
      <c r="L173" s="16"/>
      <c r="M173" s="16"/>
      <c r="O173" s="16"/>
      <c r="P173" s="16"/>
      <c r="Q173" s="16"/>
      <c r="R173" s="16"/>
      <c r="S173" s="16"/>
      <c r="T173" s="87"/>
      <c r="Z173" s="87"/>
      <c r="AA173" s="87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08"/>
      <c r="B174" s="246"/>
      <c r="C174" s="140" t="str">
        <f t="shared" si="4"/>
        <v/>
      </c>
      <c r="D174" s="16"/>
      <c r="E174" s="16"/>
      <c r="F174" s="16"/>
      <c r="G174" s="16"/>
      <c r="H174" s="16"/>
      <c r="I174" s="259"/>
      <c r="J174" s="16"/>
      <c r="K174" s="16"/>
      <c r="L174" s="16"/>
      <c r="M174" s="16"/>
      <c r="O174" s="16"/>
      <c r="P174" s="16"/>
      <c r="Q174" s="16"/>
      <c r="R174" s="16"/>
      <c r="S174" s="16"/>
      <c r="T174" s="87"/>
      <c r="U174" s="87"/>
      <c r="Z174" s="87"/>
      <c r="AA174" s="87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08"/>
      <c r="B175" s="246"/>
      <c r="C175" s="140" t="str">
        <f t="shared" si="4"/>
        <v/>
      </c>
      <c r="D175" s="16"/>
      <c r="E175" s="16"/>
      <c r="F175" s="16"/>
      <c r="G175" s="16"/>
      <c r="H175" s="16"/>
      <c r="I175" s="259"/>
      <c r="J175" s="16"/>
      <c r="K175" s="16"/>
      <c r="L175" s="16"/>
      <c r="M175" s="16"/>
      <c r="O175" s="16"/>
      <c r="P175" s="16"/>
      <c r="Q175" s="16"/>
      <c r="R175" s="16"/>
      <c r="S175" s="16"/>
      <c r="T175" s="87"/>
      <c r="U175" s="87"/>
      <c r="Z175" s="87"/>
      <c r="AA175" s="87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08"/>
      <c r="B176" s="246"/>
      <c r="C176" s="140" t="str">
        <f t="shared" si="4"/>
        <v/>
      </c>
      <c r="D176" s="16"/>
      <c r="E176" s="16"/>
      <c r="F176" s="16"/>
      <c r="G176" s="16"/>
      <c r="H176" s="16"/>
      <c r="I176" s="259"/>
      <c r="J176" s="16"/>
      <c r="K176" s="16"/>
      <c r="L176" s="16"/>
      <c r="M176" s="16"/>
      <c r="O176" s="16"/>
      <c r="P176" s="16"/>
      <c r="Q176" s="16"/>
      <c r="R176" s="16"/>
      <c r="S176" s="16"/>
      <c r="T176" s="87"/>
      <c r="U176" s="87"/>
      <c r="Z176" s="87"/>
      <c r="AA176" s="87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08"/>
      <c r="B177" s="246"/>
      <c r="C177" s="140" t="str">
        <f t="shared" si="4"/>
        <v/>
      </c>
      <c r="D177" s="16"/>
      <c r="E177" s="16"/>
      <c r="F177" s="16"/>
      <c r="G177" s="16"/>
      <c r="H177" s="16"/>
      <c r="I177" s="259"/>
      <c r="J177" s="16"/>
      <c r="K177" s="16"/>
      <c r="L177" s="16"/>
      <c r="M177" s="16"/>
      <c r="O177" s="16"/>
      <c r="P177" s="16"/>
      <c r="Q177" s="16"/>
      <c r="R177" s="16"/>
      <c r="S177" s="16"/>
      <c r="T177" s="87"/>
      <c r="Z177" s="87"/>
      <c r="AA177" s="87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08"/>
      <c r="B178" s="246"/>
      <c r="C178" s="140" t="str">
        <f t="shared" si="4"/>
        <v/>
      </c>
      <c r="D178" s="16"/>
      <c r="E178" s="16"/>
      <c r="F178" s="16"/>
      <c r="G178" s="16"/>
      <c r="H178" s="16"/>
      <c r="I178" s="259"/>
      <c r="J178" s="16"/>
      <c r="K178" s="16"/>
      <c r="L178" s="16"/>
      <c r="M178" s="16"/>
      <c r="O178" s="16"/>
      <c r="P178" s="16"/>
      <c r="Q178" s="16"/>
      <c r="R178" s="16"/>
      <c r="S178" s="16"/>
      <c r="T178" s="87"/>
      <c r="Z178" s="87"/>
      <c r="AA178" s="87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08"/>
      <c r="B179" s="246"/>
      <c r="C179" s="140" t="str">
        <f t="shared" si="4"/>
        <v/>
      </c>
      <c r="D179" s="16"/>
      <c r="E179" s="16"/>
      <c r="F179" s="16"/>
      <c r="G179" s="16"/>
      <c r="H179" s="16"/>
      <c r="I179" s="259"/>
      <c r="J179" s="16"/>
      <c r="K179" s="16"/>
      <c r="L179" s="16"/>
      <c r="M179" s="16"/>
      <c r="O179" s="16"/>
      <c r="P179" s="16"/>
      <c r="Q179" s="16"/>
      <c r="R179" s="16"/>
      <c r="S179" s="16"/>
      <c r="T179" s="87"/>
      <c r="Z179" s="87"/>
      <c r="AA179" s="87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08"/>
      <c r="B180" s="246"/>
      <c r="C180" s="140" t="str">
        <f t="shared" si="4"/>
        <v/>
      </c>
      <c r="N180"/>
    </row>
    <row r="181" spans="1:135" x14ac:dyDescent="0.25">
      <c r="A181" s="208"/>
      <c r="B181" s="246"/>
      <c r="C181" s="140" t="str">
        <f t="shared" si="4"/>
        <v/>
      </c>
      <c r="N181"/>
    </row>
    <row r="182" spans="1:135" x14ac:dyDescent="0.25">
      <c r="A182" s="208"/>
      <c r="B182" s="246"/>
      <c r="C182" s="140" t="str">
        <f t="shared" si="4"/>
        <v/>
      </c>
      <c r="N182"/>
    </row>
    <row r="183" spans="1:135" x14ac:dyDescent="0.25">
      <c r="A183" s="208"/>
      <c r="B183" s="246"/>
      <c r="C183" s="140" t="str">
        <f t="shared" si="4"/>
        <v/>
      </c>
      <c r="N183"/>
    </row>
    <row r="184" spans="1:135" x14ac:dyDescent="0.25">
      <c r="A184" s="208"/>
      <c r="B184" s="246"/>
      <c r="C184" s="140" t="str">
        <f t="shared" si="4"/>
        <v/>
      </c>
      <c r="N184"/>
    </row>
    <row r="185" spans="1:135" x14ac:dyDescent="0.25">
      <c r="A185" s="208"/>
      <c r="B185" s="246"/>
      <c r="C185" s="140" t="str">
        <f t="shared" si="4"/>
        <v/>
      </c>
      <c r="N185"/>
    </row>
    <row r="186" spans="1:135" x14ac:dyDescent="0.25">
      <c r="A186" s="208"/>
      <c r="B186" s="246"/>
      <c r="C186" s="140" t="str">
        <f t="shared" si="4"/>
        <v/>
      </c>
      <c r="N186"/>
    </row>
    <row r="187" spans="1:135" x14ac:dyDescent="0.25">
      <c r="A187" s="208"/>
      <c r="B187" s="246"/>
      <c r="C187" s="140" t="str">
        <f t="shared" si="4"/>
        <v/>
      </c>
      <c r="N187"/>
    </row>
    <row r="188" spans="1:135" x14ac:dyDescent="0.25">
      <c r="A188" s="208"/>
      <c r="B188" s="246"/>
      <c r="C188" s="140" t="str">
        <f t="shared" si="4"/>
        <v/>
      </c>
      <c r="N188"/>
    </row>
    <row r="189" spans="1:135" x14ac:dyDescent="0.25">
      <c r="A189" s="208"/>
      <c r="B189" s="246"/>
      <c r="C189" s="140" t="str">
        <f t="shared" si="4"/>
        <v/>
      </c>
      <c r="N189"/>
    </row>
    <row r="190" spans="1:135" x14ac:dyDescent="0.25">
      <c r="A190" s="208"/>
      <c r="B190" s="246"/>
      <c r="C190" s="140" t="str">
        <f t="shared" si="4"/>
        <v/>
      </c>
      <c r="N190"/>
    </row>
    <row r="191" spans="1:135" x14ac:dyDescent="0.25">
      <c r="A191" s="208"/>
      <c r="B191" s="246"/>
      <c r="C191" s="140" t="str">
        <f t="shared" si="4"/>
        <v/>
      </c>
      <c r="N191"/>
    </row>
    <row r="192" spans="1:135" x14ac:dyDescent="0.25">
      <c r="A192" s="208"/>
      <c r="B192" s="246"/>
      <c r="C192" s="140" t="str">
        <f t="shared" si="4"/>
        <v/>
      </c>
      <c r="N192"/>
    </row>
    <row r="193" spans="1:14" x14ac:dyDescent="0.25">
      <c r="A193" s="208"/>
      <c r="B193" s="246"/>
      <c r="C193" s="140" t="str">
        <f t="shared" si="4"/>
        <v/>
      </c>
      <c r="N193"/>
    </row>
    <row r="194" spans="1:14" x14ac:dyDescent="0.25">
      <c r="A194" s="208"/>
      <c r="B194" s="246"/>
      <c r="C194" s="140" t="str">
        <f t="shared" si="4"/>
        <v/>
      </c>
      <c r="N194"/>
    </row>
    <row r="195" spans="1:14" x14ac:dyDescent="0.25">
      <c r="A195" s="208"/>
      <c r="B195" s="246"/>
      <c r="C195" s="140" t="str">
        <f t="shared" si="4"/>
        <v/>
      </c>
      <c r="N195"/>
    </row>
    <row r="196" spans="1:14" x14ac:dyDescent="0.25">
      <c r="A196" s="208"/>
      <c r="B196" s="246"/>
      <c r="C196" s="140" t="str">
        <f t="shared" si="4"/>
        <v/>
      </c>
      <c r="N196"/>
    </row>
    <row r="197" spans="1:14" x14ac:dyDescent="0.25">
      <c r="A197" s="208"/>
      <c r="B197" s="246"/>
      <c r="C197" s="140" t="str">
        <f t="shared" si="4"/>
        <v/>
      </c>
      <c r="N197"/>
    </row>
    <row r="198" spans="1:14" x14ac:dyDescent="0.25">
      <c r="A198" s="208"/>
      <c r="B198" s="246"/>
      <c r="C198" s="140" t="str">
        <f t="shared" si="4"/>
        <v/>
      </c>
      <c r="N198"/>
    </row>
    <row r="199" spans="1:14" x14ac:dyDescent="0.25">
      <c r="A199" s="208"/>
      <c r="B199" s="246"/>
      <c r="C199" s="140" t="str">
        <f t="shared" si="4"/>
        <v/>
      </c>
      <c r="N199"/>
    </row>
    <row r="200" spans="1:14" x14ac:dyDescent="0.25">
      <c r="A200" s="208"/>
      <c r="B200" s="246"/>
      <c r="C200" s="140" t="str">
        <f t="shared" si="4"/>
        <v/>
      </c>
      <c r="N200"/>
    </row>
    <row r="201" spans="1:14" x14ac:dyDescent="0.25">
      <c r="A201" s="208"/>
      <c r="B201" s="246"/>
      <c r="C201" s="140" t="str">
        <f t="shared" si="4"/>
        <v/>
      </c>
      <c r="N201"/>
    </row>
    <row r="202" spans="1:14" x14ac:dyDescent="0.25">
      <c r="A202" s="208"/>
      <c r="B202" s="246"/>
      <c r="C202" s="140" t="str">
        <f t="shared" si="4"/>
        <v/>
      </c>
      <c r="N202"/>
    </row>
    <row r="203" spans="1:14" x14ac:dyDescent="0.25">
      <c r="A203" s="208"/>
      <c r="B203" s="246"/>
      <c r="C203" s="140" t="str">
        <f t="shared" si="4"/>
        <v/>
      </c>
      <c r="N203"/>
    </row>
    <row r="204" spans="1:14" x14ac:dyDescent="0.25">
      <c r="A204" s="208"/>
      <c r="B204" s="246"/>
      <c r="C204" s="140" t="str">
        <f t="shared" si="4"/>
        <v/>
      </c>
      <c r="N204"/>
    </row>
    <row r="205" spans="1:14" x14ac:dyDescent="0.25">
      <c r="A205" s="208"/>
      <c r="B205" s="246"/>
      <c r="C205" s="140" t="str">
        <f t="shared" si="4"/>
        <v/>
      </c>
      <c r="N205"/>
    </row>
    <row r="206" spans="1:14" x14ac:dyDescent="0.25">
      <c r="A206" s="208"/>
      <c r="B206" s="246"/>
      <c r="C206" s="140" t="str">
        <f t="shared" si="4"/>
        <v/>
      </c>
      <c r="N206"/>
    </row>
    <row r="207" spans="1:14" x14ac:dyDescent="0.25">
      <c r="A207" s="208"/>
      <c r="B207" s="246"/>
      <c r="C207" s="140" t="str">
        <f t="shared" si="4"/>
        <v/>
      </c>
      <c r="N207"/>
    </row>
    <row r="208" spans="1:14" x14ac:dyDescent="0.25">
      <c r="A208" s="208"/>
      <c r="B208" s="246"/>
      <c r="C208" s="140" t="str">
        <f t="shared" si="4"/>
        <v/>
      </c>
      <c r="N208"/>
    </row>
    <row r="209" spans="1:14" x14ac:dyDescent="0.25">
      <c r="A209" s="208"/>
      <c r="B209" s="246"/>
      <c r="C209" s="140" t="str">
        <f t="shared" si="4"/>
        <v/>
      </c>
      <c r="N209"/>
    </row>
    <row r="210" spans="1:14" x14ac:dyDescent="0.25">
      <c r="A210" s="208"/>
      <c r="B210" s="246"/>
      <c r="C210" s="140" t="str">
        <f t="shared" si="4"/>
        <v/>
      </c>
      <c r="N210"/>
    </row>
    <row r="211" spans="1:14" x14ac:dyDescent="0.25">
      <c r="A211" s="208"/>
      <c r="B211" s="246"/>
      <c r="C211" s="140" t="str">
        <f t="shared" si="4"/>
        <v/>
      </c>
      <c r="N211"/>
    </row>
    <row r="212" spans="1:14" x14ac:dyDescent="0.25">
      <c r="A212" s="208"/>
      <c r="B212" s="246"/>
      <c r="C212" s="140" t="str">
        <f t="shared" si="4"/>
        <v/>
      </c>
      <c r="N212"/>
    </row>
    <row r="213" spans="1:14" x14ac:dyDescent="0.25">
      <c r="A213" s="208"/>
      <c r="B213" s="246"/>
      <c r="C213" s="140" t="str">
        <f t="shared" si="4"/>
        <v/>
      </c>
      <c r="N213"/>
    </row>
    <row r="214" spans="1:14" x14ac:dyDescent="0.25">
      <c r="A214" s="208"/>
      <c r="B214" s="246"/>
      <c r="C214" s="140" t="str">
        <f t="shared" si="4"/>
        <v/>
      </c>
      <c r="N214"/>
    </row>
    <row r="215" spans="1:14" x14ac:dyDescent="0.25">
      <c r="A215" s="208"/>
      <c r="B215" s="246"/>
      <c r="C215" s="140" t="str">
        <f t="shared" si="4"/>
        <v/>
      </c>
      <c r="N215"/>
    </row>
    <row r="216" spans="1:14" x14ac:dyDescent="0.25">
      <c r="A216" s="208"/>
      <c r="B216" s="246"/>
      <c r="C216" s="140" t="str">
        <f t="shared" si="4"/>
        <v/>
      </c>
      <c r="N216"/>
    </row>
    <row r="217" spans="1:14" x14ac:dyDescent="0.25">
      <c r="A217" s="208"/>
      <c r="B217" s="246"/>
      <c r="C217" s="140" t="str">
        <f t="shared" si="4"/>
        <v/>
      </c>
      <c r="N217"/>
    </row>
    <row r="218" spans="1:14" x14ac:dyDescent="0.25">
      <c r="A218" s="208"/>
      <c r="B218" s="246"/>
      <c r="C218" s="140" t="str">
        <f t="shared" si="4"/>
        <v/>
      </c>
      <c r="N218"/>
    </row>
    <row r="219" spans="1:14" x14ac:dyDescent="0.25">
      <c r="A219" s="208"/>
      <c r="B219" s="246"/>
      <c r="C219" s="140" t="str">
        <f t="shared" ref="C219:C282" si="5">+IFERROR(IF(B219="","",(VLOOKUP(B219,$F$2:$H$55,3,0))),"State Wrong")</f>
        <v/>
      </c>
      <c r="N219"/>
    </row>
    <row r="220" spans="1:14" x14ac:dyDescent="0.25">
      <c r="A220" s="208"/>
      <c r="B220" s="246"/>
      <c r="C220" s="140" t="str">
        <f t="shared" si="5"/>
        <v/>
      </c>
    </row>
    <row r="221" spans="1:14" x14ac:dyDescent="0.25">
      <c r="A221" s="208"/>
      <c r="B221" s="246"/>
      <c r="C221" s="140" t="str">
        <f t="shared" si="5"/>
        <v/>
      </c>
    </row>
    <row r="222" spans="1:14" x14ac:dyDescent="0.25">
      <c r="A222" s="208"/>
      <c r="B222" s="246"/>
      <c r="C222" s="140" t="str">
        <f t="shared" si="5"/>
        <v/>
      </c>
    </row>
    <row r="223" spans="1:14" x14ac:dyDescent="0.25">
      <c r="A223" s="208"/>
      <c r="B223" s="246"/>
      <c r="C223" s="140" t="str">
        <f t="shared" si="5"/>
        <v/>
      </c>
    </row>
    <row r="224" spans="1:14" x14ac:dyDescent="0.25">
      <c r="A224" s="208"/>
      <c r="B224" s="246"/>
      <c r="C224" s="140" t="str">
        <f t="shared" si="5"/>
        <v/>
      </c>
    </row>
    <row r="225" spans="1:3" x14ac:dyDescent="0.25">
      <c r="A225" s="208"/>
      <c r="B225" s="246"/>
      <c r="C225" s="140" t="str">
        <f t="shared" si="5"/>
        <v/>
      </c>
    </row>
    <row r="226" spans="1:3" x14ac:dyDescent="0.25">
      <c r="A226" s="208"/>
      <c r="B226" s="246"/>
      <c r="C226" s="140" t="str">
        <f t="shared" si="5"/>
        <v/>
      </c>
    </row>
    <row r="227" spans="1:3" x14ac:dyDescent="0.25">
      <c r="A227" s="208"/>
      <c r="B227" s="246"/>
      <c r="C227" s="140" t="str">
        <f t="shared" si="5"/>
        <v/>
      </c>
    </row>
    <row r="228" spans="1:3" x14ac:dyDescent="0.25">
      <c r="A228" s="208"/>
      <c r="B228" s="246"/>
      <c r="C228" s="140" t="str">
        <f t="shared" si="5"/>
        <v/>
      </c>
    </row>
    <row r="229" spans="1:3" x14ac:dyDescent="0.25">
      <c r="A229" s="208"/>
      <c r="B229" s="246"/>
      <c r="C229" s="140" t="str">
        <f t="shared" si="5"/>
        <v/>
      </c>
    </row>
    <row r="230" spans="1:3" x14ac:dyDescent="0.25">
      <c r="A230" s="208"/>
      <c r="B230" s="246"/>
      <c r="C230" s="140" t="str">
        <f t="shared" si="5"/>
        <v/>
      </c>
    </row>
    <row r="231" spans="1:3" x14ac:dyDescent="0.25">
      <c r="A231" s="208"/>
      <c r="B231" s="246"/>
      <c r="C231" s="140" t="str">
        <f t="shared" si="5"/>
        <v/>
      </c>
    </row>
    <row r="232" spans="1:3" x14ac:dyDescent="0.25">
      <c r="A232" s="208"/>
      <c r="B232" s="246"/>
      <c r="C232" s="140" t="str">
        <f t="shared" si="5"/>
        <v/>
      </c>
    </row>
    <row r="233" spans="1:3" x14ac:dyDescent="0.25">
      <c r="A233" s="208"/>
      <c r="B233" s="246"/>
      <c r="C233" s="140" t="str">
        <f t="shared" si="5"/>
        <v/>
      </c>
    </row>
    <row r="234" spans="1:3" x14ac:dyDescent="0.25">
      <c r="A234" s="208"/>
      <c r="B234" s="246"/>
      <c r="C234" s="140" t="str">
        <f t="shared" si="5"/>
        <v/>
      </c>
    </row>
    <row r="235" spans="1:3" x14ac:dyDescent="0.25">
      <c r="A235" s="208"/>
      <c r="B235" s="246"/>
      <c r="C235" s="140" t="str">
        <f t="shared" si="5"/>
        <v/>
      </c>
    </row>
    <row r="236" spans="1:3" x14ac:dyDescent="0.25">
      <c r="A236" s="208"/>
      <c r="B236" s="246"/>
      <c r="C236" s="140" t="str">
        <f t="shared" si="5"/>
        <v/>
      </c>
    </row>
    <row r="237" spans="1:3" x14ac:dyDescent="0.25">
      <c r="A237" s="208"/>
      <c r="B237" s="246"/>
      <c r="C237" s="140" t="str">
        <f t="shared" si="5"/>
        <v/>
      </c>
    </row>
    <row r="238" spans="1:3" x14ac:dyDescent="0.25">
      <c r="A238" s="208"/>
      <c r="B238" s="246"/>
      <c r="C238" s="140" t="str">
        <f t="shared" si="5"/>
        <v/>
      </c>
    </row>
    <row r="239" spans="1:3" x14ac:dyDescent="0.25">
      <c r="A239" s="208"/>
      <c r="B239" s="246"/>
      <c r="C239" s="140" t="str">
        <f t="shared" si="5"/>
        <v/>
      </c>
    </row>
    <row r="240" spans="1:3" x14ac:dyDescent="0.25">
      <c r="A240" s="208"/>
      <c r="B240" s="246"/>
      <c r="C240" s="140" t="str">
        <f t="shared" si="5"/>
        <v/>
      </c>
    </row>
    <row r="241" spans="1:3" x14ac:dyDescent="0.25">
      <c r="A241" s="208"/>
      <c r="B241" s="246"/>
      <c r="C241" s="140" t="str">
        <f t="shared" si="5"/>
        <v/>
      </c>
    </row>
    <row r="242" spans="1:3" x14ac:dyDescent="0.25">
      <c r="A242" s="208"/>
      <c r="B242" s="246"/>
      <c r="C242" s="140" t="str">
        <f t="shared" si="5"/>
        <v/>
      </c>
    </row>
    <row r="243" spans="1:3" x14ac:dyDescent="0.25">
      <c r="A243" s="208"/>
      <c r="B243" s="246"/>
      <c r="C243" s="140" t="str">
        <f t="shared" si="5"/>
        <v/>
      </c>
    </row>
    <row r="244" spans="1:3" x14ac:dyDescent="0.25">
      <c r="A244" s="208"/>
      <c r="B244" s="246"/>
      <c r="C244" s="140" t="str">
        <f t="shared" si="5"/>
        <v/>
      </c>
    </row>
    <row r="245" spans="1:3" x14ac:dyDescent="0.25">
      <c r="A245" s="208"/>
      <c r="B245" s="246"/>
      <c r="C245" s="140" t="str">
        <f t="shared" si="5"/>
        <v/>
      </c>
    </row>
    <row r="246" spans="1:3" x14ac:dyDescent="0.25">
      <c r="A246" s="208"/>
      <c r="B246" s="246"/>
      <c r="C246" s="140" t="str">
        <f t="shared" si="5"/>
        <v/>
      </c>
    </row>
    <row r="247" spans="1:3" x14ac:dyDescent="0.25">
      <c r="A247" s="208"/>
      <c r="B247" s="246"/>
      <c r="C247" s="140" t="str">
        <f t="shared" si="5"/>
        <v/>
      </c>
    </row>
    <row r="248" spans="1:3" x14ac:dyDescent="0.25">
      <c r="A248" s="208"/>
      <c r="B248" s="246"/>
      <c r="C248" s="140" t="str">
        <f t="shared" si="5"/>
        <v/>
      </c>
    </row>
    <row r="249" spans="1:3" x14ac:dyDescent="0.25">
      <c r="A249" s="208"/>
      <c r="B249" s="246"/>
      <c r="C249" s="140" t="str">
        <f t="shared" si="5"/>
        <v/>
      </c>
    </row>
    <row r="250" spans="1:3" x14ac:dyDescent="0.25">
      <c r="A250" s="208"/>
      <c r="B250" s="246"/>
      <c r="C250" s="140" t="str">
        <f t="shared" si="5"/>
        <v/>
      </c>
    </row>
    <row r="251" spans="1:3" x14ac:dyDescent="0.25">
      <c r="A251" s="208"/>
      <c r="B251" s="246"/>
      <c r="C251" s="140" t="str">
        <f t="shared" si="5"/>
        <v/>
      </c>
    </row>
    <row r="252" spans="1:3" x14ac:dyDescent="0.25">
      <c r="A252" s="208"/>
      <c r="B252" s="246"/>
      <c r="C252" s="140" t="str">
        <f t="shared" si="5"/>
        <v/>
      </c>
    </row>
    <row r="253" spans="1:3" x14ac:dyDescent="0.25">
      <c r="A253" s="208"/>
      <c r="B253" s="246"/>
      <c r="C253" s="140" t="str">
        <f t="shared" si="5"/>
        <v/>
      </c>
    </row>
    <row r="254" spans="1:3" x14ac:dyDescent="0.25">
      <c r="A254" s="208"/>
      <c r="B254" s="246"/>
      <c r="C254" s="140" t="str">
        <f t="shared" si="5"/>
        <v/>
      </c>
    </row>
    <row r="255" spans="1:3" x14ac:dyDescent="0.25">
      <c r="A255" s="208"/>
      <c r="B255" s="246"/>
      <c r="C255" s="140" t="str">
        <f t="shared" si="5"/>
        <v/>
      </c>
    </row>
    <row r="256" spans="1:3" x14ac:dyDescent="0.25">
      <c r="A256" s="208"/>
      <c r="B256" s="246"/>
      <c r="C256" s="140" t="str">
        <f t="shared" si="5"/>
        <v/>
      </c>
    </row>
    <row r="257" spans="1:3" x14ac:dyDescent="0.25">
      <c r="A257" s="208"/>
      <c r="B257" s="246"/>
      <c r="C257" s="140" t="str">
        <f t="shared" si="5"/>
        <v/>
      </c>
    </row>
    <row r="258" spans="1:3" x14ac:dyDescent="0.25">
      <c r="A258" s="208"/>
      <c r="B258" s="246"/>
      <c r="C258" s="140" t="str">
        <f t="shared" si="5"/>
        <v/>
      </c>
    </row>
    <row r="259" spans="1:3" x14ac:dyDescent="0.25">
      <c r="A259" s="208"/>
      <c r="B259" s="246"/>
      <c r="C259" s="140" t="str">
        <f t="shared" si="5"/>
        <v/>
      </c>
    </row>
    <row r="260" spans="1:3" x14ac:dyDescent="0.25">
      <c r="A260" s="208"/>
      <c r="B260" s="246"/>
      <c r="C260" s="140" t="str">
        <f t="shared" si="5"/>
        <v/>
      </c>
    </row>
    <row r="261" spans="1:3" x14ac:dyDescent="0.25">
      <c r="A261" s="208"/>
      <c r="B261" s="246"/>
      <c r="C261" s="140" t="str">
        <f t="shared" si="5"/>
        <v/>
      </c>
    </row>
    <row r="262" spans="1:3" x14ac:dyDescent="0.25">
      <c r="A262" s="208"/>
      <c r="B262" s="246"/>
      <c r="C262" s="140" t="str">
        <f t="shared" si="5"/>
        <v/>
      </c>
    </row>
    <row r="263" spans="1:3" x14ac:dyDescent="0.25">
      <c r="A263" s="208"/>
      <c r="B263" s="246"/>
      <c r="C263" s="140" t="str">
        <f t="shared" si="5"/>
        <v/>
      </c>
    </row>
    <row r="264" spans="1:3" x14ac:dyDescent="0.25">
      <c r="A264" s="208"/>
      <c r="B264" s="246"/>
      <c r="C264" s="140" t="str">
        <f t="shared" si="5"/>
        <v/>
      </c>
    </row>
    <row r="265" spans="1:3" x14ac:dyDescent="0.25">
      <c r="A265" s="208"/>
      <c r="B265" s="246"/>
      <c r="C265" s="140" t="str">
        <f t="shared" si="5"/>
        <v/>
      </c>
    </row>
    <row r="266" spans="1:3" x14ac:dyDescent="0.25">
      <c r="A266" s="208"/>
      <c r="B266" s="246"/>
      <c r="C266" s="140" t="str">
        <f t="shared" si="5"/>
        <v/>
      </c>
    </row>
    <row r="267" spans="1:3" x14ac:dyDescent="0.25">
      <c r="A267" s="208"/>
      <c r="B267" s="246"/>
      <c r="C267" s="140" t="str">
        <f t="shared" si="5"/>
        <v/>
      </c>
    </row>
    <row r="268" spans="1:3" x14ac:dyDescent="0.25">
      <c r="A268" s="208"/>
      <c r="B268" s="246"/>
      <c r="C268" s="140" t="str">
        <f t="shared" si="5"/>
        <v/>
      </c>
    </row>
    <row r="269" spans="1:3" x14ac:dyDescent="0.25">
      <c r="A269" s="208"/>
      <c r="B269" s="246"/>
      <c r="C269" s="140" t="str">
        <f t="shared" si="5"/>
        <v/>
      </c>
    </row>
    <row r="270" spans="1:3" x14ac:dyDescent="0.25">
      <c r="A270" s="208"/>
      <c r="B270" s="246"/>
      <c r="C270" s="140" t="str">
        <f t="shared" si="5"/>
        <v/>
      </c>
    </row>
    <row r="271" spans="1:3" x14ac:dyDescent="0.25">
      <c r="A271" s="208"/>
      <c r="B271" s="246"/>
      <c r="C271" s="140" t="str">
        <f t="shared" si="5"/>
        <v/>
      </c>
    </row>
    <row r="272" spans="1:3" x14ac:dyDescent="0.25">
      <c r="A272" s="208"/>
      <c r="B272" s="246"/>
      <c r="C272" s="140" t="str">
        <f t="shared" si="5"/>
        <v/>
      </c>
    </row>
    <row r="273" spans="1:21" x14ac:dyDescent="0.25">
      <c r="A273" s="208"/>
      <c r="B273" s="246"/>
      <c r="C273" s="140" t="str">
        <f t="shared" si="5"/>
        <v/>
      </c>
    </row>
    <row r="274" spans="1:21" x14ac:dyDescent="0.25">
      <c r="A274" s="208"/>
      <c r="B274" s="246"/>
      <c r="C274" s="140" t="str">
        <f t="shared" si="5"/>
        <v/>
      </c>
    </row>
    <row r="275" spans="1:21" x14ac:dyDescent="0.25">
      <c r="A275" s="208"/>
      <c r="B275" s="246"/>
      <c r="C275" s="140" t="str">
        <f t="shared" si="5"/>
        <v/>
      </c>
    </row>
    <row r="276" spans="1:21" x14ac:dyDescent="0.25">
      <c r="A276" s="208"/>
      <c r="B276" s="246"/>
      <c r="C276" s="140" t="str">
        <f t="shared" si="5"/>
        <v/>
      </c>
    </row>
    <row r="277" spans="1:21" x14ac:dyDescent="0.25">
      <c r="A277" s="208"/>
      <c r="B277" s="246"/>
      <c r="C277" s="140" t="str">
        <f t="shared" si="5"/>
        <v/>
      </c>
    </row>
    <row r="278" spans="1:21" x14ac:dyDescent="0.25">
      <c r="A278" s="208"/>
      <c r="B278" s="246"/>
      <c r="C278" s="140" t="str">
        <f t="shared" si="5"/>
        <v/>
      </c>
    </row>
    <row r="279" spans="1:21" x14ac:dyDescent="0.25">
      <c r="A279" s="208"/>
      <c r="B279" s="246"/>
      <c r="C279" s="140" t="str">
        <f t="shared" si="5"/>
        <v/>
      </c>
    </row>
    <row r="280" spans="1:21" x14ac:dyDescent="0.25">
      <c r="A280" s="208"/>
      <c r="B280" s="246"/>
      <c r="C280" s="140" t="str">
        <f t="shared" si="5"/>
        <v/>
      </c>
    </row>
    <row r="281" spans="1:21" x14ac:dyDescent="0.25">
      <c r="A281" s="208"/>
      <c r="B281" s="246"/>
      <c r="C281" s="140" t="str">
        <f t="shared" si="5"/>
        <v/>
      </c>
    </row>
    <row r="282" spans="1:21" x14ac:dyDescent="0.25">
      <c r="A282" s="208"/>
      <c r="B282" s="246"/>
      <c r="C282" s="140" t="str">
        <f t="shared" si="5"/>
        <v/>
      </c>
    </row>
    <row r="283" spans="1:21" x14ac:dyDescent="0.25">
      <c r="A283" s="208"/>
      <c r="B283" s="246"/>
      <c r="C283" s="140" t="str">
        <f t="shared" ref="C283:C346" si="6">+IFERROR(IF(B283="","",(VLOOKUP(B283,$F$2:$H$55,3,0))),"State Wrong")</f>
        <v/>
      </c>
    </row>
    <row r="284" spans="1:21" x14ac:dyDescent="0.25">
      <c r="A284" s="208"/>
      <c r="B284" s="246"/>
      <c r="C284" s="140" t="str">
        <f t="shared" si="6"/>
        <v/>
      </c>
    </row>
    <row r="285" spans="1:21" x14ac:dyDescent="0.25">
      <c r="A285" s="208"/>
      <c r="B285" s="246"/>
      <c r="C285" s="140" t="str">
        <f t="shared" si="6"/>
        <v/>
      </c>
    </row>
    <row r="286" spans="1:21" x14ac:dyDescent="0.25">
      <c r="A286" s="208"/>
      <c r="B286" s="246"/>
      <c r="C286" s="140" t="str">
        <f t="shared" si="6"/>
        <v/>
      </c>
      <c r="U286" s="82"/>
    </row>
    <row r="287" spans="1:21" x14ac:dyDescent="0.25">
      <c r="A287" s="208"/>
      <c r="B287" s="246"/>
      <c r="C287" s="140" t="str">
        <f t="shared" si="6"/>
        <v/>
      </c>
    </row>
    <row r="288" spans="1:21" x14ac:dyDescent="0.25">
      <c r="A288" s="208"/>
      <c r="B288" s="246"/>
      <c r="C288" s="140" t="str">
        <f t="shared" si="6"/>
        <v/>
      </c>
    </row>
    <row r="289" spans="1:3" x14ac:dyDescent="0.25">
      <c r="A289" s="208"/>
      <c r="B289" s="246"/>
      <c r="C289" s="140" t="str">
        <f t="shared" si="6"/>
        <v/>
      </c>
    </row>
    <row r="290" spans="1:3" x14ac:dyDescent="0.25">
      <c r="A290" s="208"/>
      <c r="B290" s="246"/>
      <c r="C290" s="140" t="str">
        <f t="shared" si="6"/>
        <v/>
      </c>
    </row>
    <row r="291" spans="1:3" x14ac:dyDescent="0.25">
      <c r="A291" s="208"/>
      <c r="B291" s="246"/>
      <c r="C291" s="140" t="str">
        <f t="shared" si="6"/>
        <v/>
      </c>
    </row>
    <row r="292" spans="1:3" x14ac:dyDescent="0.25">
      <c r="A292" s="208"/>
      <c r="B292" s="246"/>
      <c r="C292" s="140" t="str">
        <f t="shared" si="6"/>
        <v/>
      </c>
    </row>
    <row r="293" spans="1:3" x14ac:dyDescent="0.25">
      <c r="A293" s="208"/>
      <c r="B293" s="246"/>
      <c r="C293" s="140" t="str">
        <f t="shared" si="6"/>
        <v/>
      </c>
    </row>
    <row r="294" spans="1:3" x14ac:dyDescent="0.25">
      <c r="A294" s="208"/>
      <c r="B294" s="246"/>
      <c r="C294" s="140" t="str">
        <f t="shared" si="6"/>
        <v/>
      </c>
    </row>
    <row r="295" spans="1:3" x14ac:dyDescent="0.25">
      <c r="A295" s="208"/>
      <c r="B295" s="246"/>
      <c r="C295" s="140" t="str">
        <f t="shared" si="6"/>
        <v/>
      </c>
    </row>
    <row r="296" spans="1:3" x14ac:dyDescent="0.25">
      <c r="A296" s="208"/>
      <c r="B296" s="246"/>
      <c r="C296" s="140" t="str">
        <f t="shared" si="6"/>
        <v/>
      </c>
    </row>
    <row r="297" spans="1:3" x14ac:dyDescent="0.25">
      <c r="A297" s="208"/>
      <c r="B297" s="246"/>
      <c r="C297" s="140" t="str">
        <f t="shared" si="6"/>
        <v/>
      </c>
    </row>
    <row r="298" spans="1:3" x14ac:dyDescent="0.25">
      <c r="A298" s="208"/>
      <c r="B298" s="246"/>
      <c r="C298" s="140" t="str">
        <f t="shared" si="6"/>
        <v/>
      </c>
    </row>
    <row r="299" spans="1:3" x14ac:dyDescent="0.25">
      <c r="A299" s="208"/>
      <c r="B299" s="246"/>
      <c r="C299" s="140" t="str">
        <f t="shared" si="6"/>
        <v/>
      </c>
    </row>
    <row r="300" spans="1:3" x14ac:dyDescent="0.25">
      <c r="A300" s="208"/>
      <c r="B300" s="246"/>
      <c r="C300" s="140" t="str">
        <f t="shared" si="6"/>
        <v/>
      </c>
    </row>
    <row r="301" spans="1:3" x14ac:dyDescent="0.25">
      <c r="A301" s="208"/>
      <c r="B301" s="246"/>
      <c r="C301" s="140" t="str">
        <f t="shared" si="6"/>
        <v/>
      </c>
    </row>
    <row r="302" spans="1:3" x14ac:dyDescent="0.25">
      <c r="A302" s="208"/>
      <c r="B302" s="246"/>
      <c r="C302" s="140" t="str">
        <f t="shared" si="6"/>
        <v/>
      </c>
    </row>
    <row r="303" spans="1:3" x14ac:dyDescent="0.25">
      <c r="A303" s="208"/>
      <c r="B303" s="246"/>
      <c r="C303" s="140" t="str">
        <f t="shared" si="6"/>
        <v/>
      </c>
    </row>
    <row r="304" spans="1:3" x14ac:dyDescent="0.25">
      <c r="A304" s="208"/>
      <c r="B304" s="246"/>
      <c r="C304" s="140" t="str">
        <f t="shared" si="6"/>
        <v/>
      </c>
    </row>
    <row r="305" spans="1:3" x14ac:dyDescent="0.25">
      <c r="A305" s="208"/>
      <c r="B305" s="246"/>
      <c r="C305" s="140" t="str">
        <f t="shared" si="6"/>
        <v/>
      </c>
    </row>
    <row r="306" spans="1:3" x14ac:dyDescent="0.25">
      <c r="A306" s="208"/>
      <c r="B306" s="246"/>
      <c r="C306" s="140" t="str">
        <f t="shared" si="6"/>
        <v/>
      </c>
    </row>
    <row r="307" spans="1:3" x14ac:dyDescent="0.25">
      <c r="A307" s="208"/>
      <c r="B307" s="246"/>
      <c r="C307" s="140" t="str">
        <f t="shared" si="6"/>
        <v/>
      </c>
    </row>
    <row r="308" spans="1:3" x14ac:dyDescent="0.25">
      <c r="A308" s="208"/>
      <c r="B308" s="246"/>
      <c r="C308" s="140" t="str">
        <f t="shared" si="6"/>
        <v/>
      </c>
    </row>
    <row r="309" spans="1:3" x14ac:dyDescent="0.25">
      <c r="A309" s="208"/>
      <c r="B309" s="246"/>
      <c r="C309" s="140" t="str">
        <f t="shared" si="6"/>
        <v/>
      </c>
    </row>
    <row r="310" spans="1:3" x14ac:dyDescent="0.25">
      <c r="A310" s="208"/>
      <c r="B310" s="246"/>
      <c r="C310" s="140" t="str">
        <f t="shared" si="6"/>
        <v/>
      </c>
    </row>
    <row r="311" spans="1:3" x14ac:dyDescent="0.25">
      <c r="A311" s="208"/>
      <c r="B311" s="246"/>
      <c r="C311" s="140" t="str">
        <f t="shared" si="6"/>
        <v/>
      </c>
    </row>
    <row r="312" spans="1:3" x14ac:dyDescent="0.25">
      <c r="A312" s="208"/>
      <c r="B312" s="246"/>
      <c r="C312" s="140" t="str">
        <f t="shared" si="6"/>
        <v/>
      </c>
    </row>
    <row r="313" spans="1:3" x14ac:dyDescent="0.25">
      <c r="A313" s="208"/>
      <c r="B313" s="246"/>
      <c r="C313" s="140" t="str">
        <f t="shared" si="6"/>
        <v/>
      </c>
    </row>
    <row r="314" spans="1:3" x14ac:dyDescent="0.25">
      <c r="A314" s="208"/>
      <c r="B314" s="246"/>
      <c r="C314" s="140" t="str">
        <f t="shared" si="6"/>
        <v/>
      </c>
    </row>
    <row r="315" spans="1:3" x14ac:dyDescent="0.25">
      <c r="A315" s="208"/>
      <c r="B315" s="246"/>
      <c r="C315" s="140" t="str">
        <f t="shared" si="6"/>
        <v/>
      </c>
    </row>
    <row r="316" spans="1:3" x14ac:dyDescent="0.25">
      <c r="A316" s="208"/>
      <c r="B316" s="246"/>
      <c r="C316" s="140" t="str">
        <f t="shared" si="6"/>
        <v/>
      </c>
    </row>
    <row r="317" spans="1:3" x14ac:dyDescent="0.25">
      <c r="A317" s="208"/>
      <c r="B317" s="246"/>
      <c r="C317" s="140" t="str">
        <f t="shared" si="6"/>
        <v/>
      </c>
    </row>
    <row r="318" spans="1:3" x14ac:dyDescent="0.25">
      <c r="A318" s="208"/>
      <c r="B318" s="246"/>
      <c r="C318" s="140" t="str">
        <f t="shared" si="6"/>
        <v/>
      </c>
    </row>
    <row r="319" spans="1:3" x14ac:dyDescent="0.25">
      <c r="A319" s="208"/>
      <c r="B319" s="246"/>
      <c r="C319" s="140" t="str">
        <f t="shared" si="6"/>
        <v/>
      </c>
    </row>
    <row r="320" spans="1:3" x14ac:dyDescent="0.25">
      <c r="A320" s="208"/>
      <c r="B320" s="246"/>
      <c r="C320" s="140" t="str">
        <f t="shared" si="6"/>
        <v/>
      </c>
    </row>
    <row r="321" spans="1:3" x14ac:dyDescent="0.25">
      <c r="A321" s="208"/>
      <c r="B321" s="246"/>
      <c r="C321" s="140" t="str">
        <f t="shared" si="6"/>
        <v/>
      </c>
    </row>
    <row r="322" spans="1:3" x14ac:dyDescent="0.25">
      <c r="A322" s="208"/>
      <c r="B322" s="246"/>
      <c r="C322" s="140" t="str">
        <f t="shared" si="6"/>
        <v/>
      </c>
    </row>
    <row r="323" spans="1:3" x14ac:dyDescent="0.25">
      <c r="A323" s="208"/>
      <c r="B323" s="246"/>
      <c r="C323" s="140" t="str">
        <f t="shared" si="6"/>
        <v/>
      </c>
    </row>
    <row r="324" spans="1:3" x14ac:dyDescent="0.25">
      <c r="A324" s="208"/>
      <c r="B324" s="246"/>
      <c r="C324" s="140" t="str">
        <f t="shared" si="6"/>
        <v/>
      </c>
    </row>
    <row r="325" spans="1:3" x14ac:dyDescent="0.25">
      <c r="A325" s="208"/>
      <c r="B325" s="246"/>
      <c r="C325" s="140" t="str">
        <f t="shared" si="6"/>
        <v/>
      </c>
    </row>
    <row r="326" spans="1:3" x14ac:dyDescent="0.25">
      <c r="A326" s="208"/>
      <c r="B326" s="246"/>
      <c r="C326" s="140" t="str">
        <f t="shared" si="6"/>
        <v/>
      </c>
    </row>
    <row r="327" spans="1:3" x14ac:dyDescent="0.25">
      <c r="A327" s="208"/>
      <c r="B327" s="246"/>
      <c r="C327" s="140" t="str">
        <f t="shared" si="6"/>
        <v/>
      </c>
    </row>
    <row r="328" spans="1:3" x14ac:dyDescent="0.25">
      <c r="A328" s="208"/>
      <c r="B328" s="246"/>
      <c r="C328" s="140" t="str">
        <f t="shared" si="6"/>
        <v/>
      </c>
    </row>
    <row r="329" spans="1:3" x14ac:dyDescent="0.25">
      <c r="A329" s="208"/>
      <c r="B329" s="246"/>
      <c r="C329" s="140" t="str">
        <f t="shared" si="6"/>
        <v/>
      </c>
    </row>
    <row r="330" spans="1:3" x14ac:dyDescent="0.25">
      <c r="A330" s="208"/>
      <c r="B330" s="246"/>
      <c r="C330" s="140" t="str">
        <f t="shared" si="6"/>
        <v/>
      </c>
    </row>
    <row r="331" spans="1:3" x14ac:dyDescent="0.25">
      <c r="A331" s="208"/>
      <c r="B331" s="246"/>
      <c r="C331" s="140" t="str">
        <f t="shared" si="6"/>
        <v/>
      </c>
    </row>
    <row r="332" spans="1:3" x14ac:dyDescent="0.25">
      <c r="A332" s="208"/>
      <c r="B332" s="246"/>
      <c r="C332" s="140" t="str">
        <f t="shared" si="6"/>
        <v/>
      </c>
    </row>
    <row r="333" spans="1:3" x14ac:dyDescent="0.25">
      <c r="A333" s="208"/>
      <c r="B333" s="246"/>
      <c r="C333" s="140" t="str">
        <f t="shared" si="6"/>
        <v/>
      </c>
    </row>
    <row r="334" spans="1:3" x14ac:dyDescent="0.25">
      <c r="A334" s="208"/>
      <c r="B334" s="246"/>
      <c r="C334" s="140" t="str">
        <f t="shared" si="6"/>
        <v/>
      </c>
    </row>
    <row r="335" spans="1:3" x14ac:dyDescent="0.25">
      <c r="A335" s="208"/>
      <c r="B335" s="246"/>
      <c r="C335" s="140" t="str">
        <f t="shared" si="6"/>
        <v/>
      </c>
    </row>
    <row r="336" spans="1:3" x14ac:dyDescent="0.25">
      <c r="A336" s="208"/>
      <c r="B336" s="246"/>
      <c r="C336" s="140" t="str">
        <f t="shared" si="6"/>
        <v/>
      </c>
    </row>
    <row r="337" spans="1:26" x14ac:dyDescent="0.25">
      <c r="A337" s="208"/>
      <c r="B337" s="246"/>
      <c r="C337" s="140" t="str">
        <f t="shared" si="6"/>
        <v/>
      </c>
    </row>
    <row r="338" spans="1:26" x14ac:dyDescent="0.25">
      <c r="A338" s="208"/>
      <c r="B338" s="246"/>
      <c r="C338" s="140" t="str">
        <f t="shared" si="6"/>
        <v/>
      </c>
    </row>
    <row r="339" spans="1:26" x14ac:dyDescent="0.25">
      <c r="A339" s="208"/>
      <c r="B339" s="246"/>
      <c r="C339" s="140" t="str">
        <f t="shared" si="6"/>
        <v/>
      </c>
    </row>
    <row r="340" spans="1:26" x14ac:dyDescent="0.25">
      <c r="A340" s="208"/>
      <c r="B340" s="246"/>
      <c r="C340" s="140" t="str">
        <f t="shared" si="6"/>
        <v/>
      </c>
    </row>
    <row r="341" spans="1:26" x14ac:dyDescent="0.25">
      <c r="A341" s="208"/>
      <c r="B341" s="246"/>
      <c r="C341" s="140" t="str">
        <f t="shared" si="6"/>
        <v/>
      </c>
    </row>
    <row r="342" spans="1:26" x14ac:dyDescent="0.25">
      <c r="A342" s="208"/>
      <c r="B342" s="246"/>
      <c r="C342" s="140" t="str">
        <f t="shared" si="6"/>
        <v/>
      </c>
    </row>
    <row r="343" spans="1:26" x14ac:dyDescent="0.25">
      <c r="A343" s="208"/>
      <c r="B343" s="246"/>
      <c r="C343" s="140" t="str">
        <f t="shared" si="6"/>
        <v/>
      </c>
    </row>
    <row r="344" spans="1:26" x14ac:dyDescent="0.25">
      <c r="A344" s="208"/>
      <c r="B344" s="246"/>
      <c r="C344" s="140" t="str">
        <f t="shared" si="6"/>
        <v/>
      </c>
      <c r="X344" s="82"/>
    </row>
    <row r="345" spans="1:26" x14ac:dyDescent="0.25">
      <c r="A345" s="208"/>
      <c r="B345" s="246"/>
      <c r="C345" s="140" t="str">
        <f t="shared" si="6"/>
        <v/>
      </c>
      <c r="X345" s="82"/>
    </row>
    <row r="346" spans="1:26" x14ac:dyDescent="0.25">
      <c r="A346" s="208"/>
      <c r="B346" s="246"/>
      <c r="C346" s="140" t="str">
        <f t="shared" si="6"/>
        <v/>
      </c>
      <c r="X346" s="82"/>
    </row>
    <row r="347" spans="1:26" x14ac:dyDescent="0.25">
      <c r="A347" s="208"/>
      <c r="B347" s="246"/>
      <c r="C347" s="140" t="str">
        <f t="shared" ref="C347:C410" si="7">+IFERROR(IF(B347="","",(VLOOKUP(B347,$F$2:$H$55,3,0))),"State Wrong")</f>
        <v/>
      </c>
      <c r="X347" s="82"/>
      <c r="Z347" s="82"/>
    </row>
    <row r="348" spans="1:26" x14ac:dyDescent="0.25">
      <c r="A348" s="208"/>
      <c r="B348" s="246"/>
      <c r="C348" s="140" t="str">
        <f t="shared" si="7"/>
        <v/>
      </c>
      <c r="U348" s="82"/>
    </row>
    <row r="349" spans="1:26" x14ac:dyDescent="0.25">
      <c r="A349" s="208"/>
      <c r="B349" s="246"/>
      <c r="C349" s="140" t="str">
        <f t="shared" si="7"/>
        <v/>
      </c>
      <c r="U349" s="82"/>
      <c r="X349" s="82"/>
    </row>
    <row r="350" spans="1:26" x14ac:dyDescent="0.25">
      <c r="A350" s="208"/>
      <c r="B350" s="246"/>
      <c r="C350" s="140" t="str">
        <f t="shared" si="7"/>
        <v/>
      </c>
      <c r="U350" s="82"/>
    </row>
    <row r="351" spans="1:26" x14ac:dyDescent="0.25">
      <c r="A351" s="208"/>
      <c r="B351" s="246"/>
      <c r="C351" s="140" t="str">
        <f t="shared" si="7"/>
        <v/>
      </c>
      <c r="U351" s="87"/>
      <c r="V351"/>
      <c r="W351"/>
      <c r="X351"/>
    </row>
    <row r="352" spans="1:26" x14ac:dyDescent="0.25">
      <c r="A352" s="208"/>
      <c r="B352" s="246"/>
      <c r="C352" s="140" t="str">
        <f t="shared" si="7"/>
        <v/>
      </c>
      <c r="X352" s="82"/>
    </row>
    <row r="353" spans="1:26" x14ac:dyDescent="0.25">
      <c r="A353" s="208"/>
      <c r="B353" s="246"/>
      <c r="C353" s="140" t="str">
        <f t="shared" si="7"/>
        <v/>
      </c>
      <c r="X353" s="82"/>
    </row>
    <row r="354" spans="1:26" x14ac:dyDescent="0.25">
      <c r="A354" s="208"/>
      <c r="B354" s="246"/>
      <c r="C354" s="140" t="str">
        <f t="shared" si="7"/>
        <v/>
      </c>
      <c r="U354" s="82"/>
    </row>
    <row r="355" spans="1:26" x14ac:dyDescent="0.25">
      <c r="A355" s="208"/>
      <c r="B355" s="246"/>
      <c r="C355" s="140" t="str">
        <f t="shared" si="7"/>
        <v/>
      </c>
      <c r="U355" s="82"/>
    </row>
    <row r="356" spans="1:26" x14ac:dyDescent="0.25">
      <c r="A356" s="208"/>
      <c r="B356" s="246"/>
      <c r="C356" s="140" t="str">
        <f t="shared" si="7"/>
        <v/>
      </c>
      <c r="U356" s="82"/>
    </row>
    <row r="357" spans="1:26" x14ac:dyDescent="0.25">
      <c r="A357" s="208"/>
      <c r="B357" s="246"/>
      <c r="C357" s="140" t="str">
        <f t="shared" si="7"/>
        <v/>
      </c>
      <c r="U357" s="82"/>
      <c r="Z357" s="87"/>
    </row>
    <row r="358" spans="1:26" x14ac:dyDescent="0.25">
      <c r="A358" s="208"/>
      <c r="B358" s="246"/>
      <c r="C358" s="140" t="str">
        <f t="shared" si="7"/>
        <v/>
      </c>
      <c r="U358" s="82"/>
      <c r="Z358" s="87"/>
    </row>
    <row r="359" spans="1:26" x14ac:dyDescent="0.25">
      <c r="A359" s="208"/>
      <c r="B359" s="246"/>
      <c r="C359" s="140" t="str">
        <f t="shared" si="7"/>
        <v/>
      </c>
      <c r="U359" s="82"/>
    </row>
    <row r="360" spans="1:26" x14ac:dyDescent="0.25">
      <c r="A360" s="208"/>
      <c r="B360" s="246"/>
      <c r="C360" s="140" t="str">
        <f t="shared" si="7"/>
        <v/>
      </c>
      <c r="U360" s="82"/>
    </row>
    <row r="361" spans="1:26" x14ac:dyDescent="0.25">
      <c r="A361" s="208"/>
      <c r="B361" s="246"/>
      <c r="C361" s="140" t="str">
        <f t="shared" si="7"/>
        <v/>
      </c>
      <c r="X361" s="82"/>
    </row>
    <row r="362" spans="1:26" x14ac:dyDescent="0.25">
      <c r="A362" s="208"/>
      <c r="B362" s="246"/>
      <c r="C362" s="140" t="str">
        <f t="shared" si="7"/>
        <v/>
      </c>
      <c r="X362" s="82"/>
    </row>
    <row r="363" spans="1:26" x14ac:dyDescent="0.25">
      <c r="A363" s="208"/>
      <c r="B363" s="246"/>
      <c r="C363" s="140" t="str">
        <f t="shared" si="7"/>
        <v/>
      </c>
      <c r="X363" s="82"/>
    </row>
    <row r="364" spans="1:26" x14ac:dyDescent="0.25">
      <c r="A364" s="208"/>
      <c r="B364" s="246"/>
      <c r="C364" s="140" t="str">
        <f t="shared" si="7"/>
        <v/>
      </c>
      <c r="X364" s="82"/>
    </row>
    <row r="365" spans="1:26" x14ac:dyDescent="0.25">
      <c r="A365" s="208"/>
      <c r="B365" s="246"/>
      <c r="C365" s="140" t="str">
        <f t="shared" si="7"/>
        <v/>
      </c>
      <c r="X365" s="82"/>
    </row>
    <row r="366" spans="1:26" x14ac:dyDescent="0.25">
      <c r="A366" s="208"/>
      <c r="B366" s="246"/>
      <c r="C366" s="140" t="str">
        <f t="shared" si="7"/>
        <v/>
      </c>
      <c r="U366" s="82"/>
    </row>
    <row r="367" spans="1:26" x14ac:dyDescent="0.25">
      <c r="A367" s="208"/>
      <c r="B367" s="246"/>
      <c r="C367" s="140" t="str">
        <f t="shared" si="7"/>
        <v/>
      </c>
      <c r="U367" s="82"/>
      <c r="Z367" s="87"/>
    </row>
    <row r="368" spans="1:26" x14ac:dyDescent="0.25">
      <c r="A368" s="208"/>
      <c r="B368" s="246"/>
      <c r="C368" s="140" t="str">
        <f t="shared" si="7"/>
        <v/>
      </c>
      <c r="U368" s="82"/>
    </row>
    <row r="369" spans="1:26" x14ac:dyDescent="0.25">
      <c r="A369" s="208"/>
      <c r="B369" s="246"/>
      <c r="C369" s="140" t="str">
        <f t="shared" si="7"/>
        <v/>
      </c>
      <c r="U369" s="82"/>
      <c r="Z369" s="87"/>
    </row>
    <row r="370" spans="1:26" x14ac:dyDescent="0.25">
      <c r="A370" s="208"/>
      <c r="B370" s="246"/>
      <c r="C370" s="140" t="str">
        <f t="shared" si="7"/>
        <v/>
      </c>
      <c r="T370" s="82"/>
    </row>
    <row r="371" spans="1:26" x14ac:dyDescent="0.25">
      <c r="A371" s="208"/>
      <c r="B371" s="246"/>
      <c r="C371" s="140" t="str">
        <f t="shared" si="7"/>
        <v/>
      </c>
      <c r="U371" s="82"/>
    </row>
    <row r="372" spans="1:26" x14ac:dyDescent="0.25">
      <c r="A372" s="208"/>
      <c r="B372" s="246"/>
      <c r="C372" s="140" t="str">
        <f t="shared" si="7"/>
        <v/>
      </c>
      <c r="U372" s="82"/>
    </row>
    <row r="373" spans="1:26" x14ac:dyDescent="0.25">
      <c r="A373" s="208"/>
      <c r="B373" s="246"/>
      <c r="C373" s="140" t="str">
        <f t="shared" si="7"/>
        <v/>
      </c>
      <c r="U373" s="82"/>
    </row>
    <row r="374" spans="1:26" x14ac:dyDescent="0.25">
      <c r="A374" s="208"/>
      <c r="B374" s="246"/>
      <c r="C374" s="140" t="str">
        <f t="shared" si="7"/>
        <v/>
      </c>
      <c r="U374" s="82"/>
    </row>
    <row r="375" spans="1:26" x14ac:dyDescent="0.25">
      <c r="A375" s="208"/>
      <c r="B375" s="246"/>
      <c r="C375" s="140" t="str">
        <f t="shared" si="7"/>
        <v/>
      </c>
      <c r="T375" s="82"/>
      <c r="Z375" s="82"/>
    </row>
    <row r="376" spans="1:26" x14ac:dyDescent="0.25">
      <c r="A376" s="208"/>
      <c r="B376" s="246"/>
      <c r="C376" s="140" t="str">
        <f t="shared" si="7"/>
        <v/>
      </c>
      <c r="T376" s="82"/>
      <c r="Z376" s="87"/>
    </row>
    <row r="377" spans="1:26" x14ac:dyDescent="0.25">
      <c r="A377" s="208"/>
      <c r="B377" s="246"/>
      <c r="C377" s="140" t="str">
        <f t="shared" si="7"/>
        <v/>
      </c>
      <c r="T377" s="82"/>
      <c r="Z377" s="87"/>
    </row>
    <row r="378" spans="1:26" x14ac:dyDescent="0.25">
      <c r="A378" s="208"/>
      <c r="B378" s="246"/>
      <c r="C378" s="140" t="str">
        <f t="shared" si="7"/>
        <v/>
      </c>
      <c r="T378" s="82"/>
      <c r="Z378" s="82"/>
    </row>
    <row r="379" spans="1:26" x14ac:dyDescent="0.25">
      <c r="A379" s="208"/>
      <c r="B379" s="246"/>
      <c r="C379" s="140" t="str">
        <f t="shared" si="7"/>
        <v/>
      </c>
      <c r="T379" s="82"/>
      <c r="Z379" s="87"/>
    </row>
    <row r="380" spans="1:26" x14ac:dyDescent="0.25">
      <c r="A380" s="208"/>
      <c r="B380" s="246"/>
      <c r="C380" s="140" t="str">
        <f t="shared" si="7"/>
        <v/>
      </c>
      <c r="U380" s="82"/>
      <c r="Z380" s="87"/>
    </row>
    <row r="381" spans="1:26" x14ac:dyDescent="0.25">
      <c r="A381" s="208"/>
      <c r="B381" s="246"/>
      <c r="C381" s="140" t="str">
        <f t="shared" si="7"/>
        <v/>
      </c>
      <c r="T381" s="82"/>
      <c r="Z381" s="82"/>
    </row>
    <row r="382" spans="1:26" x14ac:dyDescent="0.25">
      <c r="A382" s="208"/>
      <c r="B382" s="246"/>
      <c r="C382" s="140" t="str">
        <f t="shared" si="7"/>
        <v/>
      </c>
      <c r="T382" s="82"/>
      <c r="Z382" s="82"/>
    </row>
    <row r="383" spans="1:26" x14ac:dyDescent="0.25">
      <c r="A383" s="208"/>
      <c r="B383" s="246"/>
      <c r="C383" s="140" t="str">
        <f t="shared" si="7"/>
        <v/>
      </c>
      <c r="U383" s="82"/>
    </row>
    <row r="384" spans="1:26" x14ac:dyDescent="0.25">
      <c r="A384" s="208"/>
      <c r="B384" s="246"/>
      <c r="C384" s="140" t="str">
        <f t="shared" si="7"/>
        <v/>
      </c>
      <c r="U384" s="82"/>
    </row>
    <row r="385" spans="1:26" x14ac:dyDescent="0.25">
      <c r="A385" s="208"/>
      <c r="B385" s="246"/>
      <c r="C385" s="140" t="str">
        <f t="shared" si="7"/>
        <v/>
      </c>
      <c r="U385" s="82"/>
      <c r="Z385" s="87"/>
    </row>
    <row r="386" spans="1:26" x14ac:dyDescent="0.25">
      <c r="A386" s="208"/>
      <c r="B386" s="246"/>
      <c r="C386" s="140" t="str">
        <f t="shared" si="7"/>
        <v/>
      </c>
      <c r="U386" s="82"/>
    </row>
    <row r="387" spans="1:26" x14ac:dyDescent="0.25">
      <c r="A387" s="208"/>
      <c r="B387" s="246"/>
      <c r="C387" s="140" t="str">
        <f t="shared" si="7"/>
        <v/>
      </c>
      <c r="T387" s="82"/>
    </row>
    <row r="388" spans="1:26" x14ac:dyDescent="0.25">
      <c r="A388" s="208"/>
      <c r="B388" s="246"/>
      <c r="C388" s="140" t="str">
        <f t="shared" si="7"/>
        <v/>
      </c>
    </row>
    <row r="389" spans="1:26" x14ac:dyDescent="0.25">
      <c r="A389" s="208"/>
      <c r="B389" s="246"/>
      <c r="C389" s="140" t="str">
        <f t="shared" si="7"/>
        <v/>
      </c>
    </row>
    <row r="390" spans="1:26" x14ac:dyDescent="0.25">
      <c r="A390" s="208"/>
      <c r="B390" s="246"/>
      <c r="C390" s="140" t="str">
        <f t="shared" si="7"/>
        <v/>
      </c>
    </row>
    <row r="391" spans="1:26" x14ac:dyDescent="0.25">
      <c r="A391" s="208"/>
      <c r="B391" s="246"/>
      <c r="C391" s="140" t="str">
        <f t="shared" si="7"/>
        <v/>
      </c>
    </row>
    <row r="392" spans="1:26" x14ac:dyDescent="0.25">
      <c r="A392" s="208"/>
      <c r="B392" s="246"/>
      <c r="C392" s="140" t="str">
        <f t="shared" si="7"/>
        <v/>
      </c>
    </row>
    <row r="393" spans="1:26" x14ac:dyDescent="0.25">
      <c r="A393" s="208"/>
      <c r="B393" s="246"/>
      <c r="C393" s="140" t="str">
        <f t="shared" si="7"/>
        <v/>
      </c>
    </row>
    <row r="394" spans="1:26" x14ac:dyDescent="0.25">
      <c r="A394" s="208"/>
      <c r="B394" s="246"/>
      <c r="C394" s="140" t="str">
        <f t="shared" si="7"/>
        <v/>
      </c>
    </row>
    <row r="395" spans="1:26" x14ac:dyDescent="0.25">
      <c r="A395" s="208"/>
      <c r="B395" s="246"/>
      <c r="C395" s="140" t="str">
        <f t="shared" si="7"/>
        <v/>
      </c>
    </row>
    <row r="396" spans="1:26" x14ac:dyDescent="0.25">
      <c r="A396" s="208"/>
      <c r="B396" s="246"/>
      <c r="C396" s="140" t="str">
        <f t="shared" si="7"/>
        <v/>
      </c>
    </row>
    <row r="397" spans="1:26" x14ac:dyDescent="0.25">
      <c r="A397" s="208"/>
      <c r="B397" s="246"/>
      <c r="C397" s="140" t="str">
        <f t="shared" si="7"/>
        <v/>
      </c>
    </row>
    <row r="398" spans="1:26" x14ac:dyDescent="0.25">
      <c r="A398" s="208"/>
      <c r="B398" s="246"/>
      <c r="C398" s="140" t="str">
        <f t="shared" si="7"/>
        <v/>
      </c>
    </row>
    <row r="399" spans="1:26" x14ac:dyDescent="0.25">
      <c r="A399" s="208"/>
      <c r="B399" s="246"/>
      <c r="C399" s="140" t="str">
        <f t="shared" si="7"/>
        <v/>
      </c>
    </row>
    <row r="400" spans="1:26" x14ac:dyDescent="0.25">
      <c r="A400" s="208"/>
      <c r="B400" s="246"/>
      <c r="C400" s="140" t="str">
        <f t="shared" si="7"/>
        <v/>
      </c>
    </row>
    <row r="401" spans="1:3" x14ac:dyDescent="0.25">
      <c r="A401" s="208"/>
      <c r="B401" s="246"/>
      <c r="C401" s="140" t="str">
        <f t="shared" si="7"/>
        <v/>
      </c>
    </row>
    <row r="402" spans="1:3" x14ac:dyDescent="0.25">
      <c r="A402" s="208"/>
      <c r="B402" s="246"/>
      <c r="C402" s="140" t="str">
        <f t="shared" si="7"/>
        <v/>
      </c>
    </row>
    <row r="403" spans="1:3" x14ac:dyDescent="0.25">
      <c r="A403" s="208"/>
      <c r="B403" s="246"/>
      <c r="C403" s="140" t="str">
        <f t="shared" si="7"/>
        <v/>
      </c>
    </row>
    <row r="404" spans="1:3" x14ac:dyDescent="0.25">
      <c r="A404" s="208"/>
      <c r="B404" s="246"/>
      <c r="C404" s="140" t="str">
        <f t="shared" si="7"/>
        <v/>
      </c>
    </row>
    <row r="405" spans="1:3" x14ac:dyDescent="0.25">
      <c r="A405" s="208"/>
      <c r="B405" s="246"/>
      <c r="C405" s="140" t="str">
        <f t="shared" si="7"/>
        <v/>
      </c>
    </row>
    <row r="406" spans="1:3" x14ac:dyDescent="0.25">
      <c r="A406" s="208"/>
      <c r="B406" s="246"/>
      <c r="C406" s="140" t="str">
        <f t="shared" si="7"/>
        <v/>
      </c>
    </row>
    <row r="407" spans="1:3" x14ac:dyDescent="0.25">
      <c r="A407" s="208"/>
      <c r="B407" s="246"/>
      <c r="C407" s="140" t="str">
        <f t="shared" si="7"/>
        <v/>
      </c>
    </row>
    <row r="408" spans="1:3" x14ac:dyDescent="0.25">
      <c r="A408" s="208"/>
      <c r="B408" s="246"/>
      <c r="C408" s="140" t="str">
        <f t="shared" si="7"/>
        <v/>
      </c>
    </row>
    <row r="409" spans="1:3" x14ac:dyDescent="0.25">
      <c r="A409" s="208"/>
      <c r="B409" s="246"/>
      <c r="C409" s="140" t="str">
        <f t="shared" si="7"/>
        <v/>
      </c>
    </row>
    <row r="410" spans="1:3" x14ac:dyDescent="0.25">
      <c r="A410" s="208"/>
      <c r="B410" s="246"/>
      <c r="C410" s="140" t="str">
        <f t="shared" si="7"/>
        <v/>
      </c>
    </row>
    <row r="411" spans="1:3" x14ac:dyDescent="0.25">
      <c r="A411" s="208"/>
      <c r="B411" s="246"/>
      <c r="C411" s="140" t="str">
        <f t="shared" ref="C411:C474" si="8">+IFERROR(IF(B411="","",(VLOOKUP(B411,$F$2:$H$55,3,0))),"State Wrong")</f>
        <v/>
      </c>
    </row>
    <row r="412" spans="1:3" x14ac:dyDescent="0.25">
      <c r="A412" s="208"/>
      <c r="B412" s="246"/>
      <c r="C412" s="140" t="str">
        <f t="shared" si="8"/>
        <v/>
      </c>
    </row>
    <row r="413" spans="1:3" x14ac:dyDescent="0.25">
      <c r="A413" s="208"/>
      <c r="B413" s="246"/>
      <c r="C413" s="140" t="str">
        <f t="shared" si="8"/>
        <v/>
      </c>
    </row>
    <row r="414" spans="1:3" x14ac:dyDescent="0.25">
      <c r="A414" s="208"/>
      <c r="B414" s="246"/>
      <c r="C414" s="140" t="str">
        <f t="shared" si="8"/>
        <v/>
      </c>
    </row>
    <row r="415" spans="1:3" x14ac:dyDescent="0.25">
      <c r="A415" s="208"/>
      <c r="B415" s="246"/>
      <c r="C415" s="140" t="str">
        <f t="shared" si="8"/>
        <v/>
      </c>
    </row>
    <row r="416" spans="1:3" x14ac:dyDescent="0.25">
      <c r="A416" s="208"/>
      <c r="B416" s="246"/>
      <c r="C416" s="140" t="str">
        <f t="shared" si="8"/>
        <v/>
      </c>
    </row>
    <row r="417" spans="1:3" x14ac:dyDescent="0.25">
      <c r="A417" s="208"/>
      <c r="B417" s="246"/>
      <c r="C417" s="140" t="str">
        <f t="shared" si="8"/>
        <v/>
      </c>
    </row>
    <row r="418" spans="1:3" x14ac:dyDescent="0.25">
      <c r="A418" s="208"/>
      <c r="B418" s="246"/>
      <c r="C418" s="140" t="str">
        <f t="shared" si="8"/>
        <v/>
      </c>
    </row>
    <row r="419" spans="1:3" x14ac:dyDescent="0.25">
      <c r="A419" s="208"/>
      <c r="B419" s="246"/>
      <c r="C419" s="140" t="str">
        <f t="shared" si="8"/>
        <v/>
      </c>
    </row>
    <row r="420" spans="1:3" x14ac:dyDescent="0.25">
      <c r="A420" s="208"/>
      <c r="B420" s="246"/>
      <c r="C420" s="140" t="str">
        <f t="shared" si="8"/>
        <v/>
      </c>
    </row>
    <row r="421" spans="1:3" x14ac:dyDescent="0.25">
      <c r="A421" s="208"/>
      <c r="B421" s="246"/>
      <c r="C421" s="140" t="str">
        <f t="shared" si="8"/>
        <v/>
      </c>
    </row>
    <row r="422" spans="1:3" x14ac:dyDescent="0.25">
      <c r="A422" s="208"/>
      <c r="B422" s="246"/>
      <c r="C422" s="140" t="str">
        <f t="shared" si="8"/>
        <v/>
      </c>
    </row>
    <row r="423" spans="1:3" x14ac:dyDescent="0.25">
      <c r="A423" s="208"/>
      <c r="B423" s="246"/>
      <c r="C423" s="140" t="str">
        <f t="shared" si="8"/>
        <v/>
      </c>
    </row>
    <row r="424" spans="1:3" x14ac:dyDescent="0.25">
      <c r="A424" s="208"/>
      <c r="B424" s="246"/>
      <c r="C424" s="140" t="str">
        <f t="shared" si="8"/>
        <v/>
      </c>
    </row>
    <row r="425" spans="1:3" x14ac:dyDescent="0.25">
      <c r="A425" s="208"/>
      <c r="B425" s="246"/>
      <c r="C425" s="140" t="str">
        <f t="shared" si="8"/>
        <v/>
      </c>
    </row>
    <row r="426" spans="1:3" x14ac:dyDescent="0.25">
      <c r="A426" s="208"/>
      <c r="B426" s="246"/>
      <c r="C426" s="140" t="str">
        <f t="shared" si="8"/>
        <v/>
      </c>
    </row>
    <row r="427" spans="1:3" x14ac:dyDescent="0.25">
      <c r="A427" s="208"/>
      <c r="B427" s="246"/>
      <c r="C427" s="140" t="str">
        <f t="shared" si="8"/>
        <v/>
      </c>
    </row>
    <row r="428" spans="1:3" x14ac:dyDescent="0.25">
      <c r="A428" s="208"/>
      <c r="B428" s="246"/>
      <c r="C428" s="140" t="str">
        <f t="shared" si="8"/>
        <v/>
      </c>
    </row>
    <row r="429" spans="1:3" x14ac:dyDescent="0.25">
      <c r="A429" s="208"/>
      <c r="B429" s="246"/>
      <c r="C429" s="140" t="str">
        <f t="shared" si="8"/>
        <v/>
      </c>
    </row>
    <row r="430" spans="1:3" x14ac:dyDescent="0.25">
      <c r="A430" s="208"/>
      <c r="B430" s="246"/>
      <c r="C430" s="140" t="str">
        <f t="shared" si="8"/>
        <v/>
      </c>
    </row>
    <row r="431" spans="1:3" x14ac:dyDescent="0.25">
      <c r="A431" s="208"/>
      <c r="B431" s="246"/>
      <c r="C431" s="140" t="str">
        <f t="shared" si="8"/>
        <v/>
      </c>
    </row>
    <row r="432" spans="1:3" x14ac:dyDescent="0.25">
      <c r="A432" s="208"/>
      <c r="B432" s="246"/>
      <c r="C432" s="140" t="str">
        <f t="shared" si="8"/>
        <v/>
      </c>
    </row>
    <row r="433" spans="1:3" x14ac:dyDescent="0.25">
      <c r="A433" s="208"/>
      <c r="B433" s="246"/>
      <c r="C433" s="140" t="str">
        <f t="shared" si="8"/>
        <v/>
      </c>
    </row>
    <row r="434" spans="1:3" x14ac:dyDescent="0.25">
      <c r="A434" s="208"/>
      <c r="B434" s="246"/>
      <c r="C434" s="140" t="str">
        <f t="shared" si="8"/>
        <v/>
      </c>
    </row>
    <row r="435" spans="1:3" x14ac:dyDescent="0.25">
      <c r="A435" s="208"/>
      <c r="B435" s="246"/>
      <c r="C435" s="140" t="str">
        <f t="shared" si="8"/>
        <v/>
      </c>
    </row>
    <row r="436" spans="1:3" x14ac:dyDescent="0.25">
      <c r="A436" s="208"/>
      <c r="B436" s="246"/>
      <c r="C436" s="140" t="str">
        <f t="shared" si="8"/>
        <v/>
      </c>
    </row>
    <row r="437" spans="1:3" x14ac:dyDescent="0.25">
      <c r="A437" s="208"/>
      <c r="B437" s="246"/>
      <c r="C437" s="140" t="str">
        <f t="shared" si="8"/>
        <v/>
      </c>
    </row>
    <row r="438" spans="1:3" x14ac:dyDescent="0.25">
      <c r="A438" s="208"/>
      <c r="B438" s="246"/>
      <c r="C438" s="140" t="str">
        <f t="shared" si="8"/>
        <v/>
      </c>
    </row>
    <row r="439" spans="1:3" x14ac:dyDescent="0.25">
      <c r="A439" s="208"/>
      <c r="B439" s="246"/>
      <c r="C439" s="140" t="str">
        <f t="shared" si="8"/>
        <v/>
      </c>
    </row>
    <row r="440" spans="1:3" x14ac:dyDescent="0.25">
      <c r="A440" s="208"/>
      <c r="B440" s="246"/>
      <c r="C440" s="140" t="str">
        <f t="shared" si="8"/>
        <v/>
      </c>
    </row>
    <row r="441" spans="1:3" x14ac:dyDescent="0.25">
      <c r="A441" s="208"/>
      <c r="B441" s="246"/>
      <c r="C441" s="140" t="str">
        <f t="shared" si="8"/>
        <v/>
      </c>
    </row>
    <row r="442" spans="1:3" x14ac:dyDescent="0.25">
      <c r="A442" s="208"/>
      <c r="B442" s="246"/>
      <c r="C442" s="140" t="str">
        <f t="shared" si="8"/>
        <v/>
      </c>
    </row>
    <row r="443" spans="1:3" x14ac:dyDescent="0.25">
      <c r="A443" s="208"/>
      <c r="B443" s="246"/>
      <c r="C443" s="140" t="str">
        <f t="shared" si="8"/>
        <v/>
      </c>
    </row>
    <row r="444" spans="1:3" x14ac:dyDescent="0.25">
      <c r="A444" s="208"/>
      <c r="B444" s="246"/>
      <c r="C444" s="140" t="str">
        <f t="shared" si="8"/>
        <v/>
      </c>
    </row>
    <row r="445" spans="1:3" x14ac:dyDescent="0.25">
      <c r="A445" s="208"/>
      <c r="B445" s="246"/>
      <c r="C445" s="140" t="str">
        <f t="shared" si="8"/>
        <v/>
      </c>
    </row>
    <row r="446" spans="1:3" x14ac:dyDescent="0.25">
      <c r="A446" s="208"/>
      <c r="B446" s="246"/>
      <c r="C446" s="140" t="str">
        <f t="shared" si="8"/>
        <v/>
      </c>
    </row>
    <row r="447" spans="1:3" x14ac:dyDescent="0.25">
      <c r="A447" s="208"/>
      <c r="B447" s="246"/>
      <c r="C447" s="140" t="str">
        <f t="shared" si="8"/>
        <v/>
      </c>
    </row>
    <row r="448" spans="1:3" x14ac:dyDescent="0.25">
      <c r="A448" s="208"/>
      <c r="B448" s="246"/>
      <c r="C448" s="140" t="str">
        <f t="shared" si="8"/>
        <v/>
      </c>
    </row>
    <row r="449" spans="1:3" x14ac:dyDescent="0.25">
      <c r="A449" s="208"/>
      <c r="B449" s="246"/>
      <c r="C449" s="140" t="str">
        <f t="shared" si="8"/>
        <v/>
      </c>
    </row>
    <row r="450" spans="1:3" x14ac:dyDescent="0.25">
      <c r="A450" s="208"/>
      <c r="B450" s="246"/>
      <c r="C450" s="140" t="str">
        <f t="shared" si="8"/>
        <v/>
      </c>
    </row>
    <row r="451" spans="1:3" x14ac:dyDescent="0.25">
      <c r="A451" s="208"/>
      <c r="B451" s="246"/>
      <c r="C451" s="140" t="str">
        <f t="shared" si="8"/>
        <v/>
      </c>
    </row>
    <row r="452" spans="1:3" x14ac:dyDescent="0.25">
      <c r="A452" s="208"/>
      <c r="B452" s="246"/>
      <c r="C452" s="140" t="str">
        <f t="shared" si="8"/>
        <v/>
      </c>
    </row>
    <row r="453" spans="1:3" x14ac:dyDescent="0.25">
      <c r="A453" s="208"/>
      <c r="B453" s="246"/>
      <c r="C453" s="140" t="str">
        <f t="shared" si="8"/>
        <v/>
      </c>
    </row>
    <row r="454" spans="1:3" x14ac:dyDescent="0.25">
      <c r="A454" s="208"/>
      <c r="B454" s="246"/>
      <c r="C454" s="140" t="str">
        <f t="shared" si="8"/>
        <v/>
      </c>
    </row>
    <row r="455" spans="1:3" x14ac:dyDescent="0.25">
      <c r="A455" s="208"/>
      <c r="B455" s="246"/>
      <c r="C455" s="140" t="str">
        <f t="shared" si="8"/>
        <v/>
      </c>
    </row>
    <row r="456" spans="1:3" x14ac:dyDescent="0.25">
      <c r="A456" s="208"/>
      <c r="B456" s="246"/>
      <c r="C456" s="140" t="str">
        <f t="shared" si="8"/>
        <v/>
      </c>
    </row>
    <row r="457" spans="1:3" x14ac:dyDescent="0.25">
      <c r="A457" s="208"/>
      <c r="B457" s="246"/>
      <c r="C457" s="140" t="str">
        <f t="shared" si="8"/>
        <v/>
      </c>
    </row>
    <row r="458" spans="1:3" x14ac:dyDescent="0.25">
      <c r="A458" s="208"/>
      <c r="B458" s="246"/>
      <c r="C458" s="140" t="str">
        <f t="shared" si="8"/>
        <v/>
      </c>
    </row>
    <row r="459" spans="1:3" x14ac:dyDescent="0.25">
      <c r="A459" s="208"/>
      <c r="B459" s="246"/>
      <c r="C459" s="140" t="str">
        <f t="shared" si="8"/>
        <v/>
      </c>
    </row>
    <row r="460" spans="1:3" x14ac:dyDescent="0.25">
      <c r="A460" s="208"/>
      <c r="B460" s="246"/>
      <c r="C460" s="140" t="str">
        <f t="shared" si="8"/>
        <v/>
      </c>
    </row>
    <row r="461" spans="1:3" x14ac:dyDescent="0.25">
      <c r="A461" s="208"/>
      <c r="B461" s="246"/>
      <c r="C461" s="140" t="str">
        <f t="shared" si="8"/>
        <v/>
      </c>
    </row>
    <row r="462" spans="1:3" x14ac:dyDescent="0.25">
      <c r="A462" s="208"/>
      <c r="B462" s="246"/>
      <c r="C462" s="140" t="str">
        <f t="shared" si="8"/>
        <v/>
      </c>
    </row>
    <row r="463" spans="1:3" x14ac:dyDescent="0.25">
      <c r="A463" s="208"/>
      <c r="B463" s="246"/>
      <c r="C463" s="140" t="str">
        <f t="shared" si="8"/>
        <v/>
      </c>
    </row>
    <row r="464" spans="1:3" x14ac:dyDescent="0.25">
      <c r="A464" s="208"/>
      <c r="B464" s="246"/>
      <c r="C464" s="140" t="str">
        <f t="shared" si="8"/>
        <v/>
      </c>
    </row>
    <row r="465" spans="1:3" x14ac:dyDescent="0.25">
      <c r="A465" s="208"/>
      <c r="B465" s="246"/>
      <c r="C465" s="140" t="str">
        <f t="shared" si="8"/>
        <v/>
      </c>
    </row>
    <row r="466" spans="1:3" x14ac:dyDescent="0.25">
      <c r="A466" s="208"/>
      <c r="B466" s="246"/>
      <c r="C466" s="140" t="str">
        <f t="shared" si="8"/>
        <v/>
      </c>
    </row>
    <row r="467" spans="1:3" x14ac:dyDescent="0.25">
      <c r="A467" s="208"/>
      <c r="B467" s="246"/>
      <c r="C467" s="140" t="str">
        <f t="shared" si="8"/>
        <v/>
      </c>
    </row>
    <row r="468" spans="1:3" x14ac:dyDescent="0.25">
      <c r="A468" s="208"/>
      <c r="B468" s="246"/>
      <c r="C468" s="140" t="str">
        <f t="shared" si="8"/>
        <v/>
      </c>
    </row>
    <row r="469" spans="1:3" x14ac:dyDescent="0.25">
      <c r="A469" s="208"/>
      <c r="B469" s="246"/>
      <c r="C469" s="140" t="str">
        <f t="shared" si="8"/>
        <v/>
      </c>
    </row>
    <row r="470" spans="1:3" x14ac:dyDescent="0.25">
      <c r="A470" s="208"/>
      <c r="B470" s="246"/>
      <c r="C470" s="140" t="str">
        <f t="shared" si="8"/>
        <v/>
      </c>
    </row>
    <row r="471" spans="1:3" x14ac:dyDescent="0.25">
      <c r="A471" s="208"/>
      <c r="B471" s="246"/>
      <c r="C471" s="140" t="str">
        <f t="shared" si="8"/>
        <v/>
      </c>
    </row>
    <row r="472" spans="1:3" x14ac:dyDescent="0.25">
      <c r="A472" s="208"/>
      <c r="B472" s="246"/>
      <c r="C472" s="140" t="str">
        <f t="shared" si="8"/>
        <v/>
      </c>
    </row>
    <row r="473" spans="1:3" x14ac:dyDescent="0.25">
      <c r="A473" s="208"/>
      <c r="B473" s="246"/>
      <c r="C473" s="140" t="str">
        <f t="shared" si="8"/>
        <v/>
      </c>
    </row>
    <row r="474" spans="1:3" x14ac:dyDescent="0.25">
      <c r="A474" s="208"/>
      <c r="B474" s="246"/>
      <c r="C474" s="140" t="str">
        <f t="shared" si="8"/>
        <v/>
      </c>
    </row>
    <row r="475" spans="1:3" x14ac:dyDescent="0.25">
      <c r="A475" s="208"/>
      <c r="B475" s="246"/>
      <c r="C475" s="140" t="str">
        <f t="shared" ref="C475:C528" si="9">+IFERROR(IF(B475="","",(VLOOKUP(B475,$F$2:$H$55,3,0))),"State Wrong")</f>
        <v/>
      </c>
    </row>
    <row r="476" spans="1:3" x14ac:dyDescent="0.25">
      <c r="A476" s="208"/>
      <c r="B476" s="246"/>
      <c r="C476" s="140" t="str">
        <f t="shared" si="9"/>
        <v/>
      </c>
    </row>
    <row r="477" spans="1:3" x14ac:dyDescent="0.25">
      <c r="A477" s="208"/>
      <c r="B477" s="246"/>
      <c r="C477" s="140" t="str">
        <f t="shared" si="9"/>
        <v/>
      </c>
    </row>
    <row r="478" spans="1:3" x14ac:dyDescent="0.25">
      <c r="A478" s="208"/>
      <c r="B478" s="246"/>
      <c r="C478" s="140" t="str">
        <f t="shared" si="9"/>
        <v/>
      </c>
    </row>
    <row r="479" spans="1:3" x14ac:dyDescent="0.25">
      <c r="A479" s="208"/>
      <c r="B479" s="246"/>
      <c r="C479" s="140" t="str">
        <f t="shared" si="9"/>
        <v/>
      </c>
    </row>
    <row r="480" spans="1:3" x14ac:dyDescent="0.25">
      <c r="A480" s="208"/>
      <c r="B480" s="246"/>
      <c r="C480" s="140" t="str">
        <f t="shared" si="9"/>
        <v/>
      </c>
    </row>
    <row r="481" spans="1:3" x14ac:dyDescent="0.25">
      <c r="A481" s="208"/>
      <c r="B481" s="246"/>
      <c r="C481" s="140" t="str">
        <f t="shared" si="9"/>
        <v/>
      </c>
    </row>
    <row r="482" spans="1:3" x14ac:dyDescent="0.25">
      <c r="A482" s="208"/>
      <c r="B482" s="246"/>
      <c r="C482" s="140" t="str">
        <f t="shared" si="9"/>
        <v/>
      </c>
    </row>
    <row r="483" spans="1:3" x14ac:dyDescent="0.25">
      <c r="A483" s="208"/>
      <c r="B483" s="246"/>
      <c r="C483" s="140" t="str">
        <f t="shared" si="9"/>
        <v/>
      </c>
    </row>
    <row r="484" spans="1:3" x14ac:dyDescent="0.25">
      <c r="A484" s="208"/>
      <c r="B484" s="246"/>
      <c r="C484" s="140" t="str">
        <f t="shared" si="9"/>
        <v/>
      </c>
    </row>
    <row r="485" spans="1:3" x14ac:dyDescent="0.25">
      <c r="A485" s="208"/>
      <c r="B485" s="246"/>
      <c r="C485" s="140" t="str">
        <f t="shared" si="9"/>
        <v/>
      </c>
    </row>
    <row r="486" spans="1:3" x14ac:dyDescent="0.25">
      <c r="A486" s="208"/>
      <c r="B486" s="246"/>
      <c r="C486" s="140" t="str">
        <f t="shared" si="9"/>
        <v/>
      </c>
    </row>
    <row r="487" spans="1:3" x14ac:dyDescent="0.25">
      <c r="A487" s="208"/>
      <c r="B487" s="246"/>
      <c r="C487" s="140" t="str">
        <f t="shared" si="9"/>
        <v/>
      </c>
    </row>
    <row r="488" spans="1:3" x14ac:dyDescent="0.25">
      <c r="A488" s="208"/>
      <c r="B488" s="246"/>
      <c r="C488" s="140" t="str">
        <f t="shared" si="9"/>
        <v/>
      </c>
    </row>
    <row r="489" spans="1:3" x14ac:dyDescent="0.25">
      <c r="A489" s="208"/>
      <c r="B489" s="246"/>
      <c r="C489" s="140" t="str">
        <f t="shared" si="9"/>
        <v/>
      </c>
    </row>
    <row r="490" spans="1:3" x14ac:dyDescent="0.25">
      <c r="A490" s="208"/>
      <c r="B490" s="246"/>
      <c r="C490" s="140" t="str">
        <f t="shared" si="9"/>
        <v/>
      </c>
    </row>
    <row r="491" spans="1:3" x14ac:dyDescent="0.25">
      <c r="A491" s="208"/>
      <c r="B491" s="246"/>
      <c r="C491" s="140" t="str">
        <f t="shared" si="9"/>
        <v/>
      </c>
    </row>
    <row r="492" spans="1:3" x14ac:dyDescent="0.25">
      <c r="A492" s="208"/>
      <c r="B492" s="246"/>
      <c r="C492" s="140" t="str">
        <f t="shared" si="9"/>
        <v/>
      </c>
    </row>
    <row r="493" spans="1:3" x14ac:dyDescent="0.25">
      <c r="A493" s="208"/>
      <c r="B493" s="246"/>
      <c r="C493" s="140" t="str">
        <f t="shared" si="9"/>
        <v/>
      </c>
    </row>
    <row r="494" spans="1:3" x14ac:dyDescent="0.25">
      <c r="A494" s="208"/>
      <c r="B494" s="246"/>
      <c r="C494" s="140" t="str">
        <f t="shared" si="9"/>
        <v/>
      </c>
    </row>
    <row r="495" spans="1:3" x14ac:dyDescent="0.25">
      <c r="A495" s="208"/>
      <c r="B495" s="246"/>
      <c r="C495" s="140" t="str">
        <f t="shared" si="9"/>
        <v/>
      </c>
    </row>
    <row r="496" spans="1:3" x14ac:dyDescent="0.25">
      <c r="A496" s="208"/>
      <c r="B496" s="246"/>
      <c r="C496" s="140" t="str">
        <f t="shared" si="9"/>
        <v/>
      </c>
    </row>
    <row r="497" spans="1:3" x14ac:dyDescent="0.25">
      <c r="A497" s="208"/>
      <c r="B497" s="246"/>
      <c r="C497" s="140" t="str">
        <f t="shared" si="9"/>
        <v/>
      </c>
    </row>
    <row r="498" spans="1:3" x14ac:dyDescent="0.25">
      <c r="A498" s="208"/>
      <c r="B498" s="246"/>
      <c r="C498" s="140" t="str">
        <f t="shared" si="9"/>
        <v/>
      </c>
    </row>
    <row r="499" spans="1:3" x14ac:dyDescent="0.25">
      <c r="A499" s="208"/>
      <c r="B499" s="246"/>
      <c r="C499" s="140" t="str">
        <f t="shared" si="9"/>
        <v/>
      </c>
    </row>
    <row r="500" spans="1:3" x14ac:dyDescent="0.25">
      <c r="A500" s="208"/>
      <c r="B500" s="246"/>
      <c r="C500" s="140" t="str">
        <f t="shared" si="9"/>
        <v/>
      </c>
    </row>
    <row r="501" spans="1:3" x14ac:dyDescent="0.25">
      <c r="A501" s="208"/>
      <c r="B501" s="246"/>
      <c r="C501" s="140" t="str">
        <f t="shared" si="9"/>
        <v/>
      </c>
    </row>
    <row r="502" spans="1:3" x14ac:dyDescent="0.25">
      <c r="A502" s="208"/>
      <c r="B502" s="246"/>
      <c r="C502" s="140" t="str">
        <f t="shared" si="9"/>
        <v/>
      </c>
    </row>
    <row r="503" spans="1:3" x14ac:dyDescent="0.25">
      <c r="A503" s="208"/>
      <c r="B503" s="246"/>
      <c r="C503" s="140" t="str">
        <f t="shared" si="9"/>
        <v/>
      </c>
    </row>
    <row r="504" spans="1:3" x14ac:dyDescent="0.25">
      <c r="A504" s="208"/>
      <c r="B504" s="246"/>
      <c r="C504" s="140" t="str">
        <f t="shared" si="9"/>
        <v/>
      </c>
    </row>
    <row r="505" spans="1:3" x14ac:dyDescent="0.25">
      <c r="A505" s="208"/>
      <c r="B505" s="246"/>
      <c r="C505" s="140" t="str">
        <f t="shared" si="9"/>
        <v/>
      </c>
    </row>
    <row r="506" spans="1:3" x14ac:dyDescent="0.25">
      <c r="A506" s="208"/>
      <c r="B506" s="246"/>
      <c r="C506" s="140" t="str">
        <f t="shared" si="9"/>
        <v/>
      </c>
    </row>
    <row r="507" spans="1:3" x14ac:dyDescent="0.25">
      <c r="A507" s="208"/>
      <c r="B507" s="246"/>
      <c r="C507" s="140" t="str">
        <f t="shared" si="9"/>
        <v/>
      </c>
    </row>
    <row r="508" spans="1:3" x14ac:dyDescent="0.25">
      <c r="A508" s="208"/>
      <c r="B508" s="246"/>
      <c r="C508" s="140" t="str">
        <f t="shared" si="9"/>
        <v/>
      </c>
    </row>
    <row r="509" spans="1:3" x14ac:dyDescent="0.25">
      <c r="A509" s="208"/>
      <c r="B509" s="246"/>
      <c r="C509" s="140" t="str">
        <f t="shared" si="9"/>
        <v/>
      </c>
    </row>
    <row r="510" spans="1:3" x14ac:dyDescent="0.25">
      <c r="A510" s="208"/>
      <c r="B510" s="246"/>
      <c r="C510" s="140" t="str">
        <f t="shared" si="9"/>
        <v/>
      </c>
    </row>
    <row r="511" spans="1:3" x14ac:dyDescent="0.25">
      <c r="A511" s="208"/>
      <c r="B511" s="246"/>
      <c r="C511" s="140" t="str">
        <f t="shared" si="9"/>
        <v/>
      </c>
    </row>
    <row r="512" spans="1:3" x14ac:dyDescent="0.25">
      <c r="A512" s="208"/>
      <c r="B512" s="246"/>
      <c r="C512" s="140" t="str">
        <f t="shared" si="9"/>
        <v/>
      </c>
    </row>
    <row r="513" spans="1:3" x14ac:dyDescent="0.25">
      <c r="A513" s="208"/>
      <c r="B513" s="246"/>
      <c r="C513" s="140" t="str">
        <f t="shared" si="9"/>
        <v/>
      </c>
    </row>
    <row r="514" spans="1:3" x14ac:dyDescent="0.25">
      <c r="A514" s="208"/>
      <c r="B514" s="246"/>
      <c r="C514" s="140" t="str">
        <f t="shared" si="9"/>
        <v/>
      </c>
    </row>
    <row r="515" spans="1:3" x14ac:dyDescent="0.25">
      <c r="A515" s="208"/>
      <c r="B515" s="246"/>
      <c r="C515" s="140" t="str">
        <f t="shared" si="9"/>
        <v/>
      </c>
    </row>
    <row r="516" spans="1:3" x14ac:dyDescent="0.25">
      <c r="A516" s="208"/>
      <c r="B516" s="246"/>
      <c r="C516" s="140" t="str">
        <f t="shared" si="9"/>
        <v/>
      </c>
    </row>
    <row r="517" spans="1:3" x14ac:dyDescent="0.25">
      <c r="A517" s="208"/>
      <c r="B517" s="246"/>
      <c r="C517" s="140" t="str">
        <f t="shared" si="9"/>
        <v/>
      </c>
    </row>
    <row r="518" spans="1:3" x14ac:dyDescent="0.25">
      <c r="A518" s="208"/>
      <c r="B518" s="246"/>
      <c r="C518" s="140" t="str">
        <f t="shared" si="9"/>
        <v/>
      </c>
    </row>
    <row r="519" spans="1:3" x14ac:dyDescent="0.25">
      <c r="A519" s="208"/>
      <c r="B519" s="246"/>
      <c r="C519" s="140" t="str">
        <f t="shared" si="9"/>
        <v/>
      </c>
    </row>
    <row r="520" spans="1:3" x14ac:dyDescent="0.25">
      <c r="A520" s="208"/>
      <c r="B520" s="246"/>
      <c r="C520" s="140" t="str">
        <f t="shared" si="9"/>
        <v/>
      </c>
    </row>
    <row r="521" spans="1:3" x14ac:dyDescent="0.25">
      <c r="A521" s="208"/>
      <c r="B521" s="246"/>
      <c r="C521" s="140" t="str">
        <f t="shared" si="9"/>
        <v/>
      </c>
    </row>
    <row r="522" spans="1:3" x14ac:dyDescent="0.25">
      <c r="A522" s="208"/>
      <c r="B522" s="246"/>
      <c r="C522" s="140" t="str">
        <f t="shared" si="9"/>
        <v/>
      </c>
    </row>
    <row r="523" spans="1:3" x14ac:dyDescent="0.25">
      <c r="A523" s="208"/>
      <c r="B523" s="246"/>
      <c r="C523" s="140" t="str">
        <f t="shared" si="9"/>
        <v/>
      </c>
    </row>
    <row r="524" spans="1:3" x14ac:dyDescent="0.25">
      <c r="A524" s="208"/>
      <c r="B524" s="246"/>
      <c r="C524" s="140" t="str">
        <f t="shared" si="9"/>
        <v/>
      </c>
    </row>
    <row r="525" spans="1:3" x14ac:dyDescent="0.25">
      <c r="A525" s="208"/>
      <c r="B525" s="246"/>
      <c r="C525" s="140" t="str">
        <f t="shared" si="9"/>
        <v/>
      </c>
    </row>
    <row r="526" spans="1:3" x14ac:dyDescent="0.25">
      <c r="A526" s="208"/>
      <c r="B526" s="246"/>
      <c r="C526" s="140" t="str">
        <f t="shared" si="9"/>
        <v/>
      </c>
    </row>
    <row r="527" spans="1:3" x14ac:dyDescent="0.25">
      <c r="A527" s="208"/>
      <c r="B527" s="246"/>
      <c r="C527" s="140" t="str">
        <f t="shared" si="9"/>
        <v/>
      </c>
    </row>
    <row r="528" spans="1:3" x14ac:dyDescent="0.25">
      <c r="A528" s="208"/>
      <c r="B528" s="246"/>
      <c r="C528" s="140" t="str">
        <f t="shared" si="9"/>
        <v/>
      </c>
    </row>
    <row r="529" spans="3:4" x14ac:dyDescent="0.25">
      <c r="C529" s="140">
        <v>28</v>
      </c>
      <c r="D529" s="16">
        <v>28288</v>
      </c>
    </row>
    <row r="530" spans="3:4" x14ac:dyDescent="0.25">
      <c r="C530" s="140">
        <v>12</v>
      </c>
      <c r="D530" s="16">
        <v>1212</v>
      </c>
    </row>
    <row r="531" spans="3:4" x14ac:dyDescent="0.25">
      <c r="C531" s="140">
        <v>5</v>
      </c>
      <c r="D531" s="16">
        <v>55</v>
      </c>
    </row>
    <row r="532" spans="3:4" x14ac:dyDescent="0.25">
      <c r="C532" s="140">
        <v>18</v>
      </c>
      <c r="D532" s="16">
        <v>1818</v>
      </c>
    </row>
    <row r="533" spans="3:4" x14ac:dyDescent="0.25">
      <c r="C533" s="140">
        <v>28</v>
      </c>
      <c r="D533" s="16">
        <v>2828</v>
      </c>
    </row>
    <row r="534" spans="3:4" x14ac:dyDescent="0.25">
      <c r="C534" s="140">
        <v>12</v>
      </c>
      <c r="D534" s="16">
        <v>1212</v>
      </c>
    </row>
    <row r="535" spans="3:4" x14ac:dyDescent="0.25">
      <c r="C535" s="140">
        <v>5</v>
      </c>
      <c r="D535" s="16">
        <v>5</v>
      </c>
    </row>
    <row r="536" spans="3:4" x14ac:dyDescent="0.25">
      <c r="C536" s="140">
        <v>18</v>
      </c>
      <c r="D536" s="16">
        <v>1818</v>
      </c>
    </row>
    <row r="537" spans="3:4" x14ac:dyDescent="0.25">
      <c r="C537" s="140">
        <v>5</v>
      </c>
      <c r="D537" s="16">
        <v>55</v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36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7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8" r:id="rId6" name="MSH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9" r:id="rId7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0" r:id="rId8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1" r:id="rId9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2" r:id="rId10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3" r:id="rId11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4" r:id="rId12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5" r:id="rId13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6" r:id="rId14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7" r:id="rId15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8" r:id="rId16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9" r:id="rId17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0" r:id="rId18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1" r:id="rId19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2" r:id="rId20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3" r:id="rId21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4" r:id="rId22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5" r:id="rId23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6" r:id="rId24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7" r:id="rId25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29</xdr:row>
                    <xdr:rowOff>0</xdr:rowOff>
                  </from>
                  <to>
                    <xdr:col>9</xdr:col>
                    <xdr:colOff>419100</xdr:colOff>
                    <xdr:row>29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20"/>
  <sheetViews>
    <sheetView tabSelected="1" workbookViewId="0">
      <selection activeCell="H15" sqref="H15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1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4" customWidth="1"/>
    <col min="18" max="18" width="22.28515625" style="16" customWidth="1"/>
    <col min="19" max="24" width="17.85546875" style="16" customWidth="1"/>
    <col min="25" max="25" width="17.85546875" style="201" customWidth="1"/>
    <col min="26" max="26" width="30.42578125" style="16" customWidth="1"/>
    <col min="27" max="31" width="17.85546875" style="16" customWidth="1"/>
    <col min="32" max="32" width="15.7109375" style="327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59"/>
      <c r="B1" s="160"/>
      <c r="C1" s="160"/>
      <c r="D1" s="160"/>
      <c r="E1" s="160"/>
      <c r="F1" s="160"/>
      <c r="G1" s="371"/>
      <c r="H1" s="160"/>
      <c r="I1" s="211"/>
      <c r="J1" s="332" t="s">
        <v>90</v>
      </c>
      <c r="K1" s="338" t="str">
        <f>+IF(K2=0,"Done","Pending")</f>
        <v>Pending</v>
      </c>
      <c r="L1" s="333"/>
      <c r="M1" s="334"/>
      <c r="N1" s="330" t="s">
        <v>90</v>
      </c>
      <c r="O1" s="213" t="s">
        <v>87</v>
      </c>
      <c r="P1" s="214" t="s">
        <v>88</v>
      </c>
      <c r="Q1" s="266" t="s">
        <v>100</v>
      </c>
      <c r="R1" s="268" t="s">
        <v>103</v>
      </c>
      <c r="S1" s="215" t="s">
        <v>105</v>
      </c>
      <c r="T1" s="215" t="s">
        <v>740</v>
      </c>
      <c r="U1" s="216" t="s">
        <v>739</v>
      </c>
      <c r="V1" s="215" t="s">
        <v>107</v>
      </c>
      <c r="W1" s="215"/>
      <c r="X1" s="216" t="s">
        <v>715</v>
      </c>
      <c r="AA1" s="115"/>
      <c r="AB1" s="17"/>
      <c r="AD1" s="70"/>
      <c r="AE1" s="24"/>
    </row>
    <row r="2" spans="1:34" ht="16.5" thickBot="1" x14ac:dyDescent="0.3">
      <c r="A2" s="161"/>
      <c r="B2" s="355"/>
      <c r="C2" s="162"/>
      <c r="D2" s="162"/>
      <c r="E2" s="162"/>
      <c r="F2" s="162"/>
      <c r="G2" s="372"/>
      <c r="H2" s="162"/>
      <c r="I2" s="212"/>
      <c r="J2" s="335">
        <f>+MSH!H2+'AMZ (2)'!H2+FLC!H2+'FLC (C)'!H2+SND!H2+AJIO!H2+MYR!H2+'S101'!H2+JIO!H2+GLR!H2+MRW!H2+'S101 (2)'!H2+VMT!H2+'MYR (2)'!H2+'S101 (3)'!H2+UNI!H2+AMZ!H2+'MSH (2)'!H2+'MSH (3)'!H2</f>
        <v>1411</v>
      </c>
      <c r="K2" s="339">
        <f>+J2-N2</f>
        <v>1395</v>
      </c>
      <c r="L2" s="336"/>
      <c r="M2" s="337"/>
      <c r="N2" s="331">
        <f>+O2+P2</f>
        <v>16</v>
      </c>
      <c r="O2" s="217">
        <f>+COUNTIF($L:$L,"&gt;"&amp;0)</f>
        <v>0</v>
      </c>
      <c r="P2" s="218">
        <f>+COUNTIF($L:$L,"&lt;"&amp;0)</f>
        <v>16</v>
      </c>
      <c r="Q2" s="267">
        <f>+SUM(L:L)</f>
        <v>-4291.2621360000003</v>
      </c>
      <c r="R2" s="269">
        <f>+COUNTA($Q:$Q)-3</f>
        <v>0</v>
      </c>
      <c r="S2" s="219">
        <f>+SUM(M:M)</f>
        <v>-21.409999999999997</v>
      </c>
      <c r="T2" s="220">
        <f>IF(Q2=0,"0",COUNTIF(R:R, "&gt;" &amp; U2))</f>
        <v>0</v>
      </c>
      <c r="U2" s="271">
        <v>85000</v>
      </c>
      <c r="V2" s="220">
        <f>+N2-R2</f>
        <v>16</v>
      </c>
      <c r="W2" s="270"/>
      <c r="X2" s="270">
        <f>+IFERROR((V2/N2),"")</f>
        <v>1</v>
      </c>
      <c r="Y2" s="70">
        <f>+SUM(AD:AD)</f>
        <v>0</v>
      </c>
      <c r="Z2" s="70">
        <f>+Q2-Y2</f>
        <v>-4291.2621360000003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1"/>
      <c r="C3" s="375"/>
      <c r="D3" s="76">
        <f ca="1">+MSH!N2+FLC!N2+'AMZ (2)'!N2+SND!N2+GLR!N2+MRW!N2+'S101'!N2+JIO!N2+MYR!N2+VMT!N2+AJIO!N2</f>
        <v>0</v>
      </c>
      <c r="E3" s="77" t="str">
        <f>+IF(F3=0," ","Month State Check : ++++")</f>
        <v xml:space="preserve"> </v>
      </c>
      <c r="F3" s="76">
        <v>0</v>
      </c>
      <c r="G3" s="373" t="s">
        <v>316</v>
      </c>
      <c r="H3" s="376" t="s">
        <v>918</v>
      </c>
      <c r="I3" s="136" t="str">
        <f>+IF(J3=1,"All","State")</f>
        <v>All</v>
      </c>
      <c r="J3" s="377">
        <v>1</v>
      </c>
      <c r="K3" s="135"/>
      <c r="M3" s="69"/>
      <c r="N3" s="103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Data MisMatch Check Data</v>
      </c>
      <c r="O3" s="399" t="str">
        <f ca="1">IF($J$3=2,
   VALUE(TEXT(DATE(YEAR(G3)+IF(AND(ISNUMBER($H$3),$H$3&lt;MONTH(G3)),1,0),
   IF($H$3="Last Month",MONTH(NOW())-1,IF($H$3="Default",MONTH(G3),$H$3)),
   MIN(DAY(G3),DAY(EOMONTH(DATE(YEAR(G3)+IF(AND(ISNUMBER($H$3),$H$3&lt;MONTH(G3)),1,0),
   IF($H$3="Last Month",MONTH(NOW())-1,IF($H$3="Default",MONTH(G3),$H$3)),1),0)))),"dd/mm/yyyy")),
"")</f>
        <v/>
      </c>
      <c r="P3" s="24" t="str">
        <f>+IF(B3="Jio Sallers",IF(A3=E3,"GST","IGST"),IF(A3=E3,"ECom GST","ECom IGST"))</f>
        <v>ECom IGST</v>
      </c>
      <c r="Q3" s="263"/>
      <c r="R3" s="366" t="str">
        <f>IF(S3="",IF(Q3&lt;&gt;"", SUMIFS(#REF!,#REF!, Q3), ""),"")</f>
        <v/>
      </c>
      <c r="S3" s="367" t="str">
        <f>IF(Q3="", "", INDEX(#REF!, MATCH(Q3,#REF!, 0)))</f>
        <v/>
      </c>
      <c r="T3" s="368" t="str">
        <f>IF(Q3="", "", INDEX(#REF!, MATCH(Q3,#REF!, 0)))</f>
        <v/>
      </c>
      <c r="U3" s="366" t="str">
        <f>IF(Q3="", "", INDEX(#REF!, MATCH(Q3,#REF!, 0)))</f>
        <v/>
      </c>
      <c r="V3" s="366" t="str">
        <f>AB3 &amp; "%" &amp; " (" &amp; AA3 &amp; ")"</f>
        <v>% ()</v>
      </c>
      <c r="W3" s="368" t="e">
        <f>+IF(X3="",INDEX(#REF!,MATCH(Q3,#REF!,0)),INDEX(Help!$F$2:$F$49,MATCH(VALUE(LEFT(X3,2)),Help!$E$2:$E$49,0)))</f>
        <v>#REF!</v>
      </c>
      <c r="X3" s="369" t="str">
        <f>IF(Q3="", "", IFERROR(INDEX(#REF!, MATCH(Q3,#REF!, 0)), ""))</f>
        <v/>
      </c>
      <c r="Y3" s="368" t="str">
        <f>IF(Q3="", "", IFERROR(INDEX(#REF!, MATCH(Q3,#REF!, 0)), ""))</f>
        <v/>
      </c>
      <c r="Z3" s="367" t="str">
        <f>SUBSTITUTE(Q3,"R-","")</f>
        <v/>
      </c>
      <c r="AA3" s="367" t="str">
        <f>IF($Q3="", "", IFERROR(VALUE(INDEX(#REF!, MATCH($Q3,#REF!, 0))), ""))</f>
        <v/>
      </c>
      <c r="AB3" s="367" t="str">
        <f>IF($Q3="", "", IFERROR(INDEX(#REF!, MATCH($Q3,#REF!, 0)), ""))</f>
        <v/>
      </c>
      <c r="AC3" s="367" t="e">
        <f>IF(VALUE(SUMIF(#REF!,Q3,#REF!))=0, 1, VALUE(SUMIF(#REF!,Q3,#REF!)))</f>
        <v>#REF!</v>
      </c>
      <c r="AD3" s="101" t="str">
        <f>IF(Q3="", "", SUMIFS(#REF!,#REF!, Q3))</f>
        <v/>
      </c>
      <c r="AE3" s="101" t="str">
        <f>IF(Q3="", "", SUMIFS(#REF!,#REF!, Q3))</f>
        <v/>
      </c>
      <c r="AF3" s="326" t="e">
        <f>+AD3/AC3</f>
        <v>#VALUE!</v>
      </c>
      <c r="AG3" s="102" t="s">
        <v>85</v>
      </c>
      <c r="AH3" s="98" t="e">
        <f>+IF(W3=S3,"ECom GST","ECom IGST")</f>
        <v>#REF!</v>
      </c>
    </row>
    <row r="4" spans="1:34" s="131" customFormat="1" x14ac:dyDescent="0.25">
      <c r="A4" s="129" t="s">
        <v>71</v>
      </c>
      <c r="B4" s="129" t="s">
        <v>72</v>
      </c>
      <c r="C4" s="210" t="s">
        <v>73</v>
      </c>
      <c r="D4" s="129" t="s">
        <v>237</v>
      </c>
      <c r="E4" s="129" t="s">
        <v>1</v>
      </c>
      <c r="F4" s="210" t="s">
        <v>74</v>
      </c>
      <c r="G4" s="374" t="s">
        <v>75</v>
      </c>
      <c r="H4" s="129" t="s">
        <v>76</v>
      </c>
      <c r="I4" s="128" t="s">
        <v>236</v>
      </c>
      <c r="J4" s="129" t="s">
        <v>54</v>
      </c>
      <c r="K4" s="129" t="s">
        <v>78</v>
      </c>
      <c r="L4" s="129" t="s">
        <v>79</v>
      </c>
      <c r="M4" s="129" t="s">
        <v>80</v>
      </c>
      <c r="N4" s="130" t="s">
        <v>415</v>
      </c>
      <c r="O4" s="130" t="str">
        <f>+IF(J3=2,"Month Date","")</f>
        <v/>
      </c>
      <c r="P4" s="130" t="s">
        <v>301</v>
      </c>
      <c r="Q4" s="130" t="s">
        <v>415</v>
      </c>
      <c r="R4" s="265"/>
      <c r="S4" s="209" t="s">
        <v>71</v>
      </c>
      <c r="T4" s="209" t="s">
        <v>857</v>
      </c>
      <c r="U4" s="209" t="s">
        <v>858</v>
      </c>
      <c r="V4" s="209" t="s">
        <v>302</v>
      </c>
      <c r="W4" s="209" t="s">
        <v>1</v>
      </c>
      <c r="X4" s="209" t="s">
        <v>74</v>
      </c>
      <c r="Y4" s="329" t="s">
        <v>75</v>
      </c>
      <c r="Z4" s="209" t="s">
        <v>76</v>
      </c>
      <c r="AA4" s="209" t="s">
        <v>55</v>
      </c>
      <c r="AB4" s="209" t="s">
        <v>54</v>
      </c>
      <c r="AC4" s="209" t="s">
        <v>78</v>
      </c>
      <c r="AD4" s="209" t="s">
        <v>106</v>
      </c>
      <c r="AE4" s="209" t="s">
        <v>80</v>
      </c>
      <c r="AF4" s="328" t="s">
        <v>315</v>
      </c>
      <c r="AG4" s="209"/>
      <c r="AH4" s="209" t="s">
        <v>301</v>
      </c>
    </row>
    <row r="5" spans="1:34" x14ac:dyDescent="0.25">
      <c r="A5" s="82" t="s">
        <v>5</v>
      </c>
      <c r="B5" s="82" t="s">
        <v>416</v>
      </c>
      <c r="C5" s="410" t="s">
        <v>85</v>
      </c>
      <c r="D5" s="407" t="s">
        <v>9945</v>
      </c>
      <c r="E5" s="405" t="s">
        <v>37</v>
      </c>
      <c r="F5" s="410" t="s">
        <v>85</v>
      </c>
      <c r="G5" s="407">
        <v>45931</v>
      </c>
      <c r="H5" s="405">
        <v>10708956170</v>
      </c>
      <c r="I5" s="406">
        <v>45645</v>
      </c>
      <c r="J5" s="405">
        <v>3</v>
      </c>
      <c r="K5" s="405">
        <v>1</v>
      </c>
      <c r="L5" s="82">
        <v>-233.00970899999999</v>
      </c>
      <c r="M5" s="82">
        <v>-1.1599999999999999</v>
      </c>
      <c r="N5" s="411">
        <v>-233.00970899999999</v>
      </c>
      <c r="O5" s="412" t="s">
        <v>85</v>
      </c>
      <c r="P5" s="318" t="s">
        <v>9947</v>
      </c>
    </row>
    <row r="6" spans="1:34" x14ac:dyDescent="0.25">
      <c r="A6" s="82" t="s">
        <v>5</v>
      </c>
      <c r="B6" s="82" t="s">
        <v>416</v>
      </c>
      <c r="C6" s="410" t="s">
        <v>85</v>
      </c>
      <c r="D6" s="407" t="s">
        <v>9945</v>
      </c>
      <c r="E6" s="405" t="s">
        <v>33</v>
      </c>
      <c r="F6" s="410" t="s">
        <v>85</v>
      </c>
      <c r="G6" s="407">
        <v>45932</v>
      </c>
      <c r="H6" s="405">
        <v>10717973251</v>
      </c>
      <c r="I6" s="406">
        <v>45645</v>
      </c>
      <c r="J6" s="405">
        <v>3</v>
      </c>
      <c r="K6" s="405">
        <v>1</v>
      </c>
      <c r="L6" s="82">
        <v>-233.00970899999999</v>
      </c>
      <c r="M6" s="82">
        <v>-1.1599999999999999</v>
      </c>
      <c r="N6" s="411">
        <v>-233.00970899999999</v>
      </c>
      <c r="O6" s="412" t="s">
        <v>85</v>
      </c>
      <c r="P6" s="318" t="s">
        <v>9947</v>
      </c>
    </row>
    <row r="7" spans="1:34" x14ac:dyDescent="0.25">
      <c r="A7" s="82" t="s">
        <v>5</v>
      </c>
      <c r="B7" s="82" t="s">
        <v>416</v>
      </c>
      <c r="C7" s="410" t="s">
        <v>85</v>
      </c>
      <c r="D7" s="407" t="s">
        <v>9945</v>
      </c>
      <c r="E7" s="405" t="s">
        <v>31</v>
      </c>
      <c r="F7" s="410" t="s">
        <v>85</v>
      </c>
      <c r="G7" s="407">
        <v>45933</v>
      </c>
      <c r="H7" s="405">
        <v>10715142448</v>
      </c>
      <c r="I7" s="406">
        <v>45645</v>
      </c>
      <c r="J7" s="405">
        <v>3</v>
      </c>
      <c r="K7" s="405">
        <v>1</v>
      </c>
      <c r="L7" s="82">
        <v>-233.00970899999999</v>
      </c>
      <c r="M7" s="82">
        <v>-1.1599999999999999</v>
      </c>
      <c r="N7" s="411">
        <v>-233.00970899999999</v>
      </c>
      <c r="O7" s="412" t="s">
        <v>85</v>
      </c>
      <c r="P7" s="318" t="s">
        <v>9947</v>
      </c>
    </row>
    <row r="8" spans="1:34" x14ac:dyDescent="0.25">
      <c r="A8" s="82" t="s">
        <v>5</v>
      </c>
      <c r="B8" s="82" t="s">
        <v>416</v>
      </c>
      <c r="C8" s="410" t="s">
        <v>85</v>
      </c>
      <c r="D8" s="407" t="s">
        <v>9945</v>
      </c>
      <c r="E8" s="405" t="s">
        <v>12</v>
      </c>
      <c r="F8" s="410" t="s">
        <v>85</v>
      </c>
      <c r="G8" s="407">
        <v>45934</v>
      </c>
      <c r="H8" s="405">
        <v>10730791929</v>
      </c>
      <c r="I8" s="406">
        <v>45645</v>
      </c>
      <c r="J8" s="405">
        <v>3</v>
      </c>
      <c r="K8" s="405">
        <v>1</v>
      </c>
      <c r="L8" s="82">
        <v>-233.00970899999999</v>
      </c>
      <c r="M8" s="82">
        <v>-1.1599999999999999</v>
      </c>
      <c r="N8" s="411">
        <v>-233.00970899999999</v>
      </c>
      <c r="O8" s="412" t="s">
        <v>85</v>
      </c>
      <c r="P8" s="318" t="s">
        <v>9947</v>
      </c>
    </row>
    <row r="9" spans="1:34" x14ac:dyDescent="0.25">
      <c r="A9" s="82" t="s">
        <v>5</v>
      </c>
      <c r="B9" s="82" t="s">
        <v>416</v>
      </c>
      <c r="C9" s="410" t="s">
        <v>85</v>
      </c>
      <c r="D9" s="407" t="s">
        <v>9945</v>
      </c>
      <c r="E9" s="405" t="s">
        <v>12</v>
      </c>
      <c r="F9" s="410" t="s">
        <v>85</v>
      </c>
      <c r="G9" s="407">
        <v>45935</v>
      </c>
      <c r="H9" s="405">
        <v>10731473155</v>
      </c>
      <c r="I9" s="406">
        <v>45645</v>
      </c>
      <c r="J9" s="405">
        <v>3</v>
      </c>
      <c r="K9" s="405">
        <v>1</v>
      </c>
      <c r="L9" s="82">
        <v>-233.00970899999999</v>
      </c>
      <c r="M9" s="82">
        <v>-1.1599999999999999</v>
      </c>
      <c r="N9" s="411">
        <v>-233.00970899999999</v>
      </c>
      <c r="O9" s="412" t="s">
        <v>85</v>
      </c>
      <c r="P9" s="318" t="s">
        <v>9947</v>
      </c>
    </row>
    <row r="10" spans="1:34" x14ac:dyDescent="0.25">
      <c r="A10" s="82" t="s">
        <v>5</v>
      </c>
      <c r="B10" s="82" t="s">
        <v>416</v>
      </c>
      <c r="C10" s="410" t="s">
        <v>85</v>
      </c>
      <c r="D10" s="407" t="s">
        <v>9945</v>
      </c>
      <c r="E10" s="405" t="s">
        <v>33</v>
      </c>
      <c r="F10" s="410" t="s">
        <v>85</v>
      </c>
      <c r="G10" s="407">
        <v>45936</v>
      </c>
      <c r="H10" s="405">
        <v>10737110095</v>
      </c>
      <c r="I10" s="406">
        <v>45645</v>
      </c>
      <c r="J10" s="405">
        <v>3</v>
      </c>
      <c r="K10" s="405">
        <v>1</v>
      </c>
      <c r="L10" s="82">
        <v>-233.00970899999999</v>
      </c>
      <c r="M10" s="82">
        <v>-1.1599999999999999</v>
      </c>
      <c r="N10" s="411">
        <v>-233.00970899999999</v>
      </c>
      <c r="O10" s="412" t="s">
        <v>85</v>
      </c>
      <c r="P10" s="318" t="s">
        <v>9947</v>
      </c>
    </row>
    <row r="11" spans="1:34" x14ac:dyDescent="0.25">
      <c r="A11" s="82" t="s">
        <v>5</v>
      </c>
      <c r="B11" s="82" t="s">
        <v>416</v>
      </c>
      <c r="C11" s="410" t="s">
        <v>85</v>
      </c>
      <c r="D11" s="407" t="s">
        <v>9945</v>
      </c>
      <c r="E11" s="405" t="s">
        <v>8</v>
      </c>
      <c r="F11" s="410" t="s">
        <v>85</v>
      </c>
      <c r="G11" s="407">
        <v>45937</v>
      </c>
      <c r="H11" s="405">
        <v>10691535018</v>
      </c>
      <c r="I11" s="406">
        <v>45645</v>
      </c>
      <c r="J11" s="405">
        <v>3</v>
      </c>
      <c r="K11" s="405">
        <v>1</v>
      </c>
      <c r="L11" s="82">
        <v>-190.29126199999999</v>
      </c>
      <c r="M11" s="82">
        <v>-0.95</v>
      </c>
      <c r="N11" s="411">
        <v>-190.29126199999999</v>
      </c>
      <c r="O11" s="412" t="s">
        <v>85</v>
      </c>
      <c r="P11" s="318" t="s">
        <v>9947</v>
      </c>
    </row>
    <row r="12" spans="1:34" x14ac:dyDescent="0.25">
      <c r="A12" s="82" t="s">
        <v>5</v>
      </c>
      <c r="B12" s="82" t="s">
        <v>416</v>
      </c>
      <c r="C12" s="410" t="s">
        <v>85</v>
      </c>
      <c r="D12" s="407" t="s">
        <v>9945</v>
      </c>
      <c r="E12" s="405" t="s">
        <v>2</v>
      </c>
      <c r="F12" s="410" t="s">
        <v>85</v>
      </c>
      <c r="G12" s="407">
        <v>45940</v>
      </c>
      <c r="H12" s="405">
        <v>10730731139</v>
      </c>
      <c r="I12" s="406">
        <v>45645</v>
      </c>
      <c r="J12" s="405">
        <v>3</v>
      </c>
      <c r="K12" s="405">
        <v>1</v>
      </c>
      <c r="L12" s="82">
        <v>-233.00970899999999</v>
      </c>
      <c r="M12" s="82">
        <v>-1.1599999999999999</v>
      </c>
      <c r="N12" s="411">
        <v>-233.00970899999999</v>
      </c>
      <c r="O12" s="412" t="s">
        <v>85</v>
      </c>
      <c r="P12" s="318" t="s">
        <v>9947</v>
      </c>
    </row>
    <row r="13" spans="1:34" x14ac:dyDescent="0.25">
      <c r="A13" s="82" t="s">
        <v>5</v>
      </c>
      <c r="B13" s="82" t="s">
        <v>416</v>
      </c>
      <c r="C13" s="410" t="s">
        <v>85</v>
      </c>
      <c r="D13" s="407" t="s">
        <v>9945</v>
      </c>
      <c r="E13" s="405" t="s">
        <v>12</v>
      </c>
      <c r="F13" s="410" t="s">
        <v>85</v>
      </c>
      <c r="G13" s="407">
        <v>45941</v>
      </c>
      <c r="H13" s="405">
        <v>10745434620</v>
      </c>
      <c r="I13" s="406">
        <v>45645</v>
      </c>
      <c r="J13" s="405">
        <v>3</v>
      </c>
      <c r="K13" s="405">
        <v>1</v>
      </c>
      <c r="L13" s="82">
        <v>-330.09708699999999</v>
      </c>
      <c r="M13" s="82">
        <v>-1.65</v>
      </c>
      <c r="N13" s="411">
        <v>-330.09708699999999</v>
      </c>
      <c r="O13" s="412" t="s">
        <v>85</v>
      </c>
      <c r="P13" s="318" t="s">
        <v>9947</v>
      </c>
    </row>
    <row r="14" spans="1:34" x14ac:dyDescent="0.25">
      <c r="A14" s="82" t="s">
        <v>5</v>
      </c>
      <c r="B14" s="82" t="s">
        <v>416</v>
      </c>
      <c r="C14" s="410" t="s">
        <v>85</v>
      </c>
      <c r="D14" s="407" t="s">
        <v>9945</v>
      </c>
      <c r="E14" s="405" t="s">
        <v>14</v>
      </c>
      <c r="F14" s="410" t="s">
        <v>85</v>
      </c>
      <c r="G14" s="407">
        <v>45946</v>
      </c>
      <c r="H14" s="405">
        <v>10748684269</v>
      </c>
      <c r="I14" s="406">
        <v>45645</v>
      </c>
      <c r="J14" s="405">
        <v>3</v>
      </c>
      <c r="K14" s="405">
        <v>1</v>
      </c>
      <c r="L14" s="82">
        <v>-330.09708699999999</v>
      </c>
      <c r="M14" s="82">
        <v>-1.65</v>
      </c>
      <c r="N14" s="411">
        <v>-330.09708699999999</v>
      </c>
      <c r="O14" s="412" t="s">
        <v>85</v>
      </c>
      <c r="P14" s="318" t="s">
        <v>9947</v>
      </c>
    </row>
    <row r="15" spans="1:34" x14ac:dyDescent="0.25">
      <c r="A15" s="82" t="s">
        <v>5</v>
      </c>
      <c r="B15" s="82" t="s">
        <v>416</v>
      </c>
      <c r="C15" s="410" t="s">
        <v>85</v>
      </c>
      <c r="D15" s="407" t="s">
        <v>9945</v>
      </c>
      <c r="E15" s="405" t="s">
        <v>31</v>
      </c>
      <c r="F15" s="410" t="s">
        <v>85</v>
      </c>
      <c r="G15" s="407">
        <v>45949</v>
      </c>
      <c r="H15" s="405">
        <v>10758477232</v>
      </c>
      <c r="I15" s="406">
        <v>45645</v>
      </c>
      <c r="J15" s="405">
        <v>3</v>
      </c>
      <c r="K15" s="405">
        <v>1</v>
      </c>
      <c r="L15" s="82">
        <v>-330.09708699999999</v>
      </c>
      <c r="M15" s="82">
        <v>-1.65</v>
      </c>
      <c r="N15" s="411">
        <v>-330.09708699999999</v>
      </c>
      <c r="O15" s="412" t="s">
        <v>85</v>
      </c>
      <c r="P15" s="318" t="s">
        <v>9947</v>
      </c>
    </row>
    <row r="16" spans="1:34" x14ac:dyDescent="0.25">
      <c r="A16" s="82" t="s">
        <v>5</v>
      </c>
      <c r="B16" s="82" t="s">
        <v>416</v>
      </c>
      <c r="C16" s="410" t="s">
        <v>85</v>
      </c>
      <c r="D16" s="407" t="s">
        <v>9945</v>
      </c>
      <c r="E16" s="405" t="s">
        <v>25</v>
      </c>
      <c r="F16" s="410" t="s">
        <v>85</v>
      </c>
      <c r="G16" s="407">
        <v>45955</v>
      </c>
      <c r="H16" s="405">
        <v>10727680712</v>
      </c>
      <c r="I16" s="406">
        <v>45645</v>
      </c>
      <c r="J16" s="405">
        <v>3</v>
      </c>
      <c r="K16" s="405">
        <v>1</v>
      </c>
      <c r="L16" s="82">
        <v>-288.349515</v>
      </c>
      <c r="M16" s="82">
        <v>-1.44</v>
      </c>
      <c r="N16" s="411">
        <v>-288.349515</v>
      </c>
      <c r="O16" s="412" t="s">
        <v>85</v>
      </c>
      <c r="P16" s="318" t="s">
        <v>9947</v>
      </c>
    </row>
    <row r="17" spans="1:16" x14ac:dyDescent="0.25">
      <c r="A17" s="82" t="s">
        <v>5</v>
      </c>
      <c r="B17" s="82" t="s">
        <v>416</v>
      </c>
      <c r="C17" s="410" t="s">
        <v>85</v>
      </c>
      <c r="D17" s="407" t="s">
        <v>9945</v>
      </c>
      <c r="E17" s="405" t="s">
        <v>28</v>
      </c>
      <c r="F17" s="410" t="s">
        <v>85</v>
      </c>
      <c r="G17" s="407">
        <v>45959</v>
      </c>
      <c r="H17" s="405">
        <v>10769931066</v>
      </c>
      <c r="I17" s="406">
        <v>45645</v>
      </c>
      <c r="J17" s="405">
        <v>3</v>
      </c>
      <c r="K17" s="405">
        <v>1</v>
      </c>
      <c r="L17" s="82">
        <v>-330.09708699999999</v>
      </c>
      <c r="M17" s="82">
        <v>-1.65</v>
      </c>
      <c r="N17" s="411">
        <v>-330.09708699999999</v>
      </c>
      <c r="O17" s="412" t="s">
        <v>85</v>
      </c>
      <c r="P17" s="318" t="s">
        <v>9947</v>
      </c>
    </row>
    <row r="18" spans="1:16" x14ac:dyDescent="0.25">
      <c r="A18" s="82" t="s">
        <v>5</v>
      </c>
      <c r="B18" s="82" t="s">
        <v>416</v>
      </c>
      <c r="C18" s="410" t="s">
        <v>85</v>
      </c>
      <c r="D18" s="407" t="s">
        <v>9945</v>
      </c>
      <c r="E18" s="405" t="s">
        <v>28</v>
      </c>
      <c r="F18" s="410" t="s">
        <v>85</v>
      </c>
      <c r="G18" s="407">
        <v>45959</v>
      </c>
      <c r="H18" s="405">
        <v>10769931065</v>
      </c>
      <c r="I18" s="406">
        <v>45645</v>
      </c>
      <c r="J18" s="405">
        <v>3</v>
      </c>
      <c r="K18" s="405">
        <v>1</v>
      </c>
      <c r="L18" s="82">
        <v>-330.09708699999999</v>
      </c>
      <c r="M18" s="82">
        <v>-1.65</v>
      </c>
      <c r="N18" s="411">
        <v>-330.09708699999999</v>
      </c>
      <c r="O18" s="412" t="s">
        <v>85</v>
      </c>
      <c r="P18" s="318" t="s">
        <v>9947</v>
      </c>
    </row>
    <row r="19" spans="1:16" x14ac:dyDescent="0.25">
      <c r="A19" s="82" t="s">
        <v>5</v>
      </c>
      <c r="B19" s="82" t="s">
        <v>416</v>
      </c>
      <c r="C19" s="410" t="s">
        <v>85</v>
      </c>
      <c r="D19" s="407" t="s">
        <v>9945</v>
      </c>
      <c r="E19" s="405" t="s">
        <v>25</v>
      </c>
      <c r="F19" s="410" t="s">
        <v>85</v>
      </c>
      <c r="G19" s="407">
        <v>45959</v>
      </c>
      <c r="H19" s="405">
        <v>10770489937</v>
      </c>
      <c r="I19" s="406">
        <v>45645</v>
      </c>
      <c r="J19" s="405">
        <v>3</v>
      </c>
      <c r="K19" s="405">
        <v>1</v>
      </c>
      <c r="L19" s="82">
        <v>-330.09708699999999</v>
      </c>
      <c r="M19" s="82">
        <v>-1.65</v>
      </c>
      <c r="N19" s="411">
        <v>-330.09708699999999</v>
      </c>
      <c r="O19" s="412" t="s">
        <v>85</v>
      </c>
      <c r="P19" s="318" t="s">
        <v>9947</v>
      </c>
    </row>
    <row r="20" spans="1:16" x14ac:dyDescent="0.25">
      <c r="A20" s="82" t="s">
        <v>5</v>
      </c>
      <c r="B20" s="82" t="s">
        <v>416</v>
      </c>
      <c r="C20" s="410" t="s">
        <v>85</v>
      </c>
      <c r="D20" s="407" t="s">
        <v>9945</v>
      </c>
      <c r="E20" s="405" t="s">
        <v>15</v>
      </c>
      <c r="F20" s="410" t="s">
        <v>85</v>
      </c>
      <c r="G20" s="407">
        <v>45961</v>
      </c>
      <c r="H20" s="405">
        <v>10765520184</v>
      </c>
      <c r="I20" s="406">
        <v>45645</v>
      </c>
      <c r="J20" s="405">
        <v>3</v>
      </c>
      <c r="K20" s="405">
        <v>1</v>
      </c>
      <c r="L20" s="82">
        <v>-200.97087400000001</v>
      </c>
      <c r="M20" s="82">
        <v>-1</v>
      </c>
      <c r="N20" s="411">
        <v>-200.97087400000001</v>
      </c>
      <c r="O20" s="412" t="s">
        <v>85</v>
      </c>
      <c r="P20" s="318" t="s">
        <v>9947</v>
      </c>
    </row>
  </sheetData>
  <sheetProtection algorithmName="SHA-512" hashValue="Qvcx7XNjWm+zMXgW5Vp4BaSD4VZIjTxrmKc2aIJkFntKYvx/yO6ut1WcIRMnhPmwDfINy1bFu1WABODZ+i+38g==" saltValue="yLvuvor2ssTMgjdgLaX0AA==" spinCount="100000" sheet="1" objects="1" scenarios="1"/>
  <protectedRanges>
    <protectedRange sqref="D5:D20" name="Range1_1_1"/>
  </protectedRanges>
  <sortState xmlns:xlrd2="http://schemas.microsoft.com/office/spreadsheetml/2017/richdata2" ref="A5:Z1415">
    <sortCondition ref="G4"/>
  </sortState>
  <dataConsolidate/>
  <conditionalFormatting sqref="N1">
    <cfRule type="cellIs" dxfId="17" priority="3338" operator="equal">
      <formula>#N/A</formula>
    </cfRule>
  </conditionalFormatting>
  <conditionalFormatting sqref="J1">
    <cfRule type="cellIs" dxfId="16" priority="3337" operator="equal">
      <formula>#N/A</formula>
    </cfRule>
  </conditionalFormatting>
  <conditionalFormatting sqref="F1:F2">
    <cfRule type="containsText" dxfId="15" priority="3329" operator="containsText" text="Others">
      <formula>NOT(ISERROR(SEARCH("Others",F1)))</formula>
    </cfRule>
    <cfRule type="containsText" dxfId="14" priority="3330" operator="containsText" text="#N/A">
      <formula>NOT(ISERROR(SEARCH("#N/A",F1)))</formula>
    </cfRule>
  </conditionalFormatting>
  <conditionalFormatting sqref="Q1:Q2">
    <cfRule type="cellIs" dxfId="13" priority="3189" operator="equal">
      <formula>#N/A</formula>
    </cfRule>
  </conditionalFormatting>
  <conditionalFormatting sqref="S2:V2">
    <cfRule type="cellIs" dxfId="12" priority="3185" operator="equal">
      <formula>#N/A</formula>
    </cfRule>
  </conditionalFormatting>
  <conditionalFormatting sqref="R1:R2">
    <cfRule type="duplicateValues" dxfId="11" priority="3141"/>
  </conditionalFormatting>
  <conditionalFormatting sqref="D3">
    <cfRule type="cellIs" dxfId="10" priority="2995" operator="greaterThan">
      <formula>0</formula>
    </cfRule>
  </conditionalFormatting>
  <conditionalFormatting sqref="F3">
    <cfRule type="containsText" dxfId="9" priority="2993" operator="containsText" text="Others">
      <formula>NOT(ISERROR(SEARCH("Others",F3)))</formula>
    </cfRule>
    <cfRule type="containsText" dxfId="8" priority="2994" operator="containsText" text="#N/A">
      <formula>NOT(ISERROR(SEARCH("#N/A",F3)))</formula>
    </cfRule>
  </conditionalFormatting>
  <conditionalFormatting sqref="Q3">
    <cfRule type="duplicateValues" dxfId="7" priority="2884"/>
  </conditionalFormatting>
  <conditionalFormatting sqref="Q3">
    <cfRule type="duplicateValues" dxfId="6" priority="2883"/>
  </conditionalFormatting>
  <conditionalFormatting sqref="G3">
    <cfRule type="duplicateValues" dxfId="5" priority="2675"/>
  </conditionalFormatting>
  <conditionalFormatting sqref="I3">
    <cfRule type="duplicateValues" dxfId="4" priority="3341"/>
  </conditionalFormatting>
  <conditionalFormatting sqref="R1:R2">
    <cfRule type="duplicateValues" dxfId="3" priority="3343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O13"/>
  <sheetViews>
    <sheetView showRuler="0" workbookViewId="0">
      <selection activeCell="L14" sqref="L14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2" spans="1:15" x14ac:dyDescent="0.25">
      <c r="O2">
        <v>254</v>
      </c>
    </row>
    <row r="3" spans="1:15" x14ac:dyDescent="0.25">
      <c r="L3" t="s">
        <v>913</v>
      </c>
      <c r="O3" s="183" t="s">
        <v>898</v>
      </c>
    </row>
    <row r="4" spans="1:15" x14ac:dyDescent="0.25">
      <c r="O4" s="183" t="s">
        <v>899</v>
      </c>
    </row>
    <row r="5" spans="1:15" x14ac:dyDescent="0.25">
      <c r="O5">
        <v>7573990005</v>
      </c>
    </row>
    <row r="6" spans="1:15" x14ac:dyDescent="0.25">
      <c r="A6" s="310" t="s">
        <v>783</v>
      </c>
      <c r="B6" s="311"/>
      <c r="E6" s="314"/>
    </row>
    <row r="7" spans="1:15" x14ac:dyDescent="0.25">
      <c r="A7" s="310" t="s">
        <v>72</v>
      </c>
      <c r="B7" s="311"/>
    </row>
    <row r="8" spans="1:15" x14ac:dyDescent="0.25">
      <c r="A8" s="310" t="s">
        <v>784</v>
      </c>
      <c r="B8" s="311"/>
    </row>
    <row r="9" spans="1:15" x14ac:dyDescent="0.25">
      <c r="A9" s="310" t="s">
        <v>785</v>
      </c>
      <c r="B9" s="311"/>
    </row>
    <row r="10" spans="1:15" x14ac:dyDescent="0.25">
      <c r="A10" s="310" t="s">
        <v>787</v>
      </c>
      <c r="B10" s="311"/>
    </row>
    <row r="11" spans="1:15" x14ac:dyDescent="0.25">
      <c r="A11" s="310" t="s">
        <v>788</v>
      </c>
      <c r="B11" s="312"/>
    </row>
    <row r="12" spans="1:15" x14ac:dyDescent="0.25">
      <c r="A12" s="310" t="s">
        <v>786</v>
      </c>
      <c r="B12" s="312"/>
    </row>
    <row r="13" spans="1:15" x14ac:dyDescent="0.25">
      <c r="A13" s="310" t="s">
        <v>808</v>
      </c>
      <c r="B13" s="312"/>
    </row>
  </sheetData>
  <sheetProtection algorithmName="SHA-512" hashValue="cNbQmJbMKaQ9+0c2kaLrFocBbknzKZmjtw+s8utJDCbmgGSXz9Ji8G4547iJAxJdjX2JC68DVLm8m6+Ez9+1nQ==" saltValue="h4ESMSSJgsprQcanzQRVXg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MSH</vt:lpstr>
      <vt:lpstr>MSH (2)</vt:lpstr>
      <vt:lpstr>MSH (3)</vt:lpstr>
      <vt:lpstr>AMZ</vt:lpstr>
      <vt:lpstr>AMZ (2)</vt:lpstr>
      <vt:lpstr>FLC</vt:lpstr>
      <vt:lpstr>FLC (C)</vt:lpstr>
      <vt:lpstr>SND</vt:lpstr>
      <vt:lpstr>JIO</vt:lpstr>
      <vt:lpstr>AJIO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2025-11-14T08:15:08Z</dcterms:modified>
</cp:coreProperties>
</file>