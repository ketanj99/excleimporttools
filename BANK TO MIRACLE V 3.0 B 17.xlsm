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drawings/drawing58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drawings/drawing59.xml" ContentType="application/vnd.openxmlformats-officedocument.drawing+xml"/>
  <Override PartName="/xl/drawings/drawing6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\\ADITYA-TECH\All Sharing\Ecom Setup\Devlop\"/>
    </mc:Choice>
  </mc:AlternateContent>
  <xr:revisionPtr revIDLastSave="0" documentId="13_ncr:1_{AF1EE7DC-5D7F-4DDF-A4E0-4433F53FBB5E}" xr6:coauthVersionLast="47" xr6:coauthVersionMax="47" xr10:uidLastSave="{00000000-0000-0000-0000-000000000000}"/>
  <bookViews>
    <workbookView xWindow="-28920" yWindow="-120" windowWidth="29040" windowHeight="15840" firstSheet="22" activeTab="57" xr2:uid="{00000000-000D-0000-FFFF-FFFF00000000}"/>
  </bookViews>
  <sheets>
    <sheet name="ICICI(C) (P)" sheetId="40" state="hidden" r:id="rId1"/>
    <sheet name="ICICI(S) (P)" sheetId="56" state="hidden" r:id="rId2"/>
    <sheet name="ICICI(C)2 (P)" sheetId="60" state="hidden" r:id="rId3"/>
    <sheet name="HDFC (P)" sheetId="42" state="hidden" r:id="rId4"/>
    <sheet name="Axis(S) (P)" sheetId="41" state="hidden" r:id="rId5"/>
    <sheet name="Axis(C) (P)" sheetId="57" state="hidden" r:id="rId6"/>
    <sheet name="IDBI (P)" sheetId="43" state="hidden" r:id="rId7"/>
    <sheet name="IDBI(S) (P)" sheetId="50" state="hidden" r:id="rId8"/>
    <sheet name="IDFC (P)" sheetId="44" state="hidden" r:id="rId9"/>
    <sheet name="CityUni (P)" sheetId="63" state="hidden" r:id="rId10"/>
    <sheet name="indusind (P)" sheetId="45" state="hidden" r:id="rId11"/>
    <sheet name="Kalupur (P)" sheetId="48" state="hidden" r:id="rId12"/>
    <sheet name="AU (P)" sheetId="49" state="hidden" r:id="rId13"/>
    <sheet name="SBI (P)" sheetId="47" state="hidden" r:id="rId14"/>
    <sheet name="Union (P)" sheetId="28" state="hidden" r:id="rId15"/>
    <sheet name="Union2 (P)" sheetId="51" state="hidden" r:id="rId16"/>
    <sheet name="Kotak (P)" sheetId="46" state="hidden" r:id="rId17"/>
    <sheet name="Kotak2 (P)" sheetId="55" state="hidden" r:id="rId18"/>
    <sheet name="Kotak3 (P)" sheetId="59" state="hidden" r:id="rId19"/>
    <sheet name="CBI (P)" sheetId="58" state="hidden" r:id="rId20"/>
    <sheet name="Varachha (P)" sheetId="53" state="hidden" r:id="rId21"/>
    <sheet name="SDCB (P)" sheetId="66" state="hidden" r:id="rId22"/>
    <sheet name="ICICI(C)" sheetId="2" r:id="rId23"/>
    <sheet name="ICICI(S)" sheetId="27" state="hidden" r:id="rId24"/>
    <sheet name="HDFC" sheetId="3" state="hidden" r:id="rId25"/>
    <sheet name="Kotak(C)" sheetId="6" state="hidden" r:id="rId26"/>
    <sheet name="Kotak(S)" sheetId="23" state="hidden" r:id="rId27"/>
    <sheet name="Axis(S)" sheetId="4" state="hidden" r:id="rId28"/>
    <sheet name="Axis(S) (2)" sheetId="62" state="hidden" r:id="rId29"/>
    <sheet name="Axis(C)" sheetId="19" r:id="rId30"/>
    <sheet name="Yes" sheetId="9" state="hidden" r:id="rId31"/>
    <sheet name="indusind" sheetId="14" state="hidden" r:id="rId32"/>
    <sheet name="IDBI" sheetId="5" r:id="rId33"/>
    <sheet name="Bandhan" sheetId="11" state="hidden" r:id="rId34"/>
    <sheet name="Indian" sheetId="10" state="hidden" r:id="rId35"/>
    <sheet name="IDFC" sheetId="24" state="hidden" r:id="rId36"/>
    <sheet name="RBL" sheetId="22" state="hidden" r:id="rId37"/>
    <sheet name="Union" sheetId="54" state="hidden" r:id="rId38"/>
    <sheet name="SBI" sheetId="1" state="hidden" r:id="rId39"/>
    <sheet name="BOI" sheetId="16" state="hidden" r:id="rId40"/>
    <sheet name="UCO" sheetId="32" state="hidden" r:id="rId41"/>
    <sheet name="CBI" sheetId="31" state="hidden" r:id="rId42"/>
    <sheet name="BOB(C)" sheetId="7" state="hidden" r:id="rId43"/>
    <sheet name="BOB(S)" sheetId="13" state="hidden" r:id="rId44"/>
    <sheet name="PNB" sheetId="25" state="hidden" r:id="rId45"/>
    <sheet name="PNB (2)" sheetId="61" state="hidden" r:id="rId46"/>
    <sheet name="RNSBE" sheetId="20" state="hidden" r:id="rId47"/>
    <sheet name="Federal" sheetId="34" state="hidden" r:id="rId48"/>
    <sheet name="Varachha" sheetId="15" state="hidden" r:id="rId49"/>
    <sheet name="SNCB" sheetId="33" state="hidden" r:id="rId50"/>
    <sheet name="SDCB" sheetId="26" state="hidden" r:id="rId51"/>
    <sheet name="AU" sheetId="36" state="hidden" r:id="rId52"/>
    <sheet name="Prime" sheetId="29" state="hidden" r:id="rId53"/>
    <sheet name="DCB" sheetId="37" state="hidden" r:id="rId54"/>
    <sheet name="Saraswat" sheetId="38" state="hidden" r:id="rId55"/>
    <sheet name="Equitas" sheetId="64" state="hidden" r:id="rId56"/>
    <sheet name="SIB" sheetId="67" r:id="rId57"/>
    <sheet name="Help" sheetId="30" r:id="rId58"/>
    <sheet name="Master" sheetId="8" r:id="rId59"/>
    <sheet name="Registration" sheetId="65" state="veryHidden" r:id="rId60"/>
  </sheets>
  <functionGroups builtInGroupCount="19"/>
  <definedNames>
    <definedName name="_xlnm._FilterDatabase" localSheetId="40" hidden="1">UCO!$DA$3:$DK$3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F3" i="67" l="1"/>
  <c r="DK3" i="67"/>
  <c r="DJ3" i="67"/>
  <c r="DH3" i="67"/>
  <c r="DG3" i="67"/>
  <c r="DE3" i="67"/>
  <c r="DI3" i="67" s="1"/>
  <c r="DD3" i="67"/>
  <c r="DB3" i="67"/>
  <c r="DA3" i="67"/>
  <c r="DA4" i="67" s="1"/>
  <c r="E2" i="67"/>
  <c r="C4" i="8"/>
  <c r="DF3" i="66"/>
  <c r="DH3" i="66"/>
  <c r="DB3" i="66"/>
  <c r="DJ3" i="66"/>
  <c r="DE3" i="66"/>
  <c r="DA3" i="66"/>
  <c r="DG3" i="66"/>
  <c r="F2" i="67" l="1"/>
  <c r="G2" i="67"/>
  <c r="DC3" i="67"/>
  <c r="DK3" i="66"/>
  <c r="DC3" i="66" s="1"/>
  <c r="F2" i="66"/>
  <c r="DD3" i="66"/>
  <c r="G2" i="66" s="1"/>
  <c r="DA4" i="66"/>
  <c r="E2" i="66"/>
  <c r="H2" i="8"/>
  <c r="G2" i="8"/>
  <c r="DK3" i="64"/>
  <c r="DJ3" i="64"/>
  <c r="DH3" i="64"/>
  <c r="DG3" i="64"/>
  <c r="DF3" i="64"/>
  <c r="DE3" i="64"/>
  <c r="F2" i="64" s="1"/>
  <c r="DD3" i="64"/>
  <c r="G2" i="64" s="1"/>
  <c r="DB3" i="64"/>
  <c r="DA2" i="64"/>
  <c r="DA3" i="64" s="1"/>
  <c r="DA4" i="64" s="1"/>
  <c r="E2" i="64"/>
  <c r="DJ4" i="38"/>
  <c r="DH4" i="38"/>
  <c r="DG4" i="38"/>
  <c r="DF4" i="38"/>
  <c r="DE4" i="38"/>
  <c r="DI4" i="38" s="1"/>
  <c r="DD4" i="38"/>
  <c r="DB4" i="38"/>
  <c r="DK3" i="38"/>
  <c r="DK4" i="38" s="1"/>
  <c r="DC4" i="38" s="1"/>
  <c r="DJ3" i="38"/>
  <c r="DH3" i="38"/>
  <c r="DF3" i="38"/>
  <c r="DE3" i="38"/>
  <c r="DI3" i="38" s="1"/>
  <c r="DD3" i="38"/>
  <c r="G2" i="38" s="1"/>
  <c r="DB3" i="38"/>
  <c r="DA3" i="38"/>
  <c r="DA4" i="38" s="1"/>
  <c r="E2" i="38"/>
  <c r="DK3" i="37"/>
  <c r="DJ3" i="37"/>
  <c r="DG3" i="37" s="1"/>
  <c r="DH3" i="37"/>
  <c r="DF3" i="37"/>
  <c r="DE3" i="37"/>
  <c r="DI3" i="37" s="1"/>
  <c r="DD3" i="37"/>
  <c r="G2" i="37" s="1"/>
  <c r="DB3" i="37"/>
  <c r="DA3" i="37"/>
  <c r="DA4" i="37" s="1"/>
  <c r="F2" i="37"/>
  <c r="E2" i="37"/>
  <c r="DK3" i="29"/>
  <c r="DJ3" i="29"/>
  <c r="DH3" i="29"/>
  <c r="DF3" i="29"/>
  <c r="DE3" i="29"/>
  <c r="DI3" i="29" s="1"/>
  <c r="DD3" i="29"/>
  <c r="G2" i="29" s="1"/>
  <c r="DB3" i="29"/>
  <c r="DA3" i="29"/>
  <c r="DA4" i="29" s="1"/>
  <c r="F2" i="29"/>
  <c r="E2" i="29"/>
  <c r="DK3" i="36"/>
  <c r="DJ3" i="36"/>
  <c r="DH3" i="36"/>
  <c r="DG3" i="36"/>
  <c r="DF3" i="36"/>
  <c r="DE3" i="36"/>
  <c r="DI3" i="36" s="1"/>
  <c r="DD3" i="36"/>
  <c r="DB3" i="36"/>
  <c r="DC3" i="36" s="1"/>
  <c r="DA2" i="36"/>
  <c r="DA3" i="36" s="1"/>
  <c r="DA4" i="36" s="1"/>
  <c r="G2" i="36"/>
  <c r="E2" i="36"/>
  <c r="DK3" i="26"/>
  <c r="DJ3" i="26"/>
  <c r="DH3" i="26"/>
  <c r="DG3" i="26"/>
  <c r="DF3" i="26"/>
  <c r="DE3" i="26"/>
  <c r="DI3" i="26" s="1"/>
  <c r="DD3" i="26"/>
  <c r="G2" i="26" s="1"/>
  <c r="DB3" i="26"/>
  <c r="DC3" i="26" s="1"/>
  <c r="DA2" i="26"/>
  <c r="DA3" i="26" s="1"/>
  <c r="DA4" i="26" s="1"/>
  <c r="E2" i="26"/>
  <c r="DK3" i="33"/>
  <c r="DJ3" i="33"/>
  <c r="DH3" i="33"/>
  <c r="DG3" i="33"/>
  <c r="DF3" i="33"/>
  <c r="DE3" i="33"/>
  <c r="DI3" i="33" s="1"/>
  <c r="DD3" i="33"/>
  <c r="DC3" i="33"/>
  <c r="DB3" i="33"/>
  <c r="DA3" i="33"/>
  <c r="DA4" i="33" s="1"/>
  <c r="G2" i="33"/>
  <c r="E2" i="33"/>
  <c r="DK3" i="15"/>
  <c r="DJ3" i="15"/>
  <c r="DH3" i="15"/>
  <c r="DG3" i="15"/>
  <c r="DF3" i="15"/>
  <c r="DE3" i="15"/>
  <c r="DI3" i="15" s="1"/>
  <c r="DD3" i="15"/>
  <c r="G2" i="15" s="1"/>
  <c r="DB3" i="15"/>
  <c r="DA2" i="15"/>
  <c r="DA3" i="15" s="1"/>
  <c r="DA4" i="15" s="1"/>
  <c r="F2" i="15"/>
  <c r="E2" i="15"/>
  <c r="DK3" i="34"/>
  <c r="DC3" i="34" s="1"/>
  <c r="DJ3" i="34"/>
  <c r="DH3" i="34"/>
  <c r="DF3" i="34"/>
  <c r="DE3" i="34"/>
  <c r="DI3" i="34" s="1"/>
  <c r="DD3" i="34"/>
  <c r="G2" i="34" s="1"/>
  <c r="DB3" i="34"/>
  <c r="DA3" i="34"/>
  <c r="DA4" i="34" s="1"/>
  <c r="F2" i="34"/>
  <c r="E2" i="34"/>
  <c r="DK3" i="20"/>
  <c r="DJ3" i="20"/>
  <c r="DH3" i="20"/>
  <c r="DG3" i="20"/>
  <c r="DF3" i="20"/>
  <c r="DE3" i="20"/>
  <c r="DI3" i="20" s="1"/>
  <c r="DD3" i="20"/>
  <c r="G2" i="20" s="1"/>
  <c r="DB3" i="20"/>
  <c r="DA2" i="20"/>
  <c r="DA3" i="20" s="1"/>
  <c r="DA4" i="20" s="1"/>
  <c r="F2" i="20"/>
  <c r="E2" i="20"/>
  <c r="DK3" i="61"/>
  <c r="DJ3" i="61"/>
  <c r="DF3" i="61"/>
  <c r="DE3" i="61"/>
  <c r="DI3" i="61" s="1"/>
  <c r="DD3" i="61"/>
  <c r="DB3" i="61"/>
  <c r="DH3" i="61" s="1"/>
  <c r="DA3" i="61"/>
  <c r="DA4" i="61" s="1"/>
  <c r="G2" i="61"/>
  <c r="E2" i="61"/>
  <c r="DK3" i="25"/>
  <c r="DJ3" i="25"/>
  <c r="DH3" i="25"/>
  <c r="DG3" i="25"/>
  <c r="DF3" i="25"/>
  <c r="DE3" i="25"/>
  <c r="DI3" i="25" s="1"/>
  <c r="DD3" i="25"/>
  <c r="G2" i="25" s="1"/>
  <c r="H2" i="25" s="1"/>
  <c r="DB3" i="25"/>
  <c r="DA3" i="25"/>
  <c r="DA4" i="25" s="1"/>
  <c r="F2" i="25"/>
  <c r="E2" i="25"/>
  <c r="DK3" i="13"/>
  <c r="DJ3" i="13"/>
  <c r="DH3" i="13"/>
  <c r="DG3" i="13"/>
  <c r="DF3" i="13"/>
  <c r="DE3" i="13"/>
  <c r="DI3" i="13" s="1"/>
  <c r="DD3" i="13"/>
  <c r="G2" i="13" s="1"/>
  <c r="DB3" i="13"/>
  <c r="DC3" i="13" s="1"/>
  <c r="DA2" i="13"/>
  <c r="DA3" i="13" s="1"/>
  <c r="DA4" i="13" s="1"/>
  <c r="E2" i="13"/>
  <c r="DK3" i="7"/>
  <c r="DJ3" i="7"/>
  <c r="DH3" i="7"/>
  <c r="DG3" i="7"/>
  <c r="DF3" i="7"/>
  <c r="DE3" i="7"/>
  <c r="DI3" i="7" s="1"/>
  <c r="DD3" i="7"/>
  <c r="G2" i="7" s="1"/>
  <c r="DB3" i="7"/>
  <c r="DA2" i="7"/>
  <c r="DA3" i="7" s="1"/>
  <c r="DA4" i="7" s="1"/>
  <c r="E2" i="7"/>
  <c r="DK3" i="31"/>
  <c r="DJ3" i="31"/>
  <c r="DH3" i="31"/>
  <c r="DF3" i="31"/>
  <c r="DE3" i="31"/>
  <c r="DI3" i="31" s="1"/>
  <c r="DD3" i="31"/>
  <c r="G2" i="31" s="1"/>
  <c r="DB3" i="31"/>
  <c r="DA2" i="31"/>
  <c r="DA3" i="31" s="1"/>
  <c r="DA4" i="31" s="1"/>
  <c r="F2" i="31"/>
  <c r="E2" i="31"/>
  <c r="DK3" i="32"/>
  <c r="DJ3" i="32"/>
  <c r="DH3" i="32"/>
  <c r="DF3" i="32"/>
  <c r="DE3" i="32"/>
  <c r="DI3" i="32" s="1"/>
  <c r="DD3" i="32"/>
  <c r="G2" i="32" s="1"/>
  <c r="DB3" i="32"/>
  <c r="DC3" i="32" s="1"/>
  <c r="DA3" i="32"/>
  <c r="DA4" i="32" s="1"/>
  <c r="E2" i="32"/>
  <c r="DK3" i="16"/>
  <c r="DJ3" i="16"/>
  <c r="DH3" i="16"/>
  <c r="DG3" i="16"/>
  <c r="DF3" i="16"/>
  <c r="DE3" i="16"/>
  <c r="DI3" i="16" s="1"/>
  <c r="DD3" i="16"/>
  <c r="G2" i="16" s="1"/>
  <c r="H2" i="16" s="1"/>
  <c r="DB3" i="16"/>
  <c r="DA3" i="16"/>
  <c r="DA4" i="16" s="1"/>
  <c r="F2" i="16"/>
  <c r="E2" i="16"/>
  <c r="I2" i="16" s="1"/>
  <c r="DK3" i="1"/>
  <c r="DJ3" i="1"/>
  <c r="DG3" i="1" s="1"/>
  <c r="DH3" i="1"/>
  <c r="DF3" i="1"/>
  <c r="DE3" i="1"/>
  <c r="DI3" i="1" s="1"/>
  <c r="DD3" i="1"/>
  <c r="G2" i="1" s="1"/>
  <c r="DB3" i="1"/>
  <c r="DA3" i="1"/>
  <c r="DA4" i="1" s="1"/>
  <c r="F2" i="1"/>
  <c r="H2" i="1" s="1"/>
  <c r="E2" i="1"/>
  <c r="DK3" i="54"/>
  <c r="DJ3" i="54"/>
  <c r="DH3" i="54"/>
  <c r="DG3" i="54"/>
  <c r="DF3" i="54"/>
  <c r="DE3" i="54"/>
  <c r="DI3" i="54" s="1"/>
  <c r="DD3" i="54"/>
  <c r="G2" i="54" s="1"/>
  <c r="DB3" i="54"/>
  <c r="DA3" i="54"/>
  <c r="DA4" i="54" s="1"/>
  <c r="F2" i="54"/>
  <c r="E2" i="54"/>
  <c r="DK3" i="22"/>
  <c r="DJ3" i="22"/>
  <c r="DH3" i="22"/>
  <c r="DG3" i="22"/>
  <c r="DF3" i="22"/>
  <c r="DE3" i="22"/>
  <c r="DI3" i="22" s="1"/>
  <c r="DD3" i="22"/>
  <c r="DB3" i="22"/>
  <c r="DC3" i="22" s="1"/>
  <c r="DA3" i="22"/>
  <c r="DA4" i="22" s="1"/>
  <c r="G2" i="22"/>
  <c r="E2" i="22"/>
  <c r="DK3" i="24"/>
  <c r="DJ3" i="24"/>
  <c r="DH3" i="24"/>
  <c r="DG3" i="24"/>
  <c r="DF3" i="24"/>
  <c r="DE3" i="24"/>
  <c r="DI3" i="24" s="1"/>
  <c r="DD3" i="24"/>
  <c r="G2" i="24" s="1"/>
  <c r="DB3" i="24"/>
  <c r="DA3" i="24"/>
  <c r="DA4" i="24" s="1"/>
  <c r="F2" i="24"/>
  <c r="E2" i="24"/>
  <c r="DK3" i="10"/>
  <c r="DJ3" i="10"/>
  <c r="DH3" i="10"/>
  <c r="DG3" i="10"/>
  <c r="DF3" i="10"/>
  <c r="DE3" i="10"/>
  <c r="DI3" i="10" s="1"/>
  <c r="DD3" i="10"/>
  <c r="G2" i="10" s="1"/>
  <c r="DB3" i="10"/>
  <c r="DC3" i="10" s="1"/>
  <c r="DA3" i="10"/>
  <c r="DA4" i="10" s="1"/>
  <c r="E2" i="10"/>
  <c r="DK3" i="11"/>
  <c r="DJ3" i="11"/>
  <c r="DG3" i="11"/>
  <c r="DF3" i="11"/>
  <c r="DE3" i="11"/>
  <c r="DI3" i="11" s="1"/>
  <c r="DD3" i="11"/>
  <c r="G2" i="11" s="1"/>
  <c r="H2" i="11" s="1"/>
  <c r="DB3" i="11"/>
  <c r="DA2" i="11"/>
  <c r="DA3" i="11" s="1"/>
  <c r="DA4" i="11" s="1"/>
  <c r="F2" i="11"/>
  <c r="E2" i="11"/>
  <c r="DK3" i="5"/>
  <c r="DJ3" i="5"/>
  <c r="DH3" i="5"/>
  <c r="DG3" i="5"/>
  <c r="DF3" i="5"/>
  <c r="DE3" i="5"/>
  <c r="DI3" i="5" s="1"/>
  <c r="DD3" i="5"/>
  <c r="G2" i="5" s="1"/>
  <c r="DB3" i="5"/>
  <c r="DA3" i="5"/>
  <c r="DA4" i="5" s="1"/>
  <c r="F2" i="5"/>
  <c r="E2" i="5"/>
  <c r="DK3" i="14"/>
  <c r="DJ3" i="14"/>
  <c r="DH3" i="14"/>
  <c r="DG3" i="14"/>
  <c r="DF3" i="14"/>
  <c r="DE3" i="14"/>
  <c r="F2" i="14" s="1"/>
  <c r="DD3" i="14"/>
  <c r="DC3" i="14"/>
  <c r="DB3" i="14"/>
  <c r="DA2" i="14"/>
  <c r="DA3" i="14" s="1"/>
  <c r="DA4" i="14" s="1"/>
  <c r="G2" i="14"/>
  <c r="E2" i="14"/>
  <c r="DK3" i="9"/>
  <c r="DJ3" i="9"/>
  <c r="DH3" i="9"/>
  <c r="DG3" i="9"/>
  <c r="DF3" i="9"/>
  <c r="DE3" i="9"/>
  <c r="DI3" i="9" s="1"/>
  <c r="DD3" i="9"/>
  <c r="G2" i="9" s="1"/>
  <c r="DB3" i="9"/>
  <c r="DC3" i="9" s="1"/>
  <c r="DA2" i="9"/>
  <c r="DA3" i="9" s="1"/>
  <c r="DA4" i="9" s="1"/>
  <c r="E2" i="9"/>
  <c r="DJ4" i="19"/>
  <c r="DH4" i="19"/>
  <c r="DG4" i="19"/>
  <c r="DF4" i="19"/>
  <c r="DE4" i="19"/>
  <c r="DI4" i="19" s="1"/>
  <c r="DD4" i="19"/>
  <c r="DB4" i="19"/>
  <c r="DK3" i="19"/>
  <c r="DK4" i="19" s="1"/>
  <c r="DC4" i="19" s="1"/>
  <c r="DJ3" i="19"/>
  <c r="DG3" i="19" s="1"/>
  <c r="DH3" i="19"/>
  <c r="DF3" i="19"/>
  <c r="DE3" i="19"/>
  <c r="DI3" i="19" s="1"/>
  <c r="DD3" i="19"/>
  <c r="DB3" i="19"/>
  <c r="DA3" i="19"/>
  <c r="DA4" i="19" s="1"/>
  <c r="E2" i="19"/>
  <c r="DK3" i="62"/>
  <c r="DJ3" i="62"/>
  <c r="DH3" i="62"/>
  <c r="DG3" i="62"/>
  <c r="DF3" i="62"/>
  <c r="DE3" i="62"/>
  <c r="DI3" i="62" s="1"/>
  <c r="DD3" i="62"/>
  <c r="G2" i="62" s="1"/>
  <c r="DB3" i="62"/>
  <c r="DA3" i="62"/>
  <c r="DA4" i="62" s="1"/>
  <c r="F2" i="62"/>
  <c r="E2" i="62"/>
  <c r="DK3" i="4"/>
  <c r="DJ3" i="4"/>
  <c r="DH3" i="4"/>
  <c r="DG3" i="4"/>
  <c r="DF3" i="4"/>
  <c r="DE3" i="4"/>
  <c r="F2" i="4" s="1"/>
  <c r="H2" i="4" s="1"/>
  <c r="DD3" i="4"/>
  <c r="G2" i="4" s="1"/>
  <c r="DB3" i="4"/>
  <c r="DA3" i="4"/>
  <c r="DA4" i="4" s="1"/>
  <c r="E2" i="4"/>
  <c r="DL4" i="23"/>
  <c r="DK3" i="23"/>
  <c r="DJ3" i="23"/>
  <c r="DI3" i="23"/>
  <c r="DF3" i="23"/>
  <c r="DE3" i="23"/>
  <c r="DD3" i="23"/>
  <c r="G2" i="23" s="1"/>
  <c r="DB3" i="23"/>
  <c r="DA2" i="23"/>
  <c r="DA3" i="23" s="1"/>
  <c r="DA4" i="23" s="1"/>
  <c r="F2" i="23"/>
  <c r="E2" i="23"/>
  <c r="DK3" i="6"/>
  <c r="DJ3" i="6"/>
  <c r="DH3" i="6"/>
  <c r="DF3" i="6"/>
  <c r="DE3" i="6"/>
  <c r="DI3" i="6" s="1"/>
  <c r="DD3" i="6"/>
  <c r="DB3" i="6"/>
  <c r="DC3" i="6" s="1"/>
  <c r="DA3" i="6"/>
  <c r="DA4" i="6" s="1"/>
  <c r="G2" i="6"/>
  <c r="E2" i="6"/>
  <c r="DK3" i="3"/>
  <c r="DJ3" i="3"/>
  <c r="DH3" i="3"/>
  <c r="DG3" i="3"/>
  <c r="DF3" i="3"/>
  <c r="DE3" i="3"/>
  <c r="DI3" i="3" s="1"/>
  <c r="DD3" i="3"/>
  <c r="G2" i="3" s="1"/>
  <c r="DB3" i="3"/>
  <c r="DA2" i="3"/>
  <c r="DA3" i="3" s="1"/>
  <c r="DA4" i="3" s="1"/>
  <c r="F2" i="3"/>
  <c r="E2" i="3"/>
  <c r="DK3" i="27"/>
  <c r="DJ3" i="27"/>
  <c r="DH3" i="27"/>
  <c r="DG3" i="27"/>
  <c r="DF3" i="27"/>
  <c r="DE3" i="27"/>
  <c r="DI3" i="27" s="1"/>
  <c r="DD3" i="27"/>
  <c r="G2" i="27" s="1"/>
  <c r="DB3" i="27"/>
  <c r="DA2" i="27"/>
  <c r="DA3" i="27" s="1"/>
  <c r="DA4" i="27" s="1"/>
  <c r="F2" i="27"/>
  <c r="E2" i="27"/>
  <c r="DK3" i="2"/>
  <c r="DJ3" i="2"/>
  <c r="DH3" i="2"/>
  <c r="DG3" i="2"/>
  <c r="DF3" i="2"/>
  <c r="DE3" i="2"/>
  <c r="DI3" i="2" s="1"/>
  <c r="DD3" i="2"/>
  <c r="G2" i="2" s="1"/>
  <c r="DB3" i="2"/>
  <c r="DA3" i="2"/>
  <c r="DA4" i="2" s="1"/>
  <c r="F2" i="2"/>
  <c r="E2" i="2"/>
  <c r="DK3" i="58"/>
  <c r="DJ3" i="58"/>
  <c r="DH3" i="58"/>
  <c r="DF3" i="58"/>
  <c r="DE3" i="58"/>
  <c r="F2" i="58" s="1"/>
  <c r="DD3" i="58"/>
  <c r="DB3" i="58"/>
  <c r="DA3" i="58"/>
  <c r="DA4" i="58" s="1"/>
  <c r="G2" i="58"/>
  <c r="E2" i="58"/>
  <c r="DK3" i="59"/>
  <c r="DJ3" i="59"/>
  <c r="DH3" i="59"/>
  <c r="DF3" i="59"/>
  <c r="DE3" i="59"/>
  <c r="DI3" i="59" s="1"/>
  <c r="DD3" i="59"/>
  <c r="DB3" i="59"/>
  <c r="DA3" i="59"/>
  <c r="DA4" i="59" s="1"/>
  <c r="G2" i="59"/>
  <c r="E2" i="59"/>
  <c r="DK3" i="55"/>
  <c r="DJ3" i="55"/>
  <c r="DH3" i="55"/>
  <c r="DG3" i="55"/>
  <c r="DF3" i="55"/>
  <c r="DE3" i="55"/>
  <c r="DI3" i="55" s="1"/>
  <c r="DD3" i="55"/>
  <c r="G2" i="55" s="1"/>
  <c r="DB3" i="55"/>
  <c r="DA3" i="55"/>
  <c r="DA4" i="55" s="1"/>
  <c r="F2" i="55"/>
  <c r="E2" i="55"/>
  <c r="DK3" i="46"/>
  <c r="DJ3" i="46"/>
  <c r="DG3" i="46" s="1"/>
  <c r="DF3" i="46"/>
  <c r="DE3" i="46"/>
  <c r="DI3" i="46" s="1"/>
  <c r="DD3" i="46"/>
  <c r="G2" i="46" s="1"/>
  <c r="DB3" i="46"/>
  <c r="DA3" i="46"/>
  <c r="DA4" i="46" s="1"/>
  <c r="F2" i="46"/>
  <c r="E2" i="46"/>
  <c r="DK3" i="53"/>
  <c r="DJ3" i="53"/>
  <c r="DH3" i="53"/>
  <c r="DG3" i="53"/>
  <c r="DF3" i="53"/>
  <c r="DE3" i="53"/>
  <c r="DI3" i="53" s="1"/>
  <c r="DD3" i="53"/>
  <c r="DB3" i="53"/>
  <c r="DC3" i="53" s="1"/>
  <c r="DA3" i="53"/>
  <c r="DA4" i="53" s="1"/>
  <c r="G2" i="53"/>
  <c r="F2" i="53"/>
  <c r="H2" i="53" s="1"/>
  <c r="E2" i="53"/>
  <c r="DK3" i="51"/>
  <c r="DJ3" i="51"/>
  <c r="DF3" i="51"/>
  <c r="DE3" i="51"/>
  <c r="DI3" i="51" s="1"/>
  <c r="DD3" i="51"/>
  <c r="G2" i="51" s="1"/>
  <c r="DB3" i="51"/>
  <c r="DH3" i="51" s="1"/>
  <c r="DA3" i="51"/>
  <c r="DA4" i="51" s="1"/>
  <c r="E2" i="51"/>
  <c r="DK3" i="28"/>
  <c r="DJ3" i="28"/>
  <c r="DF3" i="28"/>
  <c r="DE3" i="28"/>
  <c r="DI3" i="28" s="1"/>
  <c r="DD3" i="28"/>
  <c r="DB3" i="28"/>
  <c r="DH3" i="28" s="1"/>
  <c r="DA3" i="28"/>
  <c r="DA4" i="28" s="1"/>
  <c r="G2" i="28"/>
  <c r="E2" i="28"/>
  <c r="DK3" i="47"/>
  <c r="DJ3" i="47"/>
  <c r="DG3" i="47" s="1"/>
  <c r="DH3" i="47"/>
  <c r="DF3" i="47"/>
  <c r="DE3" i="47"/>
  <c r="DI3" i="47" s="1"/>
  <c r="DD3" i="47"/>
  <c r="G2" i="47" s="1"/>
  <c r="DB3" i="47"/>
  <c r="DA3" i="47"/>
  <c r="DA4" i="47" s="1"/>
  <c r="F2" i="47"/>
  <c r="E2" i="47"/>
  <c r="DK3" i="49"/>
  <c r="DJ3" i="49"/>
  <c r="DI3" i="49"/>
  <c r="DH3" i="49"/>
  <c r="DF3" i="49"/>
  <c r="DE3" i="49"/>
  <c r="DD3" i="49"/>
  <c r="G2" i="49" s="1"/>
  <c r="DB3" i="49"/>
  <c r="DC3" i="49" s="1"/>
  <c r="DA2" i="49"/>
  <c r="DA3" i="49" s="1"/>
  <c r="DA4" i="49" s="1"/>
  <c r="F2" i="49"/>
  <c r="E2" i="49"/>
  <c r="DK3" i="48"/>
  <c r="DJ3" i="48"/>
  <c r="DH3" i="48"/>
  <c r="DG3" i="48"/>
  <c r="DF3" i="48"/>
  <c r="DE3" i="48"/>
  <c r="DI3" i="48" s="1"/>
  <c r="DD3" i="48"/>
  <c r="G2" i="48" s="1"/>
  <c r="DB3" i="48"/>
  <c r="DA2" i="48"/>
  <c r="DA3" i="48" s="1"/>
  <c r="DA4" i="48" s="1"/>
  <c r="F2" i="48"/>
  <c r="E2" i="48"/>
  <c r="DK3" i="45"/>
  <c r="DJ3" i="45"/>
  <c r="DH3" i="45"/>
  <c r="DF3" i="45"/>
  <c r="DE3" i="45"/>
  <c r="DD3" i="45"/>
  <c r="DB3" i="45"/>
  <c r="DA3" i="45"/>
  <c r="DA4" i="45" s="1"/>
  <c r="DA2" i="45"/>
  <c r="G2" i="45"/>
  <c r="E2" i="45"/>
  <c r="DK3" i="63"/>
  <c r="DJ3" i="63"/>
  <c r="DH3" i="63"/>
  <c r="DF3" i="63"/>
  <c r="DE3" i="63"/>
  <c r="DI3" i="63" s="1"/>
  <c r="DD3" i="63"/>
  <c r="G2" i="63" s="1"/>
  <c r="DB3" i="63"/>
  <c r="DA2" i="63"/>
  <c r="DA3" i="63" s="1"/>
  <c r="DA4" i="63" s="1"/>
  <c r="F2" i="63"/>
  <c r="E2" i="63"/>
  <c r="DK3" i="44"/>
  <c r="DJ3" i="44"/>
  <c r="DH3" i="44"/>
  <c r="DF3" i="44"/>
  <c r="DE3" i="44"/>
  <c r="DI3" i="44" s="1"/>
  <c r="DD3" i="44"/>
  <c r="G2" i="44" s="1"/>
  <c r="DB3" i="44"/>
  <c r="DA3" i="44"/>
  <c r="DA4" i="44" s="1"/>
  <c r="F2" i="44"/>
  <c r="H2" i="44" s="1"/>
  <c r="E2" i="44"/>
  <c r="DK3" i="50"/>
  <c r="DJ3" i="50"/>
  <c r="DH3" i="50"/>
  <c r="DF3" i="50"/>
  <c r="DE3" i="50"/>
  <c r="DI3" i="50" s="1"/>
  <c r="DD3" i="50"/>
  <c r="DB3" i="50"/>
  <c r="DC3" i="50" s="1"/>
  <c r="DA3" i="50"/>
  <c r="DA4" i="50" s="1"/>
  <c r="DA2" i="50"/>
  <c r="G2" i="50"/>
  <c r="F2" i="50"/>
  <c r="H2" i="50" s="1"/>
  <c r="I2" i="50" s="1"/>
  <c r="E2" i="50"/>
  <c r="DK3" i="43"/>
  <c r="DJ3" i="43"/>
  <c r="DG3" i="43" s="1"/>
  <c r="DI3" i="43"/>
  <c r="DF3" i="43"/>
  <c r="DE3" i="43"/>
  <c r="F2" i="43" s="1"/>
  <c r="DD3" i="43"/>
  <c r="G2" i="43" s="1"/>
  <c r="DB3" i="43"/>
  <c r="DH3" i="43" s="1"/>
  <c r="DA3" i="43"/>
  <c r="DA4" i="43" s="1"/>
  <c r="E2" i="43"/>
  <c r="DA4" i="57"/>
  <c r="DK3" i="57"/>
  <c r="DJ3" i="57"/>
  <c r="DF3" i="57"/>
  <c r="DE3" i="57"/>
  <c r="DI3" i="57" s="1"/>
  <c r="DD3" i="57"/>
  <c r="G2" i="57" s="1"/>
  <c r="DB3" i="57"/>
  <c r="DH3" i="57" s="1"/>
  <c r="DA3" i="57"/>
  <c r="F2" i="57"/>
  <c r="E2" i="57"/>
  <c r="DK3" i="41"/>
  <c r="DJ3" i="41"/>
  <c r="DH3" i="41"/>
  <c r="DG3" i="41"/>
  <c r="DF3" i="41"/>
  <c r="DE3" i="41"/>
  <c r="DI3" i="41" s="1"/>
  <c r="DD3" i="41"/>
  <c r="G2" i="41" s="1"/>
  <c r="DB3" i="41"/>
  <c r="DC3" i="41" s="1"/>
  <c r="DA3" i="41"/>
  <c r="DA4" i="41" s="1"/>
  <c r="E2" i="41"/>
  <c r="DK3" i="42"/>
  <c r="DJ3" i="42"/>
  <c r="DH3" i="42"/>
  <c r="DG3" i="42"/>
  <c r="DF3" i="42"/>
  <c r="DE3" i="42"/>
  <c r="DI3" i="42" s="1"/>
  <c r="DD3" i="42"/>
  <c r="DB3" i="42"/>
  <c r="DA2" i="42"/>
  <c r="DA3" i="42" s="1"/>
  <c r="DA4" i="42" s="1"/>
  <c r="G2" i="42"/>
  <c r="E2" i="42"/>
  <c r="DK3" i="60"/>
  <c r="DJ3" i="60"/>
  <c r="DG3" i="60"/>
  <c r="DF3" i="60"/>
  <c r="DE3" i="60"/>
  <c r="DI3" i="60" s="1"/>
  <c r="DD3" i="60"/>
  <c r="G2" i="60" s="1"/>
  <c r="DB3" i="60"/>
  <c r="DA3" i="60"/>
  <c r="DA4" i="60" s="1"/>
  <c r="E2" i="60"/>
  <c r="DK3" i="56"/>
  <c r="DJ3" i="56"/>
  <c r="DH3" i="56"/>
  <c r="DF3" i="56"/>
  <c r="DE3" i="56"/>
  <c r="DI3" i="56" s="1"/>
  <c r="DD3" i="56"/>
  <c r="DB3" i="56"/>
  <c r="DA3" i="56"/>
  <c r="DA4" i="56" s="1"/>
  <c r="G2" i="56"/>
  <c r="E2" i="56"/>
  <c r="DK3" i="40"/>
  <c r="DJ3" i="40"/>
  <c r="DG3" i="40"/>
  <c r="DF3" i="40"/>
  <c r="DE3" i="40"/>
  <c r="DI3" i="40" s="1"/>
  <c r="DD3" i="40"/>
  <c r="G2" i="40" s="1"/>
  <c r="DB3" i="40"/>
  <c r="DA3" i="40"/>
  <c r="DA4" i="40" s="1"/>
  <c r="E2" i="40"/>
  <c r="DG3" i="23"/>
  <c r="DG3" i="49"/>
  <c r="DG3" i="56"/>
  <c r="DG3" i="58"/>
  <c r="DG3" i="6"/>
  <c r="DG3" i="51"/>
  <c r="DG3" i="50"/>
  <c r="DG3" i="34"/>
  <c r="DG3" i="32"/>
  <c r="DG3" i="44"/>
  <c r="DG3" i="59"/>
  <c r="DG3" i="28"/>
  <c r="DG3" i="31"/>
  <c r="DG3" i="45"/>
  <c r="DH3" i="40"/>
  <c r="DG3" i="38"/>
  <c r="DG3" i="61"/>
  <c r="DG3" i="57"/>
  <c r="DG3" i="29"/>
  <c r="DG3" i="63"/>
  <c r="H2" i="67" l="1"/>
  <c r="I2" i="67" s="1"/>
  <c r="H2" i="24"/>
  <c r="I2" i="24" s="1"/>
  <c r="DC3" i="5"/>
  <c r="DC3" i="16"/>
  <c r="DC3" i="25"/>
  <c r="H2" i="43"/>
  <c r="DC3" i="44"/>
  <c r="F2" i="28"/>
  <c r="H2" i="28" s="1"/>
  <c r="DC3" i="55"/>
  <c r="DC3" i="59"/>
  <c r="H2" i="23"/>
  <c r="DC3" i="4"/>
  <c r="F2" i="19"/>
  <c r="DC3" i="54"/>
  <c r="DC3" i="1"/>
  <c r="DC3" i="29"/>
  <c r="DC3" i="42"/>
  <c r="DC3" i="45"/>
  <c r="H2" i="49"/>
  <c r="H2" i="27"/>
  <c r="DC3" i="62"/>
  <c r="H2" i="47"/>
  <c r="F2" i="59"/>
  <c r="DC3" i="7"/>
  <c r="F2" i="61"/>
  <c r="H2" i="61" s="1"/>
  <c r="DC3" i="20"/>
  <c r="F2" i="8"/>
  <c r="I2" i="47"/>
  <c r="H2" i="55"/>
  <c r="I2" i="55" s="1"/>
  <c r="DC3" i="28"/>
  <c r="F2" i="40"/>
  <c r="H2" i="40" s="1"/>
  <c r="F2" i="56"/>
  <c r="H2" i="56" s="1"/>
  <c r="I2" i="56" s="1"/>
  <c r="F2" i="60"/>
  <c r="H2" i="60" s="1"/>
  <c r="I2" i="60" s="1"/>
  <c r="F2" i="41"/>
  <c r="H2" i="41" s="1"/>
  <c r="I2" i="41" s="1"/>
  <c r="DC3" i="51"/>
  <c r="H2" i="58"/>
  <c r="I2" i="58" s="1"/>
  <c r="DI3" i="58"/>
  <c r="H2" i="2"/>
  <c r="I2" i="2" s="1"/>
  <c r="DC3" i="27"/>
  <c r="F2" i="6"/>
  <c r="H2" i="6" s="1"/>
  <c r="H2" i="62"/>
  <c r="I2" i="62" s="1"/>
  <c r="F2" i="22"/>
  <c r="H2" i="22" s="1"/>
  <c r="H2" i="31"/>
  <c r="I2" i="31" s="1"/>
  <c r="DC3" i="15"/>
  <c r="G2" i="19"/>
  <c r="H2" i="19" s="1"/>
  <c r="I2" i="19" s="1"/>
  <c r="H2" i="15"/>
  <c r="I2" i="15" s="1"/>
  <c r="F2" i="33"/>
  <c r="H2" i="33" s="1"/>
  <c r="I2" i="33" s="1"/>
  <c r="DC3" i="38"/>
  <c r="H2" i="64"/>
  <c r="H2" i="5"/>
  <c r="I2" i="5" s="1"/>
  <c r="DC3" i="24"/>
  <c r="H2" i="34"/>
  <c r="I2" i="34" s="1"/>
  <c r="DC3" i="37"/>
  <c r="F2" i="38"/>
  <c r="H2" i="38" s="1"/>
  <c r="I2" i="38" s="1"/>
  <c r="H2" i="57"/>
  <c r="I2" i="23"/>
  <c r="H2" i="59"/>
  <c r="I2" i="59" s="1"/>
  <c r="I2" i="40"/>
  <c r="DC3" i="40"/>
  <c r="DC3" i="56"/>
  <c r="DC3" i="60"/>
  <c r="F2" i="42"/>
  <c r="H2" i="63"/>
  <c r="H2" i="48"/>
  <c r="F2" i="51"/>
  <c r="H2" i="51" s="1"/>
  <c r="I2" i="51" s="1"/>
  <c r="DC3" i="58"/>
  <c r="DC3" i="2"/>
  <c r="DC3" i="3"/>
  <c r="I2" i="6"/>
  <c r="H2" i="14"/>
  <c r="I2" i="14" s="1"/>
  <c r="I2" i="22"/>
  <c r="F2" i="32"/>
  <c r="H2" i="32" s="1"/>
  <c r="I2" i="32" s="1"/>
  <c r="DC3" i="31"/>
  <c r="DC3" i="61"/>
  <c r="H2" i="20"/>
  <c r="I2" i="20" s="1"/>
  <c r="H2" i="37"/>
  <c r="DC3" i="64"/>
  <c r="H2" i="66"/>
  <c r="I2" i="66" s="1"/>
  <c r="DI3" i="66"/>
  <c r="DH3" i="60"/>
  <c r="I2" i="44"/>
  <c r="I2" i="49"/>
  <c r="I2" i="27"/>
  <c r="DI3" i="4"/>
  <c r="I2" i="25"/>
  <c r="H2" i="42"/>
  <c r="I2" i="42" s="1"/>
  <c r="I2" i="57"/>
  <c r="DC3" i="43"/>
  <c r="I2" i="63"/>
  <c r="DC3" i="63"/>
  <c r="DI3" i="45"/>
  <c r="F2" i="45"/>
  <c r="H2" i="45" s="1"/>
  <c r="I2" i="45" s="1"/>
  <c r="DC3" i="47"/>
  <c r="I2" i="28"/>
  <c r="I2" i="53"/>
  <c r="H2" i="46"/>
  <c r="I2" i="46" s="1"/>
  <c r="DC3" i="46"/>
  <c r="DH3" i="46"/>
  <c r="H2" i="3"/>
  <c r="I2" i="3" s="1"/>
  <c r="DC3" i="19"/>
  <c r="DI3" i="14"/>
  <c r="I2" i="11"/>
  <c r="DH3" i="11"/>
  <c r="DC3" i="11"/>
  <c r="F2" i="10"/>
  <c r="H2" i="10" s="1"/>
  <c r="I2" i="10" s="1"/>
  <c r="H2" i="54"/>
  <c r="I2" i="54" s="1"/>
  <c r="I2" i="1"/>
  <c r="I2" i="61"/>
  <c r="I2" i="37"/>
  <c r="DH3" i="23"/>
  <c r="DC3" i="23"/>
  <c r="I2" i="4"/>
  <c r="I2" i="64"/>
  <c r="DC3" i="57"/>
  <c r="I2" i="43"/>
  <c r="I2" i="48"/>
  <c r="DC3" i="48"/>
  <c r="H2" i="29"/>
  <c r="I2" i="29" s="1"/>
  <c r="F2" i="9"/>
  <c r="H2" i="9" s="1"/>
  <c r="I2" i="9" s="1"/>
  <c r="F2" i="13"/>
  <c r="H2" i="13" s="1"/>
  <c r="I2" i="13" s="1"/>
  <c r="F2" i="26"/>
  <c r="H2" i="26" s="1"/>
  <c r="I2" i="26" s="1"/>
  <c r="DI3" i="64"/>
  <c r="F2" i="7"/>
  <c r="H2" i="7" s="1"/>
  <c r="I2" i="7" s="1"/>
  <c r="F2" i="36"/>
  <c r="H2" i="36" s="1"/>
  <c r="I2" i="36" s="1"/>
</calcChain>
</file>

<file path=xl/sharedStrings.xml><?xml version="1.0" encoding="utf-8"?>
<sst xmlns="http://schemas.openxmlformats.org/spreadsheetml/2006/main" count="2364" uniqueCount="427">
  <si>
    <t>Entry For Import</t>
  </si>
  <si>
    <t xml:space="preserve">Import Receipt Entry </t>
  </si>
  <si>
    <t>Import Payment Entry</t>
  </si>
  <si>
    <t>Total Entry Import</t>
  </si>
  <si>
    <t>All Data Import Successfully</t>
  </si>
  <si>
    <t>Bank Name</t>
  </si>
  <si>
    <t/>
  </si>
  <si>
    <t>Vou.Dt</t>
  </si>
  <si>
    <t>Vou.No.</t>
  </si>
  <si>
    <t>Withdwol</t>
  </si>
  <si>
    <t>Diposit</t>
  </si>
  <si>
    <t>Balance</t>
  </si>
  <si>
    <t>Chq No.</t>
  </si>
  <si>
    <t>Chq Dt</t>
  </si>
  <si>
    <t>A/c.</t>
  </si>
  <si>
    <t xml:space="preserve">Narration </t>
  </si>
  <si>
    <t>Sr No</t>
  </si>
  <si>
    <t>Txn Date</t>
  </si>
  <si>
    <t>Value Date</t>
  </si>
  <si>
    <t>Description</t>
  </si>
  <si>
    <t>Ref No./Cheque No.</t>
  </si>
  <si>
    <t xml:space="preserve">        Debit</t>
  </si>
  <si>
    <t>Credit</t>
  </si>
  <si>
    <t>S.N.</t>
  </si>
  <si>
    <t>Tran. Id</t>
  </si>
  <si>
    <t>Transaction Date</t>
  </si>
  <si>
    <t>Transaction Posted Date</t>
  </si>
  <si>
    <t>Cheque. No./Ref. No.</t>
  </si>
  <si>
    <t>Transaction Remarks</t>
  </si>
  <si>
    <t>Withdrawal Amt (INR)</t>
  </si>
  <si>
    <t>Deposit Amt (INR)</t>
  </si>
  <si>
    <t>Balance (INR)</t>
  </si>
  <si>
    <t>Date</t>
  </si>
  <si>
    <t>Narration</t>
  </si>
  <si>
    <t>Chq./Ref.No.</t>
  </si>
  <si>
    <t>Value Dt</t>
  </si>
  <si>
    <t>Withdrawal Amt.</t>
  </si>
  <si>
    <t>Deposit Amt.</t>
  </si>
  <si>
    <t>Closing Balance</t>
  </si>
  <si>
    <t>Tran Date</t>
  </si>
  <si>
    <t>CHQNO</t>
  </si>
  <si>
    <t>PARTICULARS</t>
  </si>
  <si>
    <t>DR</t>
  </si>
  <si>
    <t>CR</t>
  </si>
  <si>
    <t>BAL</t>
  </si>
  <si>
    <t>SOL</t>
  </si>
  <si>
    <t>Srl</t>
  </si>
  <si>
    <t>Cheque No</t>
  </si>
  <si>
    <t>CR/DR</t>
  </si>
  <si>
    <t>CCY</t>
  </si>
  <si>
    <t>Amount (INR)</t>
  </si>
  <si>
    <t>DATE</t>
  </si>
  <si>
    <t>NARRATION</t>
  </si>
  <si>
    <t>CHQ.NO.</t>
  </si>
  <si>
    <t>WITHDRAWAL(DR)</t>
  </si>
  <si>
    <t>DEPOSIT(CR)</t>
  </si>
  <si>
    <t>BALANCE(INR)</t>
  </si>
  <si>
    <t>Total Entry</t>
  </si>
  <si>
    <t>Bank Receipt</t>
  </si>
  <si>
    <t>Bank Payment</t>
  </si>
  <si>
    <t>ICICI Bank A/c.</t>
  </si>
  <si>
    <t>Axis Bank A/c.</t>
  </si>
  <si>
    <t>IDBI Bank A/c.</t>
  </si>
  <si>
    <t>SBI Bank A/c.</t>
  </si>
  <si>
    <t>HDFC Bank A/c.</t>
  </si>
  <si>
    <t>Kotak Bank A/c.</t>
  </si>
  <si>
    <t>Bank of Baroda A/c.</t>
  </si>
  <si>
    <t>Cheque No/Reference No</t>
  </si>
  <si>
    <t>Withdrawals</t>
  </si>
  <si>
    <t>Deposits</t>
  </si>
  <si>
    <t>Running Balance</t>
  </si>
  <si>
    <t xml:space="preserve">Yesh Bank </t>
  </si>
  <si>
    <t>Post Date</t>
  </si>
  <si>
    <t>Remitter Branch</t>
  </si>
  <si>
    <t>Cheque No.</t>
  </si>
  <si>
    <t>Debit Amount</t>
  </si>
  <si>
    <t>Credit Amount</t>
  </si>
  <si>
    <t>Indian Bank</t>
  </si>
  <si>
    <t>Sl. No.</t>
  </si>
  <si>
    <t>Chq / Ref number</t>
  </si>
  <si>
    <t>Amount</t>
  </si>
  <si>
    <t>Dr / Cr</t>
  </si>
  <si>
    <r>
      <rPr>
        <b/>
        <sz val="8"/>
        <rFont val="Times New Roman"/>
        <family val="1"/>
      </rPr>
      <t>Date</t>
    </r>
  </si>
  <si>
    <r>
      <rPr>
        <b/>
        <sz val="8"/>
        <rFont val="Times New Roman"/>
        <family val="1"/>
      </rPr>
      <t>Effective Date</t>
    </r>
  </si>
  <si>
    <r>
      <rPr>
        <b/>
        <sz val="8"/>
        <rFont val="Times New Roman"/>
        <family val="1"/>
      </rPr>
      <t>Cheque/Sequence Number</t>
    </r>
  </si>
  <si>
    <r>
      <rPr>
        <b/>
        <sz val="8"/>
        <rFont val="Times New Roman"/>
        <family val="1"/>
      </rPr>
      <t>Branch</t>
    </r>
  </si>
  <si>
    <r>
      <rPr>
        <b/>
        <sz val="8"/>
        <rFont val="Times New Roman"/>
        <family val="1"/>
      </rPr>
      <t>Description</t>
    </r>
  </si>
  <si>
    <r>
      <rPr>
        <b/>
        <sz val="8"/>
        <rFont val="Times New Roman"/>
        <family val="1"/>
      </rPr>
      <t xml:space="preserve">Withdrawal
</t>
    </r>
    <r>
      <rPr>
        <b/>
        <sz val="8"/>
        <rFont val="Times New Roman"/>
        <family val="1"/>
      </rPr>
      <t>Amt.</t>
    </r>
  </si>
  <si>
    <r>
      <rPr>
        <b/>
        <sz val="8"/>
        <rFont val="Times New Roman"/>
        <family val="1"/>
      </rPr>
      <t>Deposit Amt.</t>
    </r>
  </si>
  <si>
    <r>
      <rPr>
        <b/>
        <sz val="8"/>
        <rFont val="Times New Roman"/>
        <family val="1"/>
      </rPr>
      <t>Balance</t>
    </r>
  </si>
  <si>
    <t>Bandhan Bank</t>
  </si>
  <si>
    <t>Current Account</t>
  </si>
  <si>
    <t>Savings Accounts</t>
  </si>
  <si>
    <t>Indusind Bank</t>
  </si>
  <si>
    <t>Sr.No.</t>
  </si>
  <si>
    <t>Type</t>
  </si>
  <si>
    <t xml:space="preserve"> Description</t>
  </si>
  <si>
    <t xml:space="preserve"> Debit </t>
  </si>
  <si>
    <t xml:space="preserve">Credit </t>
  </si>
  <si>
    <t>Cheque/Ref No.</t>
  </si>
  <si>
    <t>Debit</t>
  </si>
  <si>
    <t>Closing Bal</t>
  </si>
  <si>
    <t>The Varachha Co-op. Bank A/c.</t>
  </si>
  <si>
    <t>Bank of India A/c.</t>
  </si>
  <si>
    <t>No.</t>
  </si>
  <si>
    <t>ChequeNo.</t>
  </si>
  <si>
    <t>Cr/Dr</t>
  </si>
  <si>
    <t>Amount(INR)</t>
  </si>
  <si>
    <t>Balance(INR)</t>
  </si>
  <si>
    <t>Axis Bank A/c. (Cur)</t>
  </si>
  <si>
    <t>Rajkot Nagarik Sahakari Bank A/c.</t>
  </si>
  <si>
    <r>
      <rPr>
        <b/>
        <sz val="12"/>
        <color rgb="FFFF0000"/>
        <rFont val="Arial"/>
        <family val="2"/>
      </rPr>
      <t>Date</t>
    </r>
  </si>
  <si>
    <r>
      <rPr>
        <b/>
        <sz val="12"/>
        <color rgb="FFFF0000"/>
        <rFont val="Arial"/>
        <family val="2"/>
      </rPr>
      <t>Particulars</t>
    </r>
  </si>
  <si>
    <r>
      <rPr>
        <b/>
        <sz val="12"/>
        <color rgb="FFFF0000"/>
        <rFont val="Arial"/>
        <family val="2"/>
      </rPr>
      <t>Debit</t>
    </r>
  </si>
  <si>
    <r>
      <rPr>
        <b/>
        <sz val="12"/>
        <color rgb="FFFF0000"/>
        <rFont val="Arial"/>
        <family val="2"/>
      </rPr>
      <t>Credit</t>
    </r>
  </si>
  <si>
    <r>
      <rPr>
        <b/>
        <sz val="12"/>
        <color rgb="FFFF0000"/>
        <rFont val="Arial"/>
        <family val="2"/>
      </rPr>
      <t>Balance</t>
    </r>
  </si>
  <si>
    <t>RBL Bank A/c.</t>
  </si>
  <si>
    <t>Transaction Details</t>
  </si>
  <si>
    <t>Cheque ID</t>
  </si>
  <si>
    <t>Withdrawl Amt</t>
  </si>
  <si>
    <t>Deposit Amt</t>
  </si>
  <si>
    <t>Balance (₹)</t>
  </si>
  <si>
    <t>Chq / Ref No.</t>
  </si>
  <si>
    <t>IDFC First</t>
  </si>
  <si>
    <t>Instrument ID</t>
  </si>
  <si>
    <t>Remarks</t>
  </si>
  <si>
    <t>ZZSDG</t>
  </si>
  <si>
    <t>PNB A/c.</t>
  </si>
  <si>
    <r>
      <rPr>
        <sz val="9"/>
        <rFont val="Arial MT"/>
        <family val="2"/>
      </rPr>
      <t>Sr.No.</t>
    </r>
  </si>
  <si>
    <r>
      <rPr>
        <sz val="9"/>
        <rFont val="Arial MT"/>
        <family val="2"/>
      </rPr>
      <t>Date</t>
    </r>
  </si>
  <si>
    <r>
      <rPr>
        <sz val="9"/>
        <rFont val="Arial MT"/>
        <family val="2"/>
      </rPr>
      <t>Particulars</t>
    </r>
  </si>
  <si>
    <r>
      <rPr>
        <sz val="9"/>
        <rFont val="Arial MT"/>
        <family val="2"/>
      </rPr>
      <t>Chq./Ref. Number</t>
    </r>
  </si>
  <si>
    <r>
      <rPr>
        <sz val="9"/>
        <rFont val="Arial MT"/>
        <family val="2"/>
      </rPr>
      <t>Debit</t>
    </r>
  </si>
  <si>
    <r>
      <rPr>
        <sz val="9"/>
        <rFont val="Arial MT"/>
        <family val="2"/>
      </rPr>
      <t>Credit</t>
    </r>
  </si>
  <si>
    <r>
      <rPr>
        <sz val="9"/>
        <rFont val="Arial MT"/>
        <family val="2"/>
      </rPr>
      <t>Closing Balance</t>
    </r>
  </si>
  <si>
    <t>THE SURAT DISTRICT CO-OP. BANK LTD.</t>
  </si>
  <si>
    <t>S No.</t>
  </si>
  <si>
    <t>Cheque Number</t>
  </si>
  <si>
    <t>Withdrawal Amount (INR )</t>
  </si>
  <si>
    <t>Deposit Amount (INR )</t>
  </si>
  <si>
    <t>Balance (INR )</t>
  </si>
  <si>
    <t>ICICI Bank A/c. (Saving)</t>
  </si>
  <si>
    <t>Union Bank of India A/c.</t>
  </si>
  <si>
    <t>Prime Co-op. Bank A/c.</t>
  </si>
  <si>
    <t>Central Bank of India</t>
  </si>
  <si>
    <t>Branch Code</t>
  </si>
  <si>
    <t>Account Description</t>
  </si>
  <si>
    <t>Particulars</t>
  </si>
  <si>
    <t>Chq. No.</t>
  </si>
  <si>
    <t xml:space="preserve">UCO Bank </t>
  </si>
  <si>
    <t>Surat National Co-op. Bank Ltd.</t>
  </si>
  <si>
    <t>Federal Bank</t>
  </si>
  <si>
    <t>Tran Type</t>
  </si>
  <si>
    <t>Cheque Details</t>
  </si>
  <si>
    <t>Withdrawal</t>
  </si>
  <si>
    <t>Deposit</t>
  </si>
  <si>
    <t>Balance Amount</t>
  </si>
  <si>
    <t>Description/Narration</t>
  </si>
  <si>
    <t>Value date</t>
  </si>
  <si>
    <t>Chq./Ref. No.</t>
  </si>
  <si>
    <t>Debit(Dr.)</t>
  </si>
  <si>
    <t>Credit(Cr.)</t>
  </si>
  <si>
    <t>AU SMALL FINANCE BANK</t>
  </si>
  <si>
    <t>DCB Bank A/c.</t>
  </si>
  <si>
    <t>Withdrawals(INR)</t>
  </si>
  <si>
    <t>Deposits(INR)</t>
  </si>
  <si>
    <t>B6</t>
  </si>
  <si>
    <t>A18</t>
  </si>
  <si>
    <t>H</t>
  </si>
  <si>
    <t>I</t>
  </si>
  <si>
    <t>J</t>
  </si>
  <si>
    <t xml:space="preserve">Last File Path </t>
  </si>
  <si>
    <t>F</t>
  </si>
  <si>
    <t>G</t>
  </si>
  <si>
    <t>Cr.</t>
  </si>
  <si>
    <t>Dr.</t>
  </si>
  <si>
    <t>,</t>
  </si>
  <si>
    <t>Db.</t>
  </si>
  <si>
    <t>"U" "V" "W"</t>
  </si>
  <si>
    <t>B9</t>
  </si>
  <si>
    <t>A23</t>
  </si>
  <si>
    <t>E</t>
  </si>
  <si>
    <t>C:\Users\ADITYA\Desktop\Ecomm\Bank Statement\HDFC BANK.xls</t>
  </si>
  <si>
    <t>A20</t>
  </si>
  <si>
    <t>C</t>
  </si>
  <si>
    <t>C:\Users\ADITYA\Desktop\Ecomm\Bank Statement\PNB.xlsx</t>
  </si>
  <si>
    <t>A24</t>
  </si>
  <si>
    <t>C:\Users\ADITYA\Desktop\Ecomm\Bank Statement\indian .xls</t>
  </si>
  <si>
    <t>Transaction Particulars</t>
  </si>
  <si>
    <t xml:space="preserve"> Amount(INR)</t>
  </si>
  <si>
    <t>DR|CR</t>
  </si>
  <si>
    <t>Branch Name</t>
  </si>
  <si>
    <t>B14</t>
  </si>
  <si>
    <t>A12</t>
  </si>
  <si>
    <t>C:\Users\ADITYA\Desktop\Ecomm\Bank Statement\Fedral Bank .xls</t>
  </si>
  <si>
    <t>C:\Users\ADITYA\Desktop\Ecomm\Bank Statement\SNCB.xls</t>
  </si>
  <si>
    <t>A15</t>
  </si>
  <si>
    <t>D</t>
  </si>
  <si>
    <t>C:\Users\ADITYA\Desktop\Ecomm\Bank Statement\Uco Bank .xls</t>
  </si>
  <si>
    <t xml:space="preserve">Bank Name </t>
  </si>
  <si>
    <t>A21</t>
  </si>
  <si>
    <t>C7</t>
  </si>
  <si>
    <t>K</t>
  </si>
  <si>
    <t>A22</t>
  </si>
  <si>
    <t>C:\Users\ADITYA\Desktop\Ecomm\Bank Statement\yes bank cr.xls</t>
  </si>
  <si>
    <t>C:\Users\ADITYA\Desktop\Ecomm\Bank Statement\IDFCFIRST.xlsx</t>
  </si>
  <si>
    <t>B26</t>
  </si>
  <si>
    <t>C:\Users\ADITYA\Desktop\Ecomm\Bank Statement\RBL.xls</t>
  </si>
  <si>
    <t>A19</t>
  </si>
  <si>
    <t>C:\Users\ADITYA\Desktop\Ecomm\Bank Statement\BOI.xlsx</t>
  </si>
  <si>
    <t>C:\Users\ADITYA\Desktop\Ecomm\Bank Statement\ICICI Cur.xlsx</t>
  </si>
  <si>
    <t>C:\Users\ADITYA\Desktop\Ecomm\Bank Statement\prime bank.xls</t>
  </si>
  <si>
    <t>C:\Users\ADITYA\Desktop\Ecomm\Bank Statement\dcbbank.xls</t>
  </si>
  <si>
    <t>C:\Users\ADITYA\Desktop\Ecomm\Bank Statement\axis bank .xls</t>
  </si>
  <si>
    <t>B18</t>
  </si>
  <si>
    <t>\\ADITYA-TECH\All Sharing\A Party Backup\PATIDAR\Report-20240617190457.xlsx</t>
  </si>
  <si>
    <t>Saraswat Bank</t>
  </si>
  <si>
    <r>
      <rPr>
        <b/>
        <sz val="6.5"/>
        <rFont val="Arial"/>
        <family val="2"/>
      </rPr>
      <t>Value Date</t>
    </r>
  </si>
  <si>
    <r>
      <rPr>
        <b/>
        <sz val="6.5"/>
        <rFont val="Arial"/>
        <family val="2"/>
      </rPr>
      <t>Particulars</t>
    </r>
  </si>
  <si>
    <r>
      <rPr>
        <b/>
        <sz val="6.5"/>
        <rFont val="Arial"/>
        <family val="2"/>
      </rPr>
      <t>Location</t>
    </r>
  </si>
  <si>
    <r>
      <rPr>
        <b/>
        <sz val="6.5"/>
        <rFont val="Arial"/>
        <family val="2"/>
      </rPr>
      <t>Chq.No</t>
    </r>
  </si>
  <si>
    <r>
      <rPr>
        <b/>
        <sz val="6.5"/>
        <rFont val="Arial"/>
        <family val="2"/>
      </rPr>
      <t>Withdrawals</t>
    </r>
  </si>
  <si>
    <r>
      <rPr>
        <b/>
        <sz val="6.5"/>
        <rFont val="Arial"/>
        <family val="2"/>
      </rPr>
      <t>Deposits</t>
    </r>
  </si>
  <si>
    <r>
      <rPr>
        <b/>
        <sz val="6.5"/>
        <rFont val="Arial"/>
        <family val="2"/>
      </rPr>
      <t>Balance (INR)</t>
    </r>
  </si>
  <si>
    <t>N</t>
  </si>
  <si>
    <r>
      <rPr>
        <b/>
        <sz val="7"/>
        <rFont val="Arial"/>
        <family val="2"/>
      </rPr>
      <t>Srl</t>
    </r>
  </si>
  <si>
    <r>
      <rPr>
        <b/>
        <sz val="7"/>
        <rFont val="Arial"/>
        <family val="2"/>
      </rPr>
      <t>Txn Date</t>
    </r>
  </si>
  <si>
    <r>
      <rPr>
        <b/>
        <sz val="7"/>
        <rFont val="Arial"/>
        <family val="2"/>
      </rPr>
      <t>Value Date</t>
    </r>
  </si>
  <si>
    <r>
      <rPr>
        <b/>
        <sz val="7"/>
        <rFont val="Arial"/>
        <family val="2"/>
      </rPr>
      <t>Description</t>
    </r>
  </si>
  <si>
    <r>
      <rPr>
        <b/>
        <sz val="7"/>
        <rFont val="Arial"/>
        <family val="2"/>
      </rPr>
      <t>Cheque No</t>
    </r>
  </si>
  <si>
    <r>
      <rPr>
        <b/>
        <sz val="7"/>
        <rFont val="Arial"/>
        <family val="2"/>
      </rPr>
      <t>CR/DR</t>
    </r>
  </si>
  <si>
    <r>
      <rPr>
        <b/>
        <sz val="7"/>
        <rFont val="Arial"/>
        <family val="2"/>
      </rPr>
      <t>CC Y</t>
    </r>
  </si>
  <si>
    <r>
      <rPr>
        <b/>
        <sz val="7"/>
        <rFont val="Arial"/>
        <family val="2"/>
      </rPr>
      <t>Amount (INR)</t>
    </r>
  </si>
  <si>
    <r>
      <rPr>
        <b/>
        <sz val="7"/>
        <rFont val="Arial"/>
        <family val="2"/>
      </rPr>
      <t>Balance (INR)</t>
    </r>
  </si>
  <si>
    <t>L</t>
  </si>
  <si>
    <t>M</t>
  </si>
  <si>
    <t>Withdrawl</t>
  </si>
  <si>
    <r>
      <rPr>
        <sz val="10"/>
        <rFont val="Arial MT"/>
        <family val="2"/>
      </rPr>
      <t>Date</t>
    </r>
  </si>
  <si>
    <r>
      <rPr>
        <sz val="10"/>
        <rFont val="Arial MT"/>
        <family val="2"/>
      </rPr>
      <t>Narration</t>
    </r>
  </si>
  <si>
    <r>
      <rPr>
        <sz val="10"/>
        <rFont val="Arial MT"/>
        <family val="2"/>
      </rPr>
      <t>Chq/Ref No</t>
    </r>
  </si>
  <si>
    <r>
      <rPr>
        <sz val="10"/>
        <rFont val="Arial MT"/>
        <family val="2"/>
      </rPr>
      <t>Withdrawal (Dr)/ Deposit (Cr)</t>
    </r>
  </si>
  <si>
    <r>
      <rPr>
        <sz val="10"/>
        <rFont val="Arial MT"/>
        <family val="2"/>
      </rPr>
      <t>Balance</t>
    </r>
  </si>
  <si>
    <r>
      <rPr>
        <b/>
        <sz val="9"/>
        <rFont val="Arial"/>
        <family val="2"/>
      </rPr>
      <t>Txn Date</t>
    </r>
  </si>
  <si>
    <r>
      <rPr>
        <b/>
        <sz val="9"/>
        <rFont val="Arial"/>
        <family val="2"/>
      </rPr>
      <t>Value Date</t>
    </r>
  </si>
  <si>
    <r>
      <rPr>
        <b/>
        <sz val="9"/>
        <rFont val="Arial"/>
        <family val="2"/>
      </rPr>
      <t>Description</t>
    </r>
  </si>
  <si>
    <r>
      <rPr>
        <b/>
        <sz val="9"/>
        <rFont val="Arial"/>
        <family val="2"/>
      </rPr>
      <t>Ref No./Cheque No.</t>
    </r>
  </si>
  <si>
    <r>
      <rPr>
        <b/>
        <sz val="9"/>
        <rFont val="Arial"/>
        <family val="2"/>
      </rPr>
      <t>Branch Code</t>
    </r>
  </si>
  <si>
    <r>
      <rPr>
        <b/>
        <sz val="9"/>
        <rFont val="Arial"/>
        <family val="2"/>
      </rPr>
      <t>Debit</t>
    </r>
  </si>
  <si>
    <r>
      <rPr>
        <b/>
        <sz val="9"/>
        <rFont val="Arial"/>
        <family val="2"/>
      </rPr>
      <t>Credit</t>
    </r>
  </si>
  <si>
    <r>
      <rPr>
        <b/>
        <sz val="9"/>
        <rFont val="Arial"/>
        <family val="2"/>
      </rPr>
      <t>Balance</t>
    </r>
  </si>
  <si>
    <r>
      <rPr>
        <sz val="10"/>
        <rFont val="Arial MT"/>
        <family val="2"/>
      </rPr>
      <t>Tran Date</t>
    </r>
  </si>
  <si>
    <r>
      <rPr>
        <sz val="10"/>
        <rFont val="Arial MT"/>
        <family val="2"/>
      </rPr>
      <t>Value Date</t>
    </r>
  </si>
  <si>
    <r>
      <rPr>
        <sz val="8"/>
        <rFont val="Arial MT"/>
        <family val="2"/>
      </rPr>
      <t>TR-Mode- Instr.No</t>
    </r>
  </si>
  <si>
    <r>
      <rPr>
        <sz val="10"/>
        <rFont val="Arial MT"/>
        <family val="2"/>
      </rPr>
      <t>Particulars</t>
    </r>
  </si>
  <si>
    <r>
      <rPr>
        <sz val="10"/>
        <rFont val="Arial MT"/>
        <family val="2"/>
      </rPr>
      <t>Debit Amt.</t>
    </r>
  </si>
  <si>
    <r>
      <rPr>
        <sz val="10"/>
        <rFont val="Arial MT"/>
        <family val="2"/>
      </rPr>
      <t>Credit Amt.</t>
    </r>
  </si>
  <si>
    <t>B</t>
  </si>
  <si>
    <t>A</t>
  </si>
  <si>
    <r>
      <rPr>
        <sz val="12"/>
        <rFont val="Arial MT"/>
        <family val="2"/>
      </rPr>
      <t>Date</t>
    </r>
  </si>
  <si>
    <r>
      <rPr>
        <sz val="12"/>
        <rFont val="Arial MT"/>
        <family val="2"/>
      </rPr>
      <t>Description/Narration</t>
    </r>
  </si>
  <si>
    <r>
      <rPr>
        <sz val="12"/>
        <rFont val="Arial MT"/>
        <family val="2"/>
      </rPr>
      <t>Value date</t>
    </r>
  </si>
  <si>
    <r>
      <rPr>
        <sz val="12"/>
        <rFont val="Arial MT"/>
        <family val="2"/>
      </rPr>
      <t>Chq./Ref. No.</t>
    </r>
  </si>
  <si>
    <r>
      <rPr>
        <sz val="12"/>
        <rFont val="Arial MT"/>
        <family val="2"/>
      </rPr>
      <t>Debit(Dr.)</t>
    </r>
  </si>
  <si>
    <r>
      <rPr>
        <sz val="12"/>
        <rFont val="Arial MT"/>
        <family val="2"/>
      </rPr>
      <t>Credit(Cr.)</t>
    </r>
  </si>
  <si>
    <r>
      <rPr>
        <sz val="12"/>
        <rFont val="Arial MT"/>
        <family val="2"/>
      </rPr>
      <t>Balance</t>
    </r>
  </si>
  <si>
    <r>
      <rPr>
        <b/>
        <sz val="8"/>
        <rFont val="Arial"/>
        <family val="2"/>
      </rPr>
      <t>S.No</t>
    </r>
  </si>
  <si>
    <r>
      <rPr>
        <b/>
        <sz val="8"/>
        <rFont val="Arial"/>
        <family val="2"/>
      </rPr>
      <t>Txn Date</t>
    </r>
  </si>
  <si>
    <r>
      <rPr>
        <b/>
        <sz val="8"/>
        <rFont val="Arial"/>
        <family val="2"/>
      </rPr>
      <t>Value Date</t>
    </r>
  </si>
  <si>
    <r>
      <rPr>
        <b/>
        <sz val="8"/>
        <rFont val="Arial"/>
        <family val="2"/>
      </rPr>
      <t>Description</t>
    </r>
  </si>
  <si>
    <r>
      <rPr>
        <b/>
        <sz val="8"/>
        <rFont val="Arial"/>
        <family val="2"/>
      </rPr>
      <t>Cheque No</t>
    </r>
  </si>
  <si>
    <r>
      <rPr>
        <b/>
        <sz val="8"/>
        <rFont val="Arial"/>
        <family val="2"/>
      </rPr>
      <t>Withdrawals (Dr)</t>
    </r>
  </si>
  <si>
    <r>
      <rPr>
        <b/>
        <sz val="8"/>
        <rFont val="Arial"/>
        <family val="2"/>
      </rPr>
      <t>Deposits (Cr)</t>
    </r>
  </si>
  <si>
    <r>
      <rPr>
        <b/>
        <sz val="8"/>
        <rFont val="Arial"/>
        <family val="2"/>
      </rPr>
      <t>Balance (INR)</t>
    </r>
  </si>
  <si>
    <r>
      <rPr>
        <b/>
        <i/>
        <sz val="9"/>
        <rFont val="Calibri"/>
        <family val="1"/>
      </rPr>
      <t>SI</t>
    </r>
  </si>
  <si>
    <r>
      <rPr>
        <b/>
        <i/>
        <sz val="9"/>
        <rFont val="Calibri"/>
        <family val="1"/>
      </rPr>
      <t>Date</t>
    </r>
  </si>
  <si>
    <r>
      <rPr>
        <b/>
        <i/>
        <sz val="9"/>
        <rFont val="Calibri"/>
        <family val="1"/>
      </rPr>
      <t>Particulars</t>
    </r>
  </si>
  <si>
    <r>
      <rPr>
        <b/>
        <i/>
        <sz val="9"/>
        <rFont val="Calibri"/>
        <family val="1"/>
      </rPr>
      <t>Chq Num</t>
    </r>
  </si>
  <si>
    <r>
      <rPr>
        <b/>
        <i/>
        <sz val="9"/>
        <rFont val="Calibri"/>
        <family val="1"/>
      </rPr>
      <t>Withdrawal</t>
    </r>
  </si>
  <si>
    <r>
      <rPr>
        <b/>
        <i/>
        <sz val="9"/>
        <rFont val="Calibri"/>
        <family val="1"/>
      </rPr>
      <t>Deposit</t>
    </r>
  </si>
  <si>
    <r>
      <rPr>
        <b/>
        <i/>
        <sz val="9"/>
        <rFont val="Calibri"/>
        <family val="1"/>
      </rPr>
      <t>Balance</t>
    </r>
  </si>
  <si>
    <t>Sr No.</t>
  </si>
  <si>
    <t xml:space="preserve">Union Bank </t>
  </si>
  <si>
    <r>
      <rPr>
        <sz val="6.5"/>
        <rFont val="Arial"/>
        <family val="2"/>
      </rPr>
      <t>Date</t>
    </r>
  </si>
  <si>
    <r>
      <rPr>
        <sz val="6.5"/>
        <rFont val="Arial"/>
        <family val="2"/>
      </rPr>
      <t>Narration</t>
    </r>
  </si>
  <si>
    <r>
      <rPr>
        <sz val="6.5"/>
        <rFont val="Arial"/>
        <family val="2"/>
      </rPr>
      <t>Cheque No./Ref.No</t>
    </r>
  </si>
  <si>
    <r>
      <rPr>
        <sz val="6.5"/>
        <rFont val="Arial"/>
        <family val="2"/>
      </rPr>
      <t>Withdrawal</t>
    </r>
  </si>
  <si>
    <r>
      <rPr>
        <sz val="6.5"/>
        <rFont val="Arial"/>
        <family val="2"/>
      </rPr>
      <t>Deposit</t>
    </r>
  </si>
  <si>
    <r>
      <rPr>
        <sz val="6.5"/>
        <rFont val="Arial"/>
        <family val="2"/>
      </rPr>
      <t>Balance</t>
    </r>
  </si>
  <si>
    <t xml:space="preserve">The Varachha Co.Op. Bank </t>
  </si>
  <si>
    <t>B15</t>
  </si>
  <si>
    <t>C:\Users\ADITYA\Desktop\Ecomm\Bank Statement\Union Saving Excle .xls</t>
  </si>
  <si>
    <t>Tran Id</t>
  </si>
  <si>
    <t>UTR Number</t>
  </si>
  <si>
    <t>Instr. Id</t>
  </si>
  <si>
    <t>TRANSACTION</t>
  </si>
  <si>
    <t>TRANSACTION DETAILS</t>
  </si>
  <si>
    <t>CHQ / REF NO.</t>
  </si>
  <si>
    <t>DEBIT(₹)</t>
  </si>
  <si>
    <t>CREDIT(₹)</t>
  </si>
  <si>
    <t>BALANCE(₹)</t>
  </si>
  <si>
    <t>Sr</t>
  </si>
  <si>
    <t>Chq.No.</t>
  </si>
  <si>
    <t>Autosweep</t>
  </si>
  <si>
    <t>Reverse Sweep</t>
  </si>
  <si>
    <r>
      <rPr>
        <b/>
        <sz val="8"/>
        <rFont val="Arial"/>
        <family val="2"/>
      </rPr>
      <t>Tran Date</t>
    </r>
  </si>
  <si>
    <r>
      <rPr>
        <b/>
        <sz val="8"/>
        <rFont val="Arial"/>
        <family val="2"/>
      </rPr>
      <t>Value  Date</t>
    </r>
  </si>
  <si>
    <r>
      <rPr>
        <b/>
        <sz val="8"/>
        <rFont val="Arial"/>
        <family val="2"/>
      </rPr>
      <t>Transaction Details</t>
    </r>
  </si>
  <si>
    <r>
      <rPr>
        <b/>
        <sz val="8"/>
        <rFont val="Arial"/>
        <family val="2"/>
      </rPr>
      <t>Chq. No.</t>
    </r>
  </si>
  <si>
    <r>
      <rPr>
        <b/>
        <sz val="8"/>
        <rFont val="Arial"/>
        <family val="2"/>
      </rPr>
      <t>Amount (In Rs.)</t>
    </r>
  </si>
  <si>
    <r>
      <rPr>
        <b/>
        <sz val="8"/>
        <rFont val="Arial"/>
        <family val="2"/>
      </rPr>
      <t>Dr/Cr</t>
    </r>
  </si>
  <si>
    <r>
      <rPr>
        <b/>
        <sz val="8"/>
        <rFont val="Arial"/>
        <family val="2"/>
      </rPr>
      <t>Balance (In Rs.)</t>
    </r>
  </si>
  <si>
    <r>
      <rPr>
        <b/>
        <sz val="8"/>
        <rFont val="Arial"/>
        <family val="2"/>
      </rPr>
      <t xml:space="preserve">Branch  Name </t>
    </r>
  </si>
  <si>
    <t>CENTRAL BANK OF INDIA</t>
  </si>
  <si>
    <r>
      <rPr>
        <sz val="11"/>
        <rFont val="Arial MT"/>
        <family val="2"/>
      </rPr>
      <t>Post Date</t>
    </r>
  </si>
  <si>
    <r>
      <rPr>
        <sz val="11"/>
        <rFont val="Arial MT"/>
        <family val="2"/>
      </rPr>
      <t>Value Date</t>
    </r>
  </si>
  <si>
    <r>
      <rPr>
        <sz val="11"/>
        <rFont val="Arial MT"/>
        <family val="2"/>
      </rPr>
      <t>Branch Code</t>
    </r>
  </si>
  <si>
    <r>
      <rPr>
        <sz val="11"/>
        <rFont val="Arial MT"/>
        <family val="2"/>
      </rPr>
      <t>Cheque Number</t>
    </r>
  </si>
  <si>
    <r>
      <rPr>
        <sz val="11"/>
        <rFont val="Arial MT"/>
        <family val="2"/>
      </rPr>
      <t>Account Description</t>
    </r>
  </si>
  <si>
    <r>
      <rPr>
        <sz val="11"/>
        <rFont val="Arial MT"/>
        <family val="2"/>
      </rPr>
      <t>Debit</t>
    </r>
  </si>
  <si>
    <r>
      <rPr>
        <sz val="11"/>
        <rFont val="Arial MT"/>
        <family val="2"/>
      </rPr>
      <t>Credit</t>
    </r>
  </si>
  <si>
    <r>
      <rPr>
        <sz val="11"/>
        <rFont val="Arial MT"/>
        <family val="2"/>
      </rPr>
      <t>Balance</t>
    </r>
  </si>
  <si>
    <r>
      <rPr>
        <b/>
        <sz val="9"/>
        <rFont val="Arial"/>
        <family val="2"/>
      </rPr>
      <t>Narration</t>
    </r>
  </si>
  <si>
    <r>
      <rPr>
        <b/>
        <sz val="9"/>
        <rFont val="Arial"/>
        <family val="2"/>
      </rPr>
      <t>Chq/Ref No.</t>
    </r>
  </si>
  <si>
    <r>
      <rPr>
        <b/>
        <sz val="9"/>
        <rFont val="Arial"/>
        <family val="2"/>
      </rPr>
      <t>Withdrawal (Dr)</t>
    </r>
  </si>
  <si>
    <r>
      <rPr>
        <b/>
        <sz val="9"/>
        <rFont val="Arial"/>
        <family val="2"/>
      </rPr>
      <t>Deposit (Cr)</t>
    </r>
  </si>
  <si>
    <t>Tran ID</t>
  </si>
  <si>
    <t>Cheque no/  RefNo</t>
  </si>
  <si>
    <t>Withdrawl (Dr)</t>
  </si>
  <si>
    <t>Deposit (Cr)</t>
  </si>
  <si>
    <t>Txn No.</t>
  </si>
  <si>
    <t>Dr Amount</t>
  </si>
  <si>
    <t>Cr Amount</t>
  </si>
  <si>
    <t>KIMS Remarks</t>
  </si>
  <si>
    <t>SRL NO</t>
  </si>
  <si>
    <t>C:\Users\ADITYA\Desktop\Ecomm\Bank Statement\axis 2.xls</t>
  </si>
  <si>
    <t xml:space="preserve">City Union Bank </t>
  </si>
  <si>
    <t>C:\Users\ADITYA\Desktop\Ecomm\Bank Statement\SBI.xlsx</t>
  </si>
  <si>
    <t>Reference No. / Cheque No.</t>
  </si>
  <si>
    <r>
      <t xml:space="preserve">Withdrawal
</t>
    </r>
    <r>
      <rPr>
        <b/>
        <sz val="10"/>
        <color rgb="FF000000"/>
        <rFont val="Arial"/>
        <family val="2"/>
      </rPr>
      <t>INR</t>
    </r>
  </si>
  <si>
    <r>
      <t xml:space="preserve">Deposit
</t>
    </r>
    <r>
      <rPr>
        <b/>
        <sz val="10"/>
        <color rgb="FF000000"/>
        <rFont val="Arial"/>
        <family val="2"/>
      </rPr>
      <t>INR</t>
    </r>
  </si>
  <si>
    <r>
      <t xml:space="preserve">ClosingBalance
</t>
    </r>
    <r>
      <rPr>
        <b/>
        <sz val="10"/>
        <color rgb="FF000000"/>
        <rFont val="Arial"/>
        <family val="2"/>
      </rPr>
      <t>INR</t>
    </r>
  </si>
  <si>
    <t>B20</t>
  </si>
  <si>
    <t>C:\Users\ADITYA\Desktop\Ecomm\EQUITAS-BANK COPY(1).xlsx</t>
  </si>
  <si>
    <t>Equitas Small Finance Bank</t>
  </si>
  <si>
    <t>ICICI(C) (P)</t>
  </si>
  <si>
    <t>ICICI(S) (P)</t>
  </si>
  <si>
    <t>ICICI(C)2 (P)</t>
  </si>
  <si>
    <t>HDFC (P)</t>
  </si>
  <si>
    <t>Axis(S) (P)</t>
  </si>
  <si>
    <t>Axis(C) (P)</t>
  </si>
  <si>
    <t>IDBI (P)</t>
  </si>
  <si>
    <t>IDBI(S) (P)</t>
  </si>
  <si>
    <t>IDFC (P)</t>
  </si>
  <si>
    <t>CityUni (P)</t>
  </si>
  <si>
    <t>indusind (P)</t>
  </si>
  <si>
    <t>Kalupur (P)</t>
  </si>
  <si>
    <t>AU (P)</t>
  </si>
  <si>
    <t>SBI (P)</t>
  </si>
  <si>
    <t>Union (P)</t>
  </si>
  <si>
    <t>Union2 (P)</t>
  </si>
  <si>
    <t>Varachha (P)</t>
  </si>
  <si>
    <t>Kotak (P)</t>
  </si>
  <si>
    <t>Kotak2 (P)</t>
  </si>
  <si>
    <t>Kotak3 (P)</t>
  </si>
  <si>
    <t>CBI (P)</t>
  </si>
  <si>
    <t>ICICI(C)</t>
  </si>
  <si>
    <t>ICICI(S)</t>
  </si>
  <si>
    <t>HDFC</t>
  </si>
  <si>
    <t>Kotak(C)</t>
  </si>
  <si>
    <t>Kotak(S)</t>
  </si>
  <si>
    <t>Axis(S)</t>
  </si>
  <si>
    <t>Axis(S) (2)</t>
  </si>
  <si>
    <t>Axis(C)</t>
  </si>
  <si>
    <t>Yes</t>
  </si>
  <si>
    <t>indusind</t>
  </si>
  <si>
    <t>IDBI</t>
  </si>
  <si>
    <t>Bandhan</t>
  </si>
  <si>
    <t>Indian</t>
  </si>
  <si>
    <t>IDFC</t>
  </si>
  <si>
    <t>RBL</t>
  </si>
  <si>
    <t>Union</t>
  </si>
  <si>
    <t>SBI</t>
  </si>
  <si>
    <t>BOI</t>
  </si>
  <si>
    <t>UCO</t>
  </si>
  <si>
    <t>CBI</t>
  </si>
  <si>
    <t>BOB(C)</t>
  </si>
  <si>
    <t>BOB(S)</t>
  </si>
  <si>
    <t>PNB</t>
  </si>
  <si>
    <t>PNB (2)</t>
  </si>
  <si>
    <t>RNSBE</t>
  </si>
  <si>
    <t>Federal</t>
  </si>
  <si>
    <t>Varachha</t>
  </si>
  <si>
    <t>SNCB</t>
  </si>
  <si>
    <t>SDCB</t>
  </si>
  <si>
    <t>AU</t>
  </si>
  <si>
    <t>Prime</t>
  </si>
  <si>
    <t>DCB</t>
  </si>
  <si>
    <t>Saraswat</t>
  </si>
  <si>
    <t>Help</t>
  </si>
  <si>
    <t>Master</t>
  </si>
  <si>
    <t>Customer ID</t>
  </si>
  <si>
    <t>Party Name</t>
  </si>
  <si>
    <t>Mobile Number</t>
  </si>
  <si>
    <t>PC/Mac ID</t>
  </si>
  <si>
    <t>Com Name</t>
  </si>
  <si>
    <t>Registration Date</t>
  </si>
  <si>
    <t>Expiry Date</t>
  </si>
  <si>
    <t>Status</t>
  </si>
  <si>
    <t xml:space="preserve">Status </t>
  </si>
  <si>
    <t>Equitas</t>
  </si>
  <si>
    <t>ADITYA TECHNOLOGIES</t>
  </si>
  <si>
    <t>Accepted</t>
  </si>
  <si>
    <t>Bank Excle Licance</t>
  </si>
  <si>
    <r>
      <rPr>
        <b/>
        <sz val="9"/>
        <rFont val="Arial"/>
        <family val="2"/>
      </rPr>
      <t>Post Date</t>
    </r>
  </si>
  <si>
    <r>
      <rPr>
        <b/>
        <sz val="9"/>
        <rFont val="Arial"/>
        <family val="2"/>
      </rPr>
      <t>Cheque Details</t>
    </r>
  </si>
  <si>
    <t>SDCB (P)</t>
  </si>
  <si>
    <t>B4:B5:2F:DF:4C:08</t>
  </si>
  <si>
    <t>ADITYA-TECH</t>
  </si>
  <si>
    <t>Com Name :</t>
  </si>
  <si>
    <t>C:\Users\ADITYA\Desktop\Ecomm\Bank Statement\IDBI BANK - ACURA.xls</t>
  </si>
  <si>
    <t>Group Name</t>
  </si>
  <si>
    <t>24AIFPJ6378M2ZR</t>
  </si>
  <si>
    <t>South Indian Bank</t>
  </si>
  <si>
    <t>A2</t>
  </si>
  <si>
    <t>SIB : 560</t>
  </si>
  <si>
    <t>SIB</t>
  </si>
  <si>
    <t>\\ADITYA-TECH\All Sharing\Ecom Setup\Devlop\ecomm statment\AccountStatement_XXXXXXXXXXXX1634_17332906901539985683.xlsx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</si>
</sst>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;[Red]0.00"/>
    <numFmt numFmtId="165" formatCode="dd/mm/yyyy;@"/>
    <numFmt numFmtId="166" formatCode="mm/dd/yyyy"/>
  </numFmts>
  <fonts count="7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8"/>
      <name val="Arial"/>
      <family val="2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0"/>
      <color theme="0"/>
      <name val="SansSerif"/>
    </font>
    <font>
      <b/>
      <sz val="7"/>
      <color indexed="72"/>
      <name val="Arial"/>
      <family val="2"/>
    </font>
    <font>
      <sz val="10"/>
      <color indexed="72"/>
      <name val="SansSerif"/>
    </font>
    <font>
      <b/>
      <sz val="10"/>
      <color indexed="9"/>
      <name val="Arial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b/>
      <sz val="11"/>
      <color theme="1"/>
      <name val="Verdana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0"/>
      <name val="Verdana"/>
      <family val="2"/>
    </font>
    <font>
      <b/>
      <sz val="10"/>
      <name val="Arial"/>
      <family val="2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8"/>
      <name val="Times New Roman"/>
      <family val="1"/>
    </font>
    <font>
      <sz val="10"/>
      <color rgb="FF000000"/>
      <name val="Times New Roman"/>
      <family val="1"/>
    </font>
    <font>
      <sz val="10"/>
      <color indexed="8"/>
      <name val="Calibri"/>
      <family val="2"/>
    </font>
    <font>
      <b/>
      <sz val="11"/>
      <name val="Calibri"/>
      <family val="2"/>
      <scheme val="minor"/>
    </font>
    <font>
      <b/>
      <sz val="12"/>
      <color rgb="FFFF0000"/>
      <name val="Arial"/>
      <family val="2"/>
    </font>
    <font>
      <sz val="9"/>
      <name val="Arial MT"/>
      <family val="2"/>
    </font>
    <font>
      <b/>
      <sz val="11"/>
      <color theme="2" tint="-0.74999237037263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8"/>
      <color indexed="72"/>
      <name val="SansSerif"/>
    </font>
    <font>
      <b/>
      <sz val="9"/>
      <color theme="1"/>
      <name val="Verdana"/>
      <family val="2"/>
    </font>
    <font>
      <b/>
      <sz val="12"/>
      <color indexed="8"/>
      <name val="Arial"/>
      <family val="2"/>
    </font>
    <font>
      <b/>
      <sz val="13"/>
      <color indexed="72"/>
      <name val="Arial"/>
      <family val="2"/>
    </font>
    <font>
      <sz val="8"/>
      <name val="Calibri"/>
      <family val="2"/>
      <scheme val="minor"/>
    </font>
    <font>
      <b/>
      <sz val="10"/>
      <color indexed="8"/>
      <name val="Calibri"/>
      <family val="2"/>
    </font>
    <font>
      <sz val="13"/>
      <color indexed="72"/>
      <name val="Arial"/>
      <family val="2"/>
    </font>
    <font>
      <sz val="11"/>
      <color rgb="FFFFFFFF"/>
      <name val="Calibri"/>
      <family val="2"/>
      <scheme val="minor"/>
    </font>
    <font>
      <b/>
      <sz val="6.5"/>
      <name val="Arial"/>
      <family val="2"/>
    </font>
    <font>
      <sz val="10"/>
      <color rgb="FFFF0000"/>
      <name val="SansSerif"/>
    </font>
    <font>
      <sz val="11"/>
      <color rgb="FFF8F8F8"/>
      <name val="Calibri"/>
      <family val="2"/>
      <scheme val="minor"/>
    </font>
    <font>
      <sz val="10"/>
      <color rgb="FFF8F8F8"/>
      <name val="SansSerif"/>
    </font>
    <font>
      <b/>
      <sz val="7"/>
      <name val="Arial"/>
      <family val="2"/>
    </font>
    <font>
      <sz val="8"/>
      <name val="Arial MT"/>
      <family val="2"/>
    </font>
    <font>
      <b/>
      <sz val="9"/>
      <name val="Arial"/>
      <family val="2"/>
    </font>
    <font>
      <sz val="10"/>
      <name val="Arial MT"/>
    </font>
    <font>
      <sz val="10"/>
      <name val="Arial MT"/>
      <family val="2"/>
    </font>
    <font>
      <sz val="10"/>
      <color rgb="FFFFFFFF"/>
      <name val="SansSerif"/>
    </font>
    <font>
      <sz val="12"/>
      <name val="Arial MT"/>
    </font>
    <font>
      <sz val="12"/>
      <name val="Arial MT"/>
      <family val="2"/>
    </font>
    <font>
      <b/>
      <sz val="8"/>
      <name val="Arial"/>
      <family val="2"/>
    </font>
    <font>
      <b/>
      <i/>
      <sz val="9"/>
      <name val="Calibri"/>
      <family val="2"/>
    </font>
    <font>
      <b/>
      <i/>
      <sz val="9"/>
      <name val="Calibri"/>
      <family val="1"/>
    </font>
    <font>
      <sz val="6.5"/>
      <name val="Arial"/>
      <family val="2"/>
    </font>
    <font>
      <b/>
      <sz val="10"/>
      <color indexed="72"/>
      <name val="SansSerif"/>
    </font>
    <font>
      <b/>
      <sz val="10"/>
      <color indexed="72"/>
      <name val="Arial"/>
      <family val="2"/>
    </font>
    <font>
      <sz val="7"/>
      <color theme="1"/>
      <name val="Roboto Lt"/>
    </font>
    <font>
      <sz val="8"/>
      <name val="Arial MT"/>
    </font>
    <font>
      <sz val="11"/>
      <name val="Arial MT"/>
    </font>
    <font>
      <sz val="11"/>
      <name val="Arial MT"/>
      <family val="2"/>
    </font>
    <font>
      <b/>
      <sz val="16"/>
      <color indexed="72"/>
      <name val="SansSerif"/>
    </font>
    <font>
      <b/>
      <sz val="10"/>
      <color rgb="FF000000"/>
      <name val="Arial"/>
      <family val="2"/>
    </font>
    <font>
      <b/>
      <sz val="17"/>
      <color theme="1"/>
      <name val="Calibri"/>
      <family val="2"/>
      <scheme val="minor"/>
    </font>
    <font>
      <sz val="8"/>
      <color rgb="FF000000"/>
      <name val="Segoe UI"/>
      <family val="2"/>
    </font>
  </fonts>
  <fills count="55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BFBFBF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BFE0FF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indexed="3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E9E9E9"/>
      </left>
      <right style="thin">
        <color rgb="FFE9E9E9"/>
      </right>
      <top style="thin">
        <color rgb="FFE9E9E9"/>
      </top>
      <bottom style="thin">
        <color rgb="FFE9E9E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E5E5E5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6400"/>
      </left>
      <right style="thin">
        <color rgb="FF006400"/>
      </right>
      <top style="thin">
        <color rgb="FF006400"/>
      </top>
      <bottom style="thin">
        <color rgb="FF006400"/>
      </bottom>
      <diagonal/>
    </border>
    <border>
      <left style="thin">
        <color rgb="FF006400"/>
      </left>
      <right/>
      <top style="thin">
        <color rgb="FF006400"/>
      </top>
      <bottom style="thin">
        <color rgb="FF006400"/>
      </bottom>
      <diagonal/>
    </border>
    <border>
      <left/>
      <right style="thin">
        <color rgb="FF006400"/>
      </right>
      <top style="thin">
        <color rgb="FF006400"/>
      </top>
      <bottom style="thin">
        <color rgb="FF006400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48">
    <xf numFmtId="0" fontId="0" fillId="0" borderId="0"/>
    <xf numFmtId="0" fontId="4" fillId="0" borderId="0" applyNumberFormat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" applyNumberFormat="0" applyFill="0" applyAlignment="0" applyProtection="0"/>
    <xf numFmtId="0" fontId="16" fillId="0" borderId="6" applyNumberFormat="0" applyFill="0" applyAlignment="0" applyProtection="0"/>
    <xf numFmtId="0" fontId="17" fillId="0" borderId="7" applyNumberFormat="0" applyFill="0" applyAlignment="0" applyProtection="0"/>
    <xf numFmtId="0" fontId="17" fillId="0" borderId="0" applyNumberFormat="0" applyFill="0" applyBorder="0" applyAlignment="0" applyProtection="0"/>
    <xf numFmtId="0" fontId="18" fillId="16" borderId="0" applyNumberFormat="0" applyBorder="0" applyAlignment="0" applyProtection="0"/>
    <xf numFmtId="0" fontId="19" fillId="17" borderId="0" applyNumberFormat="0" applyBorder="0" applyAlignment="0" applyProtection="0"/>
    <xf numFmtId="0" fontId="20" fillId="18" borderId="0" applyNumberFormat="0" applyBorder="0" applyAlignment="0" applyProtection="0"/>
    <xf numFmtId="0" fontId="21" fillId="19" borderId="8" applyNumberFormat="0" applyAlignment="0" applyProtection="0"/>
    <xf numFmtId="0" fontId="22" fillId="20" borderId="9" applyNumberFormat="0" applyAlignment="0" applyProtection="0"/>
    <xf numFmtId="0" fontId="23" fillId="20" borderId="8" applyNumberFormat="0" applyAlignment="0" applyProtection="0"/>
    <xf numFmtId="0" fontId="24" fillId="0" borderId="10" applyNumberFormat="0" applyFill="0" applyAlignment="0" applyProtection="0"/>
    <xf numFmtId="0" fontId="25" fillId="21" borderId="11" applyNumberFormat="0" applyAlignment="0" applyProtection="0"/>
    <xf numFmtId="0" fontId="26" fillId="0" borderId="0" applyNumberFormat="0" applyFill="0" applyBorder="0" applyAlignment="0" applyProtection="0"/>
    <xf numFmtId="0" fontId="13" fillId="22" borderId="12" applyNumberFormat="0" applyFont="0" applyAlignment="0" applyProtection="0"/>
    <xf numFmtId="0" fontId="27" fillId="0" borderId="0" applyNumberFormat="0" applyFill="0" applyBorder="0" applyAlignment="0" applyProtection="0"/>
    <xf numFmtId="0" fontId="1" fillId="0" borderId="13" applyNumberFormat="0" applyFill="0" applyAlignment="0" applyProtection="0"/>
    <xf numFmtId="0" fontId="5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5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5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5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5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5" fillId="43" borderId="0" applyNumberFormat="0" applyBorder="0" applyAlignment="0" applyProtection="0"/>
    <xf numFmtId="0" fontId="13" fillId="44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30" fillId="0" borderId="0"/>
    <xf numFmtId="0" fontId="33" fillId="0" borderId="0"/>
    <xf numFmtId="0" fontId="3" fillId="0" borderId="0"/>
    <xf numFmtId="0" fontId="39" fillId="0" borderId="0"/>
    <xf numFmtId="0" fontId="4" fillId="0" borderId="0"/>
  </cellStyleXfs>
  <cellXfs count="294">
    <xf numFmtId="0" fontId="0" fillId="0" borderId="0" xfId="0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Protection="1">
      <protection hidden="1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6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2" fillId="7" borderId="1" xfId="0" quotePrefix="1" applyFont="1" applyFill="1" applyBorder="1" applyAlignment="1" applyProtection="1">
      <alignment horizontal="center"/>
      <protection locked="0"/>
    </xf>
    <xf numFmtId="0" fontId="3" fillId="8" borderId="1" xfId="0" applyFont="1" applyFill="1" applyBorder="1" applyAlignment="1" applyProtection="1">
      <alignment horizontal="center" vertical="center"/>
      <protection hidden="1"/>
    </xf>
    <xf numFmtId="0" fontId="3" fillId="9" borderId="1" xfId="0" applyFont="1" applyFill="1" applyBorder="1" applyAlignment="1" applyProtection="1">
      <alignment horizontal="center" vertical="center"/>
      <protection hidden="1"/>
    </xf>
    <xf numFmtId="0" fontId="3" fillId="10" borderId="1" xfId="0" applyFont="1" applyFill="1" applyBorder="1" applyAlignment="1" applyProtection="1">
      <alignment horizontal="center" vertical="center"/>
      <protection hidden="1"/>
    </xf>
    <xf numFmtId="0" fontId="2" fillId="7" borderId="1" xfId="0" applyFont="1" applyFill="1" applyBorder="1" applyAlignment="1" applyProtection="1">
      <alignment horizontal="center"/>
      <protection locked="0"/>
    </xf>
    <xf numFmtId="164" fontId="2" fillId="7" borderId="1" xfId="0" applyNumberFormat="1" applyFont="1" applyFill="1" applyBorder="1" applyAlignment="1" applyProtection="1">
      <alignment horizontal="center"/>
      <protection locked="0"/>
    </xf>
    <xf numFmtId="0" fontId="2" fillId="7" borderId="1" xfId="0" applyFont="1" applyFill="1" applyBorder="1" applyAlignment="1" applyProtection="1">
      <alignment horizontal="left"/>
      <protection locked="0"/>
    </xf>
    <xf numFmtId="0" fontId="2" fillId="7" borderId="1" xfId="0" quotePrefix="1" applyFont="1" applyFill="1" applyBorder="1" applyAlignment="1" applyProtection="1">
      <alignment horizontal="center"/>
      <protection hidden="1"/>
    </xf>
    <xf numFmtId="0" fontId="0" fillId="11" borderId="1" xfId="0" applyFill="1" applyBorder="1" applyProtection="1">
      <protection locked="0"/>
    </xf>
    <xf numFmtId="0" fontId="0" fillId="11" borderId="1" xfId="0" applyFill="1" applyBorder="1" applyAlignment="1" applyProtection="1">
      <alignment horizontal="center" vertical="center"/>
      <protection locked="0"/>
    </xf>
    <xf numFmtId="0" fontId="0" fillId="11" borderId="1" xfId="0" applyFill="1" applyBorder="1" applyAlignment="1" applyProtection="1">
      <alignment horizontal="center"/>
      <protection locked="0"/>
    </xf>
    <xf numFmtId="165" fontId="0" fillId="11" borderId="1" xfId="0" applyNumberFormat="1" applyFill="1" applyBorder="1" applyAlignment="1" applyProtection="1">
      <alignment horizontal="right"/>
      <protection locked="0"/>
    </xf>
    <xf numFmtId="0" fontId="0" fillId="11" borderId="1" xfId="0" applyFill="1" applyBorder="1" applyAlignment="1" applyProtection="1">
      <alignment horizontal="right"/>
      <protection locked="0"/>
    </xf>
    <xf numFmtId="0" fontId="2" fillId="7" borderId="2" xfId="0" quotePrefix="1" applyFont="1" applyFill="1" applyBorder="1" applyAlignment="1" applyProtection="1">
      <alignment horizontal="center"/>
      <protection hidden="1"/>
    </xf>
    <xf numFmtId="0" fontId="5" fillId="0" borderId="0" xfId="0" applyFont="1" applyAlignment="1" applyProtection="1">
      <alignment vertical="center"/>
      <protection hidden="1"/>
    </xf>
    <xf numFmtId="165" fontId="5" fillId="0" borderId="0" xfId="0" applyNumberFormat="1" applyFont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164" fontId="5" fillId="0" borderId="0" xfId="0" applyNumberFormat="1" applyFont="1" applyAlignment="1" applyProtection="1">
      <alignment horizontal="right" vertical="center"/>
      <protection hidden="1"/>
    </xf>
    <xf numFmtId="1" fontId="6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5" fillId="0" borderId="0" xfId="0" quotePrefix="1" applyNumberFormat="1" applyFont="1" applyAlignment="1" applyProtection="1">
      <alignment vertical="center"/>
      <protection hidden="1"/>
    </xf>
    <xf numFmtId="165" fontId="5" fillId="0" borderId="0" xfId="0" applyNumberFormat="1" applyFont="1" applyAlignment="1" applyProtection="1">
      <alignment horizontal="left" vertical="center"/>
      <protection hidden="1"/>
    </xf>
    <xf numFmtId="0" fontId="5" fillId="0" borderId="0" xfId="0" quotePrefix="1" applyFont="1" applyAlignment="1" applyProtection="1">
      <alignment vertical="center"/>
      <protection hidden="1"/>
    </xf>
    <xf numFmtId="0" fontId="5" fillId="0" borderId="0" xfId="0" applyFont="1" applyProtection="1">
      <protection hidden="1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1" fillId="4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quotePrefix="1" applyProtection="1">
      <protection locked="0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 vertical="center"/>
      <protection hidden="1"/>
    </xf>
    <xf numFmtId="0" fontId="9" fillId="12" borderId="4" xfId="0" applyFont="1" applyFill="1" applyBorder="1" applyAlignment="1" applyProtection="1">
      <alignment horizontal="left" vertical="center" wrapText="1"/>
      <protection locked="0"/>
    </xf>
    <xf numFmtId="0" fontId="8" fillId="12" borderId="4" xfId="0" applyFont="1" applyFill="1" applyBorder="1" applyAlignment="1" applyProtection="1">
      <alignment horizontal="left" vertical="top" wrapText="1"/>
      <protection locked="0"/>
    </xf>
    <xf numFmtId="165" fontId="6" fillId="0" borderId="0" xfId="1" applyNumberFormat="1" applyFont="1" applyFill="1" applyBorder="1" applyAlignment="1" applyProtection="1">
      <alignment horizontal="center" vertical="center" wrapText="1"/>
      <protection hidden="1"/>
    </xf>
    <xf numFmtId="0" fontId="32" fillId="47" borderId="15" xfId="0" applyFont="1" applyFill="1" applyBorder="1" applyAlignment="1">
      <alignment horizontal="left" vertical="center" wrapText="1"/>
    </xf>
    <xf numFmtId="0" fontId="0" fillId="47" borderId="15" xfId="0" applyFill="1" applyBorder="1" applyAlignment="1">
      <alignment horizontal="right" vertical="center" wrapText="1"/>
    </xf>
    <xf numFmtId="0" fontId="32" fillId="47" borderId="15" xfId="0" applyFont="1" applyFill="1" applyBorder="1" applyAlignment="1">
      <alignment horizontal="right" vertical="center" wrapText="1"/>
    </xf>
    <xf numFmtId="0" fontId="0" fillId="0" borderId="0" xfId="0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9" fillId="12" borderId="4" xfId="0" applyFont="1" applyFill="1" applyBorder="1" applyAlignment="1" applyProtection="1">
      <alignment vertical="center" wrapText="1"/>
      <protection locked="0"/>
    </xf>
    <xf numFmtId="0" fontId="9" fillId="12" borderId="4" xfId="0" applyFont="1" applyFill="1" applyBorder="1" applyAlignment="1" applyProtection="1">
      <alignment horizontal="center" vertical="center" wrapText="1"/>
      <protection locked="0"/>
    </xf>
    <xf numFmtId="0" fontId="8" fillId="12" borderId="4" xfId="0" applyFont="1" applyFill="1" applyBorder="1" applyAlignment="1" applyProtection="1">
      <alignment horizontal="center" vertical="top" wrapText="1"/>
      <protection locked="0"/>
    </xf>
    <xf numFmtId="0" fontId="5" fillId="0" borderId="0" xfId="0" applyFont="1" applyAlignment="1" applyProtection="1">
      <alignment horizontal="center"/>
      <protection locked="0"/>
    </xf>
    <xf numFmtId="0" fontId="34" fillId="12" borderId="14" xfId="0" applyFont="1" applyFill="1" applyBorder="1" applyProtection="1">
      <protection locked="0"/>
    </xf>
    <xf numFmtId="164" fontId="26" fillId="0" borderId="0" xfId="0" applyNumberFormat="1" applyFont="1" applyAlignment="1" applyProtection="1">
      <alignment horizontal="right" vertical="center"/>
      <protection hidden="1"/>
    </xf>
    <xf numFmtId="0" fontId="0" fillId="48" borderId="0" xfId="0" applyFill="1"/>
    <xf numFmtId="164" fontId="5" fillId="0" borderId="0" xfId="0" applyNumberFormat="1" applyFont="1" applyProtection="1">
      <protection hidden="1"/>
    </xf>
    <xf numFmtId="0" fontId="1" fillId="0" borderId="0" xfId="0" applyFont="1" applyProtection="1">
      <protection locked="0"/>
    </xf>
    <xf numFmtId="2" fontId="5" fillId="0" borderId="0" xfId="0" applyNumberFormat="1" applyFont="1" applyAlignment="1" applyProtection="1">
      <alignment horizontal="right" vertical="center"/>
      <protection hidden="1"/>
    </xf>
    <xf numFmtId="0" fontId="0" fillId="11" borderId="16" xfId="0" applyFill="1" applyBorder="1" applyProtection="1">
      <protection locked="0"/>
    </xf>
    <xf numFmtId="0" fontId="0" fillId="11" borderId="16" xfId="0" applyFill="1" applyBorder="1" applyAlignment="1" applyProtection="1">
      <alignment horizontal="center" vertical="center"/>
      <protection locked="0"/>
    </xf>
    <xf numFmtId="0" fontId="0" fillId="11" borderId="16" xfId="0" applyFill="1" applyBorder="1" applyAlignment="1" applyProtection="1">
      <alignment horizontal="center"/>
      <protection locked="0"/>
    </xf>
    <xf numFmtId="165" fontId="0" fillId="11" borderId="16" xfId="0" applyNumberFormat="1" applyFill="1" applyBorder="1" applyAlignment="1" applyProtection="1">
      <alignment horizontal="right"/>
      <protection locked="0"/>
    </xf>
    <xf numFmtId="0" fontId="0" fillId="11" borderId="16" xfId="0" applyFill="1" applyBorder="1" applyAlignment="1" applyProtection="1">
      <alignment horizontal="right"/>
      <protection locked="0"/>
    </xf>
    <xf numFmtId="0" fontId="0" fillId="7" borderId="17" xfId="0" applyFill="1" applyBorder="1" applyProtection="1">
      <protection locked="0"/>
    </xf>
    <xf numFmtId="0" fontId="0" fillId="7" borderId="18" xfId="0" applyFill="1" applyBorder="1" applyProtection="1">
      <protection locked="0"/>
    </xf>
    <xf numFmtId="0" fontId="0" fillId="7" borderId="19" xfId="0" applyFill="1" applyBorder="1" applyProtection="1">
      <protection locked="0"/>
    </xf>
    <xf numFmtId="0" fontId="38" fillId="13" borderId="3" xfId="0" applyFont="1" applyFill="1" applyBorder="1" applyAlignment="1" applyProtection="1">
      <alignment horizontal="center" vertical="center"/>
      <protection locked="0"/>
    </xf>
    <xf numFmtId="0" fontId="12" fillId="14" borderId="20" xfId="0" applyFont="1" applyFill="1" applyBorder="1" applyAlignment="1">
      <alignment horizontal="center" vertical="center"/>
    </xf>
    <xf numFmtId="0" fontId="1" fillId="49" borderId="1" xfId="0" applyFont="1" applyFill="1" applyBorder="1" applyProtection="1">
      <protection locked="0"/>
    </xf>
    <xf numFmtId="165" fontId="5" fillId="0" borderId="0" xfId="0" quotePrefix="1" applyNumberFormat="1" applyFont="1" applyAlignment="1" applyProtection="1">
      <alignment horizontal="center" vertical="center"/>
      <protection hidden="1"/>
    </xf>
    <xf numFmtId="0" fontId="31" fillId="7" borderId="1" xfId="0" applyFont="1" applyFill="1" applyBorder="1" applyProtection="1">
      <protection locked="0"/>
    </xf>
    <xf numFmtId="0" fontId="12" fillId="49" borderId="21" xfId="0" applyFont="1" applyFill="1" applyBorder="1" applyAlignment="1">
      <alignment horizontal="center" vertical="center"/>
    </xf>
    <xf numFmtId="0" fontId="11" fillId="14" borderId="1" xfId="0" applyFont="1" applyFill="1" applyBorder="1" applyAlignment="1" applyProtection="1">
      <alignment horizontal="center" vertical="center"/>
      <protection hidden="1"/>
    </xf>
    <xf numFmtId="0" fontId="11" fillId="15" borderId="1" xfId="0" applyFont="1" applyFill="1" applyBorder="1" applyAlignment="1" applyProtection="1">
      <alignment horizontal="center" vertical="center"/>
      <protection hidden="1"/>
    </xf>
    <xf numFmtId="0" fontId="12" fillId="49" borderId="25" xfId="0" applyFont="1" applyFill="1" applyBorder="1" applyAlignment="1">
      <alignment horizontal="center" vertical="center"/>
    </xf>
    <xf numFmtId="0" fontId="12" fillId="49" borderId="26" xfId="0" applyFont="1" applyFill="1" applyBorder="1" applyAlignment="1">
      <alignment horizontal="center" vertical="center"/>
    </xf>
    <xf numFmtId="0" fontId="10" fillId="8" borderId="27" xfId="0" applyFont="1" applyFill="1" applyBorder="1" applyAlignment="1" applyProtection="1">
      <alignment horizontal="center" vertical="center"/>
      <protection hidden="1"/>
    </xf>
    <xf numFmtId="0" fontId="10" fillId="4" borderId="27" xfId="0" applyFont="1" applyFill="1" applyBorder="1" applyAlignment="1" applyProtection="1">
      <alignment horizontal="center" vertical="center"/>
      <protection hidden="1"/>
    </xf>
    <xf numFmtId="0" fontId="0" fillId="49" borderId="28" xfId="0" applyFill="1" applyBorder="1" applyProtection="1">
      <protection locked="0"/>
    </xf>
    <xf numFmtId="0" fontId="41" fillId="49" borderId="29" xfId="0" applyFont="1" applyFill="1" applyBorder="1" applyAlignment="1">
      <alignment vertical="center" wrapText="1"/>
    </xf>
    <xf numFmtId="0" fontId="41" fillId="49" borderId="0" xfId="0" applyFont="1" applyFill="1" applyAlignment="1">
      <alignment horizontal="left" vertical="center"/>
    </xf>
    <xf numFmtId="0" fontId="41" fillId="49" borderId="0" xfId="0" applyFont="1" applyFill="1" applyAlignment="1">
      <alignment vertical="center" wrapText="1"/>
    </xf>
    <xf numFmtId="0" fontId="0" fillId="49" borderId="30" xfId="0" applyFill="1" applyBorder="1" applyProtection="1">
      <protection locked="0"/>
    </xf>
    <xf numFmtId="0" fontId="12" fillId="49" borderId="29" xfId="0" applyFont="1" applyFill="1" applyBorder="1" applyAlignment="1">
      <alignment horizontal="center" vertical="center"/>
    </xf>
    <xf numFmtId="0" fontId="12" fillId="49" borderId="0" xfId="0" applyFont="1" applyFill="1" applyAlignment="1">
      <alignment horizontal="center" vertical="center"/>
    </xf>
    <xf numFmtId="0" fontId="42" fillId="13" borderId="23" xfId="0" applyFont="1" applyFill="1" applyBorder="1" applyAlignment="1">
      <alignment vertical="center" wrapText="1"/>
    </xf>
    <xf numFmtId="0" fontId="42" fillId="13" borderId="24" xfId="0" applyFont="1" applyFill="1" applyBorder="1" applyAlignment="1">
      <alignment vertical="center" wrapText="1"/>
    </xf>
    <xf numFmtId="0" fontId="42" fillId="13" borderId="22" xfId="0" applyFont="1" applyFill="1" applyBorder="1" applyAlignment="1">
      <alignment vertical="center" wrapText="1"/>
    </xf>
    <xf numFmtId="0" fontId="43" fillId="7" borderId="24" xfId="0" applyFont="1" applyFill="1" applyBorder="1" applyAlignment="1">
      <alignment vertical="top" wrapText="1"/>
    </xf>
    <xf numFmtId="0" fontId="1" fillId="2" borderId="1" xfId="0" applyFont="1" applyFill="1" applyBorder="1" applyAlignment="1" applyProtection="1">
      <alignment horizontal="center" vertical="center"/>
      <protection hidden="1"/>
    </xf>
    <xf numFmtId="0" fontId="1" fillId="3" borderId="1" xfId="0" applyFont="1" applyFill="1" applyBorder="1" applyAlignment="1" applyProtection="1">
      <alignment horizontal="center" vertical="center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1" fillId="5" borderId="1" xfId="0" applyFont="1" applyFill="1" applyBorder="1" applyAlignment="1" applyProtection="1">
      <alignment horizontal="center" vertical="center"/>
      <protection hidden="1"/>
    </xf>
    <xf numFmtId="0" fontId="1" fillId="5" borderId="1" xfId="0" applyFont="1" applyFill="1" applyBorder="1" applyAlignment="1" applyProtection="1">
      <alignment horizontal="center" vertical="center" wrapText="1"/>
      <protection hidden="1"/>
    </xf>
    <xf numFmtId="0" fontId="0" fillId="0" borderId="0" xfId="0" quotePrefix="1" applyAlignment="1" applyProtection="1">
      <alignment horizontal="center" vertical="center"/>
      <protection hidden="1"/>
    </xf>
    <xf numFmtId="0" fontId="0" fillId="50" borderId="1" xfId="0" applyFill="1" applyBorder="1" applyAlignment="1" applyProtection="1">
      <alignment horizontal="center" vertical="center"/>
      <protection hidden="1"/>
    </xf>
    <xf numFmtId="0" fontId="2" fillId="7" borderId="1" xfId="0" quotePrefix="1" applyFont="1" applyFill="1" applyBorder="1" applyAlignment="1" applyProtection="1">
      <alignment horizontal="left"/>
      <protection hidden="1"/>
    </xf>
    <xf numFmtId="0" fontId="0" fillId="11" borderId="1" xfId="0" applyFill="1" applyBorder="1" applyAlignment="1" applyProtection="1">
      <alignment horizontal="left"/>
      <protection locked="0"/>
    </xf>
    <xf numFmtId="0" fontId="0" fillId="11" borderId="1" xfId="0" applyFill="1" applyBorder="1" applyAlignment="1" applyProtection="1">
      <alignment horizontal="left" vertical="center"/>
      <protection locked="0"/>
    </xf>
    <xf numFmtId="0" fontId="0" fillId="7" borderId="3" xfId="0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hidden="1"/>
    </xf>
    <xf numFmtId="0" fontId="45" fillId="7" borderId="14" xfId="0" applyFont="1" applyFill="1" applyBorder="1"/>
    <xf numFmtId="0" fontId="0" fillId="50" borderId="1" xfId="0" quotePrefix="1" applyFill="1" applyBorder="1" applyAlignment="1" applyProtection="1">
      <alignment horizontal="center" vertical="center"/>
      <protection hidden="1"/>
    </xf>
    <xf numFmtId="0" fontId="0" fillId="7" borderId="22" xfId="0" applyFill="1" applyBorder="1" applyProtection="1">
      <protection locked="0"/>
    </xf>
    <xf numFmtId="0" fontId="0" fillId="7" borderId="23" xfId="0" applyFill="1" applyBorder="1" applyProtection="1">
      <protection locked="0"/>
    </xf>
    <xf numFmtId="0" fontId="0" fillId="7" borderId="24" xfId="0" applyFill="1" applyBorder="1" applyProtection="1">
      <protection locked="0"/>
    </xf>
    <xf numFmtId="0" fontId="7" fillId="7" borderId="22" xfId="0" applyFont="1" applyFill="1" applyBorder="1" applyAlignment="1" applyProtection="1">
      <alignment horizontal="center" vertical="center" wrapText="1"/>
      <protection locked="0"/>
    </xf>
    <xf numFmtId="0" fontId="7" fillId="7" borderId="23" xfId="0" applyFont="1" applyFill="1" applyBorder="1" applyAlignment="1" applyProtection="1">
      <alignment horizontal="center" vertical="center" wrapText="1"/>
      <protection locked="0"/>
    </xf>
    <xf numFmtId="0" fontId="7" fillId="7" borderId="24" xfId="0" applyFont="1" applyFill="1" applyBorder="1" applyAlignment="1" applyProtection="1">
      <alignment horizontal="center" vertical="center" wrapText="1"/>
      <protection locked="0"/>
    </xf>
    <xf numFmtId="0" fontId="29" fillId="7" borderId="14" xfId="0" applyFont="1" applyFill="1" applyBorder="1" applyAlignment="1">
      <alignment horizontal="center"/>
    </xf>
    <xf numFmtId="0" fontId="46" fillId="7" borderId="22" xfId="0" applyFont="1" applyFill="1" applyBorder="1" applyAlignment="1">
      <alignment horizontal="left" vertical="top" wrapText="1"/>
    </xf>
    <xf numFmtId="0" fontId="46" fillId="7" borderId="23" xfId="0" applyFont="1" applyFill="1" applyBorder="1" applyAlignment="1">
      <alignment vertical="top" wrapText="1"/>
    </xf>
    <xf numFmtId="0" fontId="0" fillId="7" borderId="23" xfId="0" applyFill="1" applyBorder="1"/>
    <xf numFmtId="0" fontId="46" fillId="7" borderId="23" xfId="0" applyFont="1" applyFill="1" applyBorder="1" applyAlignment="1">
      <alignment horizontal="left" vertical="top" wrapText="1"/>
    </xf>
    <xf numFmtId="0" fontId="40" fillId="7" borderId="22" xfId="0" applyFont="1" applyFill="1" applyBorder="1" applyAlignment="1">
      <alignment horizontal="center" vertical="center" wrapText="1"/>
    </xf>
    <xf numFmtId="0" fontId="40" fillId="7" borderId="23" xfId="0" applyFont="1" applyFill="1" applyBorder="1" applyAlignment="1">
      <alignment horizontal="center" vertical="center" wrapText="1"/>
    </xf>
    <xf numFmtId="0" fontId="40" fillId="7" borderId="24" xfId="0" applyFont="1" applyFill="1" applyBorder="1" applyAlignment="1">
      <alignment horizontal="center" vertical="center" wrapText="1"/>
    </xf>
    <xf numFmtId="0" fontId="34" fillId="7" borderId="22" xfId="0" applyFont="1" applyFill="1" applyBorder="1" applyProtection="1">
      <protection locked="0"/>
    </xf>
    <xf numFmtId="0" fontId="34" fillId="7" borderId="23" xfId="0" applyFont="1" applyFill="1" applyBorder="1" applyProtection="1">
      <protection locked="0"/>
    </xf>
    <xf numFmtId="0" fontId="34" fillId="7" borderId="24" xfId="0" applyFont="1" applyFill="1" applyBorder="1" applyProtection="1">
      <protection locked="0"/>
    </xf>
    <xf numFmtId="0" fontId="28" fillId="7" borderId="22" xfId="0" applyFont="1" applyFill="1" applyBorder="1" applyAlignment="1">
      <alignment wrapText="1"/>
    </xf>
    <xf numFmtId="0" fontId="28" fillId="7" borderId="23" xfId="0" applyFont="1" applyFill="1" applyBorder="1" applyAlignment="1">
      <alignment wrapText="1"/>
    </xf>
    <xf numFmtId="0" fontId="28" fillId="7" borderId="24" xfId="0" applyFont="1" applyFill="1" applyBorder="1" applyAlignment="1">
      <alignment wrapText="1"/>
    </xf>
    <xf numFmtId="0" fontId="8" fillId="7" borderId="22" xfId="0" applyFont="1" applyFill="1" applyBorder="1" applyAlignment="1">
      <alignment horizontal="left" vertical="center" wrapText="1"/>
    </xf>
    <xf numFmtId="0" fontId="8" fillId="7" borderId="23" xfId="0" applyFont="1" applyFill="1" applyBorder="1" applyAlignment="1">
      <alignment horizontal="left" vertical="top" wrapText="1"/>
    </xf>
    <xf numFmtId="0" fontId="8" fillId="7" borderId="23" xfId="0" applyFont="1" applyFill="1" applyBorder="1" applyAlignment="1">
      <alignment horizontal="left" vertical="center" wrapText="1"/>
    </xf>
    <xf numFmtId="0" fontId="8" fillId="7" borderId="24" xfId="0" applyFont="1" applyFill="1" applyBorder="1" applyAlignment="1">
      <alignment horizontal="left" vertical="center" wrapText="1"/>
    </xf>
    <xf numFmtId="0" fontId="35" fillId="7" borderId="22" xfId="0" applyFont="1" applyFill="1" applyBorder="1" applyAlignment="1" applyProtection="1">
      <alignment horizontal="center" vertical="center"/>
      <protection locked="0"/>
    </xf>
    <xf numFmtId="0" fontId="35" fillId="7" borderId="23" xfId="0" applyFont="1" applyFill="1" applyBorder="1" applyAlignment="1" applyProtection="1">
      <alignment horizontal="center" vertical="center"/>
      <protection locked="0"/>
    </xf>
    <xf numFmtId="0" fontId="35" fillId="7" borderId="24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10" fillId="13" borderId="27" xfId="0" applyFont="1" applyFill="1" applyBorder="1" applyAlignment="1" applyProtection="1">
      <alignment horizontal="center" vertical="center"/>
      <protection hidden="1"/>
    </xf>
    <xf numFmtId="0" fontId="11" fillId="49" borderId="1" xfId="0" applyFont="1" applyFill="1" applyBorder="1" applyAlignment="1" applyProtection="1">
      <alignment horizontal="center" vertical="center"/>
      <protection hidden="1"/>
    </xf>
    <xf numFmtId="2" fontId="47" fillId="0" borderId="0" xfId="0" applyNumberFormat="1" applyFont="1" applyAlignment="1" applyProtection="1">
      <alignment horizontal="right" vertical="center"/>
      <protection hidden="1"/>
    </xf>
    <xf numFmtId="164" fontId="47" fillId="0" borderId="0" xfId="0" applyNumberFormat="1" applyFont="1" applyAlignment="1" applyProtection="1">
      <alignment horizontal="right" vertical="center"/>
      <protection hidden="1"/>
    </xf>
    <xf numFmtId="0" fontId="0" fillId="51" borderId="22" xfId="0" applyFill="1" applyBorder="1" applyAlignment="1" applyProtection="1">
      <alignment horizontal="center"/>
      <protection locked="0"/>
    </xf>
    <xf numFmtId="0" fontId="0" fillId="51" borderId="23" xfId="0" applyFill="1" applyBorder="1" applyAlignment="1" applyProtection="1">
      <alignment horizontal="center"/>
      <protection locked="0"/>
    </xf>
    <xf numFmtId="0" fontId="0" fillId="51" borderId="24" xfId="0" applyFill="1" applyBorder="1" applyAlignment="1" applyProtection="1">
      <alignment horizontal="center"/>
      <protection locked="0"/>
    </xf>
    <xf numFmtId="164" fontId="5" fillId="0" borderId="0" xfId="0" applyNumberFormat="1" applyFont="1" applyAlignment="1" applyProtection="1">
      <alignment horizontal="center" vertical="center"/>
      <protection hidden="1"/>
    </xf>
    <xf numFmtId="0" fontId="5" fillId="0" borderId="0" xfId="0" quotePrefix="1" applyFont="1" applyAlignment="1" applyProtection="1">
      <alignment horizontal="center" vertical="center"/>
      <protection hidden="1"/>
    </xf>
    <xf numFmtId="0" fontId="0" fillId="7" borderId="0" xfId="0" applyFill="1" applyProtection="1">
      <protection locked="0"/>
    </xf>
    <xf numFmtId="0" fontId="48" fillId="7" borderId="3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vertical="center"/>
      <protection hidden="1"/>
    </xf>
    <xf numFmtId="165" fontId="26" fillId="0" borderId="0" xfId="0" applyNumberFormat="1" applyFont="1" applyAlignment="1" applyProtection="1">
      <alignment horizontal="center" vertical="center"/>
      <protection hidden="1"/>
    </xf>
    <xf numFmtId="0" fontId="26" fillId="0" borderId="0" xfId="0" applyFont="1" applyAlignment="1" applyProtection="1">
      <alignment horizontal="center" vertical="center"/>
      <protection hidden="1"/>
    </xf>
    <xf numFmtId="1" fontId="49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26" fillId="0" borderId="0" xfId="0" quotePrefix="1" applyNumberFormat="1" applyFont="1" applyAlignment="1" applyProtection="1">
      <alignment vertical="center"/>
      <protection hidden="1"/>
    </xf>
    <xf numFmtId="0" fontId="26" fillId="0" borderId="0" xfId="0" quotePrefix="1" applyFont="1" applyAlignment="1" applyProtection="1">
      <alignment vertical="center"/>
      <protection hidden="1"/>
    </xf>
    <xf numFmtId="0" fontId="50" fillId="0" borderId="0" xfId="0" applyFont="1" applyAlignment="1" applyProtection="1">
      <alignment vertical="center"/>
      <protection hidden="1"/>
    </xf>
    <xf numFmtId="165" fontId="50" fillId="0" borderId="0" xfId="0" applyNumberFormat="1" applyFont="1" applyAlignment="1" applyProtection="1">
      <alignment horizontal="center" vertical="center"/>
      <protection hidden="1"/>
    </xf>
    <xf numFmtId="0" fontId="50" fillId="0" borderId="0" xfId="0" applyFont="1" applyAlignment="1" applyProtection="1">
      <alignment horizontal="center" vertical="center"/>
      <protection hidden="1"/>
    </xf>
    <xf numFmtId="164" fontId="50" fillId="0" borderId="0" xfId="0" applyNumberFormat="1" applyFont="1" applyAlignment="1" applyProtection="1">
      <alignment horizontal="right" vertical="center"/>
      <protection hidden="1"/>
    </xf>
    <xf numFmtId="1" fontId="51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50" fillId="0" borderId="0" xfId="0" quotePrefix="1" applyNumberFormat="1" applyFont="1" applyAlignment="1" applyProtection="1">
      <alignment horizontal="center" vertical="center"/>
      <protection hidden="1"/>
    </xf>
    <xf numFmtId="165" fontId="50" fillId="0" borderId="0" xfId="0" quotePrefix="1" applyNumberFormat="1" applyFont="1" applyAlignment="1" applyProtection="1">
      <alignment vertical="center"/>
      <protection hidden="1"/>
    </xf>
    <xf numFmtId="165" fontId="50" fillId="0" borderId="0" xfId="0" applyNumberFormat="1" applyFont="1" applyAlignment="1" applyProtection="1">
      <alignment horizontal="left" vertical="center"/>
      <protection hidden="1"/>
    </xf>
    <xf numFmtId="0" fontId="50" fillId="0" borderId="0" xfId="0" quotePrefix="1" applyFont="1" applyAlignment="1" applyProtection="1">
      <alignment vertical="center"/>
      <protection hidden="1"/>
    </xf>
    <xf numFmtId="0" fontId="1" fillId="7" borderId="23" xfId="0" applyFont="1" applyFill="1" applyBorder="1" applyProtection="1">
      <protection locked="0"/>
    </xf>
    <xf numFmtId="0" fontId="26" fillId="0" borderId="0" xfId="0" applyFont="1" applyAlignment="1" applyProtection="1">
      <alignment horizontal="left" vertical="center"/>
      <protection hidden="1"/>
    </xf>
    <xf numFmtId="0" fontId="54" fillId="7" borderId="32" xfId="0" applyFont="1" applyFill="1" applyBorder="1" applyAlignment="1">
      <alignment horizontal="center" vertical="top" wrapText="1"/>
    </xf>
    <xf numFmtId="0" fontId="54" fillId="7" borderId="32" xfId="0" applyFont="1" applyFill="1" applyBorder="1" applyAlignment="1">
      <alignment horizontal="left" vertical="top" wrapText="1" indent="6"/>
    </xf>
    <xf numFmtId="0" fontId="54" fillId="7" borderId="32" xfId="0" applyFont="1" applyFill="1" applyBorder="1" applyAlignment="1">
      <alignment horizontal="left" vertical="top" wrapText="1" indent="2"/>
    </xf>
    <xf numFmtId="0" fontId="54" fillId="7" borderId="32" xfId="0" applyFont="1" applyFill="1" applyBorder="1" applyAlignment="1">
      <alignment horizontal="left" vertical="top" wrapText="1" indent="3"/>
    </xf>
    <xf numFmtId="0" fontId="55" fillId="7" borderId="17" xfId="0" applyFont="1" applyFill="1" applyBorder="1" applyAlignment="1">
      <alignment horizontal="left" vertical="center" wrapText="1"/>
    </xf>
    <xf numFmtId="0" fontId="55" fillId="7" borderId="18" xfId="0" applyFont="1" applyFill="1" applyBorder="1" applyAlignment="1">
      <alignment horizontal="center" vertical="center" wrapText="1"/>
    </xf>
    <xf numFmtId="0" fontId="55" fillId="7" borderId="18" xfId="0" applyFont="1" applyFill="1" applyBorder="1" applyAlignment="1">
      <alignment horizontal="left" vertical="center" wrapText="1"/>
    </xf>
    <xf numFmtId="0" fontId="55" fillId="7" borderId="19" xfId="0" applyFont="1" applyFill="1" applyBorder="1" applyAlignment="1">
      <alignment horizontal="left" vertical="center" wrapText="1"/>
    </xf>
    <xf numFmtId="0" fontId="47" fillId="0" borderId="0" xfId="0" applyFont="1" applyAlignment="1" applyProtection="1">
      <alignment vertical="center"/>
      <protection hidden="1"/>
    </xf>
    <xf numFmtId="165" fontId="47" fillId="0" borderId="0" xfId="0" applyNumberFormat="1" applyFont="1" applyAlignment="1" applyProtection="1">
      <alignment horizontal="center" vertical="center"/>
      <protection hidden="1"/>
    </xf>
    <xf numFmtId="0" fontId="47" fillId="0" borderId="0" xfId="0" applyFont="1" applyAlignment="1" applyProtection="1">
      <alignment horizontal="center" vertical="center"/>
      <protection hidden="1"/>
    </xf>
    <xf numFmtId="1" fontId="57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47" fillId="0" borderId="0" xfId="0" quotePrefix="1" applyNumberFormat="1" applyFont="1" applyAlignment="1" applyProtection="1">
      <alignment vertical="center"/>
      <protection hidden="1"/>
    </xf>
    <xf numFmtId="0" fontId="47" fillId="0" borderId="0" xfId="0" applyFont="1" applyAlignment="1" applyProtection="1">
      <alignment horizontal="left" vertical="center"/>
      <protection hidden="1"/>
    </xf>
    <xf numFmtId="0" fontId="47" fillId="0" borderId="0" xfId="0" quotePrefix="1" applyFont="1" applyAlignment="1" applyProtection="1">
      <alignment vertical="center"/>
      <protection hidden="1"/>
    </xf>
    <xf numFmtId="0" fontId="54" fillId="7" borderId="31" xfId="0" applyFont="1" applyFill="1" applyBorder="1" applyAlignment="1">
      <alignment horizontal="left" vertical="top" wrapText="1"/>
    </xf>
    <xf numFmtId="0" fontId="54" fillId="7" borderId="31" xfId="0" applyFont="1" applyFill="1" applyBorder="1" applyAlignment="1">
      <alignment horizontal="right" vertical="top" wrapText="1"/>
    </xf>
    <xf numFmtId="165" fontId="47" fillId="0" borderId="0" xfId="0" applyNumberFormat="1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left" vertical="top"/>
      <protection locked="0"/>
    </xf>
    <xf numFmtId="0" fontId="1" fillId="0" borderId="0" xfId="0" applyFont="1"/>
    <xf numFmtId="0" fontId="58" fillId="13" borderId="33" xfId="0" applyFont="1" applyFill="1" applyBorder="1" applyAlignment="1">
      <alignment horizontal="center" vertical="top" wrapText="1"/>
    </xf>
    <xf numFmtId="0" fontId="58" fillId="13" borderId="34" xfId="0" applyFont="1" applyFill="1" applyBorder="1" applyAlignment="1">
      <alignment horizontal="left" vertical="top" wrapText="1" indent="2"/>
    </xf>
    <xf numFmtId="0" fontId="0" fillId="13" borderId="34" xfId="0" applyFill="1" applyBorder="1" applyAlignment="1">
      <alignment horizontal="left" vertical="center" wrapText="1"/>
    </xf>
    <xf numFmtId="0" fontId="58" fillId="13" borderId="34" xfId="0" applyFont="1" applyFill="1" applyBorder="1" applyAlignment="1">
      <alignment horizontal="left" vertical="top" wrapText="1" indent="3"/>
    </xf>
    <xf numFmtId="0" fontId="58" fillId="13" borderId="34" xfId="0" applyFont="1" applyFill="1" applyBorder="1" applyAlignment="1">
      <alignment horizontal="left" vertical="top" wrapText="1" indent="5"/>
    </xf>
    <xf numFmtId="0" fontId="58" fillId="13" borderId="34" xfId="0" applyFont="1" applyFill="1" applyBorder="1" applyAlignment="1">
      <alignment horizontal="center" vertical="top" wrapText="1"/>
    </xf>
    <xf numFmtId="0" fontId="58" fillId="13" borderId="35" xfId="0" applyFont="1" applyFill="1" applyBorder="1" applyAlignment="1">
      <alignment horizontal="right" vertical="top" wrapText="1" indent="3"/>
    </xf>
    <xf numFmtId="0" fontId="60" fillId="7" borderId="36" xfId="0" applyFont="1" applyFill="1" applyBorder="1" applyAlignment="1">
      <alignment horizontal="center" vertical="top" wrapText="1"/>
    </xf>
    <xf numFmtId="0" fontId="60" fillId="7" borderId="36" xfId="0" applyFont="1" applyFill="1" applyBorder="1" applyAlignment="1">
      <alignment horizontal="left" vertical="top" wrapText="1" indent="1"/>
    </xf>
    <xf numFmtId="0" fontId="60" fillId="7" borderId="36" xfId="0" applyFont="1" applyFill="1" applyBorder="1" applyAlignment="1">
      <alignment horizontal="left" vertical="top" wrapText="1" indent="2"/>
    </xf>
    <xf numFmtId="0" fontId="61" fillId="52" borderId="1" xfId="0" applyFont="1" applyFill="1" applyBorder="1" applyAlignment="1">
      <alignment horizontal="center" vertical="top" wrapText="1"/>
    </xf>
    <xf numFmtId="0" fontId="61" fillId="52" borderId="1" xfId="0" applyFont="1" applyFill="1" applyBorder="1" applyAlignment="1">
      <alignment vertical="top" wrapText="1"/>
    </xf>
    <xf numFmtId="14" fontId="0" fillId="0" borderId="1" xfId="0" applyNumberFormat="1" applyBorder="1" applyAlignment="1" applyProtection="1">
      <alignment horizontal="center" vertical="center"/>
      <protection hidden="1"/>
    </xf>
    <xf numFmtId="14" fontId="2" fillId="7" borderId="1" xfId="0" quotePrefix="1" applyNumberFormat="1" applyFont="1" applyFill="1" applyBorder="1" applyAlignment="1" applyProtection="1">
      <alignment horizontal="left"/>
      <protection hidden="1"/>
    </xf>
    <xf numFmtId="14" fontId="0" fillId="11" borderId="16" xfId="0" applyNumberFormat="1" applyFill="1" applyBorder="1" applyAlignment="1" applyProtection="1">
      <alignment horizontal="center" vertical="center"/>
      <protection locked="0"/>
    </xf>
    <xf numFmtId="14" fontId="61" fillId="52" borderId="1" xfId="0" applyNumberFormat="1" applyFont="1" applyFill="1" applyBorder="1" applyAlignment="1">
      <alignment vertical="top" wrapText="1"/>
    </xf>
    <xf numFmtId="14" fontId="0" fillId="0" borderId="0" xfId="0" applyNumberFormat="1" applyProtection="1">
      <protection locked="0"/>
    </xf>
    <xf numFmtId="0" fontId="55" fillId="7" borderId="17" xfId="0" applyFont="1" applyFill="1" applyBorder="1" applyAlignment="1">
      <alignment horizontal="center" vertical="center" wrapText="1"/>
    </xf>
    <xf numFmtId="0" fontId="55" fillId="7" borderId="19" xfId="0" applyFont="1" applyFill="1" applyBorder="1" applyAlignment="1">
      <alignment horizontal="center" vertical="center" wrapText="1"/>
    </xf>
    <xf numFmtId="0" fontId="0" fillId="7" borderId="22" xfId="0" applyFill="1" applyBorder="1" applyAlignment="1" applyProtection="1">
      <alignment horizontal="center"/>
      <protection locked="0"/>
    </xf>
    <xf numFmtId="0" fontId="0" fillId="7" borderId="23" xfId="0" applyFill="1" applyBorder="1" applyAlignment="1" applyProtection="1">
      <alignment horizontal="center"/>
      <protection locked="0"/>
    </xf>
    <xf numFmtId="0" fontId="64" fillId="7" borderId="14" xfId="0" applyFont="1" applyFill="1" applyBorder="1" applyAlignment="1">
      <alignment horizontal="center" vertical="top" wrapText="1"/>
    </xf>
    <xf numFmtId="0" fontId="65" fillId="7" borderId="14" xfId="0" applyFont="1" applyFill="1" applyBorder="1" applyAlignment="1">
      <alignment horizontal="center" vertical="top" wrapText="1"/>
    </xf>
    <xf numFmtId="0" fontId="66" fillId="7" borderId="22" xfId="0" applyFont="1" applyFill="1" applyBorder="1" applyAlignment="1">
      <alignment horizontal="left" vertical="center" wrapText="1" indent="1"/>
    </xf>
    <xf numFmtId="0" fontId="66" fillId="7" borderId="23" xfId="0" applyFont="1" applyFill="1" applyBorder="1" applyAlignment="1">
      <alignment horizontal="left" vertical="center" wrapText="1"/>
    </xf>
    <xf numFmtId="0" fontId="66" fillId="7" borderId="23" xfId="0" applyFont="1" applyFill="1" applyBorder="1" applyAlignment="1">
      <alignment horizontal="right" vertical="center" wrapText="1" indent="1"/>
    </xf>
    <xf numFmtId="0" fontId="66" fillId="7" borderId="23" xfId="0" applyFont="1" applyFill="1" applyBorder="1" applyAlignment="1">
      <alignment horizontal="right" vertical="center" wrapText="1"/>
    </xf>
    <xf numFmtId="0" fontId="66" fillId="7" borderId="24" xfId="0" applyFont="1" applyFill="1" applyBorder="1" applyAlignment="1">
      <alignment horizontal="right" vertical="center" wrapText="1" indent="1"/>
    </xf>
    <xf numFmtId="0" fontId="0" fillId="11" borderId="16" xfId="0" applyFill="1" applyBorder="1" applyAlignment="1" applyProtection="1">
      <alignment horizontal="left"/>
      <protection locked="0"/>
    </xf>
    <xf numFmtId="0" fontId="0" fillId="11" borderId="16" xfId="0" applyFill="1" applyBorder="1" applyAlignment="1" applyProtection="1">
      <alignment horizontal="left" vertical="center"/>
      <protection locked="0"/>
    </xf>
    <xf numFmtId="0" fontId="67" fillId="53" borderId="22" xfId="0" applyFont="1" applyFill="1" applyBorder="1" applyAlignment="1">
      <alignment horizontal="center" vertical="center" wrapText="1"/>
    </xf>
    <xf numFmtId="0" fontId="67" fillId="53" borderId="23" xfId="0" applyFont="1" applyFill="1" applyBorder="1" applyAlignment="1">
      <alignment horizontal="center" vertical="center" wrapText="1"/>
    </xf>
    <xf numFmtId="0" fontId="67" fillId="53" borderId="24" xfId="0" applyFont="1" applyFill="1" applyBorder="1" applyAlignment="1">
      <alignment horizontal="center" vertical="center" wrapText="1"/>
    </xf>
    <xf numFmtId="0" fontId="60" fillId="13" borderId="22" xfId="0" applyFont="1" applyFill="1" applyBorder="1" applyAlignment="1">
      <alignment horizontal="center" vertical="center" wrapText="1"/>
    </xf>
    <xf numFmtId="0" fontId="60" fillId="13" borderId="23" xfId="0" applyFont="1" applyFill="1" applyBorder="1" applyAlignment="1">
      <alignment horizontal="center" vertical="center" wrapText="1"/>
    </xf>
    <xf numFmtId="0" fontId="60" fillId="13" borderId="24" xfId="0" applyFont="1" applyFill="1" applyBorder="1" applyAlignment="1">
      <alignment horizontal="center" vertical="center" wrapText="1"/>
    </xf>
    <xf numFmtId="0" fontId="68" fillId="13" borderId="22" xfId="0" applyFont="1" applyFill="1" applyBorder="1" applyAlignment="1">
      <alignment horizontal="center" vertical="top"/>
    </xf>
    <xf numFmtId="0" fontId="68" fillId="13" borderId="23" xfId="0" applyFont="1" applyFill="1" applyBorder="1" applyAlignment="1">
      <alignment horizontal="left" vertical="top"/>
    </xf>
    <xf numFmtId="0" fontId="68" fillId="13" borderId="23" xfId="0" applyFont="1" applyFill="1" applyBorder="1" applyAlignment="1">
      <alignment horizontal="center" vertical="top"/>
    </xf>
    <xf numFmtId="0" fontId="68" fillId="13" borderId="24" xfId="0" applyFont="1" applyFill="1" applyBorder="1" applyAlignment="1">
      <alignment horizontal="left" vertical="top"/>
    </xf>
    <xf numFmtId="0" fontId="54" fillId="13" borderId="22" xfId="0" applyFont="1" applyFill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4" xfId="0" applyFont="1" applyFill="1" applyBorder="1" applyAlignment="1">
      <alignment horizontal="center" vertical="center"/>
    </xf>
    <xf numFmtId="0" fontId="0" fillId="13" borderId="3" xfId="0" applyFill="1" applyBorder="1" applyAlignment="1" applyProtection="1">
      <alignment horizontal="center" vertical="center"/>
      <protection locked="0"/>
    </xf>
    <xf numFmtId="0" fontId="0" fillId="13" borderId="19" xfId="0" applyFill="1" applyBorder="1" applyProtection="1">
      <protection locked="0"/>
    </xf>
    <xf numFmtId="0" fontId="5" fillId="6" borderId="0" xfId="0" applyFont="1" applyFill="1" applyAlignment="1" applyProtection="1">
      <alignment vertical="center"/>
      <protection hidden="1"/>
    </xf>
    <xf numFmtId="165" fontId="5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164" fontId="5" fillId="6" borderId="0" xfId="0" applyNumberFormat="1" applyFont="1" applyFill="1" applyAlignment="1" applyProtection="1">
      <alignment horizontal="right" vertical="center"/>
      <protection hidden="1"/>
    </xf>
    <xf numFmtId="1" fontId="6" fillId="6" borderId="0" xfId="1" applyNumberFormat="1" applyFont="1" applyFill="1" applyBorder="1" applyAlignment="1" applyProtection="1">
      <alignment horizontal="center" vertical="center" wrapText="1"/>
      <protection hidden="1"/>
    </xf>
    <xf numFmtId="165" fontId="5" fillId="6" borderId="0" xfId="0" quotePrefix="1" applyNumberFormat="1" applyFont="1" applyFill="1" applyAlignment="1" applyProtection="1">
      <alignment vertical="center"/>
      <protection hidden="1"/>
    </xf>
    <xf numFmtId="0" fontId="5" fillId="6" borderId="0" xfId="0" applyFont="1" applyFill="1" applyAlignment="1" applyProtection="1">
      <alignment horizontal="left" vertical="center"/>
      <protection hidden="1"/>
    </xf>
    <xf numFmtId="0" fontId="5" fillId="6" borderId="0" xfId="0" quotePrefix="1" applyFont="1" applyFill="1" applyAlignment="1" applyProtection="1">
      <alignment vertical="center"/>
      <protection hidden="1"/>
    </xf>
    <xf numFmtId="0" fontId="70" fillId="7" borderId="23" xfId="0" applyFont="1" applyFill="1" applyBorder="1" applyAlignment="1">
      <alignment horizontal="center" vertical="center" wrapText="1"/>
    </xf>
    <xf numFmtId="0" fontId="70" fillId="7" borderId="23" xfId="0" applyFont="1" applyFill="1" applyBorder="1" applyAlignment="1">
      <alignment horizontal="left" vertical="center" wrapText="1"/>
    </xf>
    <xf numFmtId="0" fontId="70" fillId="7" borderId="24" xfId="0" applyFont="1" applyFill="1" applyBorder="1" applyAlignment="1">
      <alignment horizontal="center" vertical="center" wrapText="1"/>
    </xf>
    <xf numFmtId="166" fontId="0" fillId="0" borderId="1" xfId="0" applyNumberFormat="1" applyBorder="1" applyAlignment="1" applyProtection="1">
      <alignment horizontal="center" vertical="center"/>
      <protection hidden="1"/>
    </xf>
    <xf numFmtId="166" fontId="2" fillId="7" borderId="1" xfId="0" quotePrefix="1" applyNumberFormat="1" applyFont="1" applyFill="1" applyBorder="1" applyAlignment="1" applyProtection="1">
      <alignment horizontal="left"/>
      <protection hidden="1"/>
    </xf>
    <xf numFmtId="166" fontId="0" fillId="11" borderId="16" xfId="0" applyNumberFormat="1" applyFill="1" applyBorder="1" applyProtection="1">
      <protection locked="0"/>
    </xf>
    <xf numFmtId="166" fontId="70" fillId="7" borderId="22" xfId="0" applyNumberFormat="1" applyFont="1" applyFill="1" applyBorder="1" applyAlignment="1">
      <alignment horizontal="center" vertical="center" wrapText="1"/>
    </xf>
    <xf numFmtId="166" fontId="0" fillId="0" borderId="0" xfId="0" applyNumberFormat="1" applyProtection="1">
      <protection locked="0"/>
    </xf>
    <xf numFmtId="0" fontId="0" fillId="13" borderId="22" xfId="0" applyFill="1" applyBorder="1" applyProtection="1">
      <protection locked="0"/>
    </xf>
    <xf numFmtId="0" fontId="0" fillId="13" borderId="23" xfId="0" applyFill="1" applyBorder="1" applyProtection="1">
      <protection locked="0"/>
    </xf>
    <xf numFmtId="0" fontId="0" fillId="13" borderId="24" xfId="0" applyFill="1" applyBorder="1" applyProtection="1">
      <protection locked="0"/>
    </xf>
    <xf numFmtId="0" fontId="0" fillId="8" borderId="1" xfId="0" applyFill="1" applyBorder="1" applyProtection="1">
      <protection locked="0" hidden="1"/>
    </xf>
    <xf numFmtId="0" fontId="0" fillId="8" borderId="1" xfId="0" applyFill="1" applyBorder="1" applyAlignment="1" applyProtection="1">
      <alignment horizontal="center"/>
      <protection locked="0" hidden="1"/>
    </xf>
    <xf numFmtId="14" fontId="0" fillId="8" borderId="1" xfId="0" applyNumberFormat="1" applyFill="1" applyBorder="1" applyAlignment="1" applyProtection="1">
      <alignment horizontal="center"/>
      <protection locked="0" hidden="1"/>
    </xf>
    <xf numFmtId="0" fontId="0" fillId="4" borderId="29" xfId="0" applyFill="1" applyBorder="1" applyProtection="1">
      <protection locked="0"/>
    </xf>
    <xf numFmtId="0" fontId="0" fillId="4" borderId="30" xfId="0" applyFill="1" applyBorder="1" applyProtection="1">
      <protection locked="0"/>
    </xf>
    <xf numFmtId="0" fontId="0" fillId="4" borderId="30" xfId="0" applyFill="1" applyBorder="1"/>
    <xf numFmtId="0" fontId="0" fillId="8" borderId="41" xfId="0" applyFill="1" applyBorder="1" applyAlignment="1" applyProtection="1">
      <alignment vertical="center"/>
      <protection locked="0" hidden="1"/>
    </xf>
    <xf numFmtId="0" fontId="0" fillId="54" borderId="42" xfId="0" applyFill="1" applyBorder="1" applyAlignment="1" applyProtection="1">
      <alignment horizontal="center" vertical="center"/>
      <protection locked="0"/>
    </xf>
    <xf numFmtId="14" fontId="0" fillId="54" borderId="42" xfId="0" applyNumberFormat="1" applyFill="1" applyBorder="1" applyAlignment="1" applyProtection="1">
      <alignment horizontal="center" vertical="center"/>
      <protection locked="0"/>
    </xf>
    <xf numFmtId="0" fontId="0" fillId="15" borderId="25" xfId="0" applyFill="1" applyBorder="1"/>
    <xf numFmtId="0" fontId="0" fillId="15" borderId="26" xfId="0" applyFill="1" applyBorder="1"/>
    <xf numFmtId="0" fontId="0" fillId="15" borderId="28" xfId="0" applyFill="1" applyBorder="1"/>
    <xf numFmtId="0" fontId="0" fillId="15" borderId="29" xfId="0" applyFill="1" applyBorder="1" applyProtection="1">
      <protection locked="0"/>
    </xf>
    <xf numFmtId="0" fontId="0" fillId="15" borderId="0" xfId="0" applyFill="1" applyProtection="1">
      <protection locked="0"/>
    </xf>
    <xf numFmtId="0" fontId="0" fillId="15" borderId="30" xfId="0" applyFill="1" applyBorder="1" applyProtection="1">
      <protection locked="0"/>
    </xf>
    <xf numFmtId="0" fontId="54" fillId="7" borderId="31" xfId="44" applyFont="1" applyFill="1" applyBorder="1" applyAlignment="1">
      <alignment horizontal="center" vertical="center" wrapText="1"/>
    </xf>
    <xf numFmtId="0" fontId="54" fillId="7" borderId="33" xfId="44" applyFont="1" applyFill="1" applyBorder="1" applyAlignment="1">
      <alignment horizontal="center" vertical="center" wrapText="1"/>
    </xf>
    <xf numFmtId="0" fontId="54" fillId="7" borderId="35" xfId="44" applyFont="1" applyFill="1" applyBorder="1" applyAlignment="1">
      <alignment horizontal="center" vertical="center" wrapText="1"/>
    </xf>
    <xf numFmtId="0" fontId="10" fillId="49" borderId="47" xfId="0" applyFont="1" applyFill="1" applyBorder="1" applyAlignment="1">
      <alignment wrapText="1"/>
    </xf>
    <xf numFmtId="0" fontId="10" fillId="49" borderId="44" xfId="0" applyFont="1" applyFill="1" applyBorder="1" applyAlignment="1">
      <alignment vertical="top"/>
    </xf>
    <xf numFmtId="0" fontId="10" fillId="49" borderId="44" xfId="0" applyFont="1" applyFill="1" applyBorder="1" applyAlignment="1">
      <alignment horizontal="left" vertical="center"/>
    </xf>
    <xf numFmtId="0" fontId="41" fillId="7" borderId="46" xfId="0" applyFont="1" applyFill="1" applyBorder="1" applyAlignment="1">
      <alignment wrapText="1"/>
    </xf>
    <xf numFmtId="0" fontId="41" fillId="7" borderId="47" xfId="0" applyFont="1" applyFill="1" applyBorder="1" applyAlignment="1">
      <alignment horizontal="left"/>
    </xf>
    <xf numFmtId="0" fontId="41" fillId="7" borderId="50" xfId="0" applyFont="1" applyFill="1" applyBorder="1" applyAlignment="1">
      <alignment wrapText="1"/>
    </xf>
    <xf numFmtId="0" fontId="41" fillId="7" borderId="48" xfId="0" applyFont="1" applyFill="1" applyBorder="1" applyAlignment="1">
      <alignment vertical="top" wrapText="1"/>
    </xf>
    <xf numFmtId="0" fontId="41" fillId="7" borderId="49" xfId="0" applyFont="1" applyFill="1" applyBorder="1" applyAlignment="1">
      <alignment horizontal="left" vertical="top"/>
    </xf>
    <xf numFmtId="0" fontId="41" fillId="7" borderId="51" xfId="0" applyFont="1" applyFill="1" applyBorder="1" applyAlignment="1">
      <alignment vertical="top" wrapText="1"/>
    </xf>
    <xf numFmtId="0" fontId="0" fillId="15" borderId="43" xfId="0" applyFill="1" applyBorder="1" applyProtection="1">
      <protection locked="0"/>
    </xf>
    <xf numFmtId="0" fontId="0" fillId="15" borderId="44" xfId="0" applyFill="1" applyBorder="1" applyProtection="1">
      <protection locked="0"/>
    </xf>
    <xf numFmtId="0" fontId="0" fillId="15" borderId="45" xfId="0" applyFill="1" applyBorder="1" applyProtection="1">
      <protection locked="0"/>
    </xf>
    <xf numFmtId="0" fontId="29" fillId="53" borderId="22" xfId="0" applyFont="1" applyFill="1" applyBorder="1" applyAlignment="1" applyProtection="1">
      <alignment horizontal="center" vertical="center"/>
      <protection locked="0"/>
    </xf>
    <xf numFmtId="0" fontId="29" fillId="53" borderId="23" xfId="0" applyFont="1" applyFill="1" applyBorder="1" applyAlignment="1" applyProtection="1">
      <alignment horizontal="center" vertical="center"/>
      <protection locked="0"/>
    </xf>
    <xf numFmtId="0" fontId="29" fillId="53" borderId="52" xfId="0" applyFont="1" applyFill="1" applyBorder="1" applyAlignment="1" applyProtection="1">
      <alignment horizontal="center" vertical="center"/>
      <protection locked="0"/>
    </xf>
    <xf numFmtId="164" fontId="29" fillId="53" borderId="52" xfId="0" applyNumberFormat="1" applyFont="1" applyFill="1" applyBorder="1" applyAlignment="1" applyProtection="1">
      <alignment horizontal="center" vertical="center"/>
      <protection locked="0"/>
    </xf>
    <xf numFmtId="164" fontId="29" fillId="53" borderId="23" xfId="0" applyNumberFormat="1" applyFont="1" applyFill="1" applyBorder="1" applyAlignment="1" applyProtection="1">
      <alignment horizontal="center" vertical="center"/>
      <protection locked="0"/>
    </xf>
    <xf numFmtId="0" fontId="29" fillId="53" borderId="24" xfId="0" quotePrefix="1" applyFont="1" applyFill="1" applyBorder="1" applyAlignment="1" applyProtection="1">
      <alignment horizontal="center" vertical="center"/>
      <protection locked="0"/>
    </xf>
    <xf numFmtId="0" fontId="60" fillId="13" borderId="23" xfId="0" applyFont="1" applyFill="1" applyBorder="1" applyAlignment="1">
      <alignment horizontal="center" vertical="center" wrapText="1"/>
    </xf>
    <xf numFmtId="0" fontId="60" fillId="7" borderId="37" xfId="0" applyFont="1" applyFill="1" applyBorder="1" applyAlignment="1">
      <alignment horizontal="left" vertical="top" wrapText="1" indent="5"/>
    </xf>
    <xf numFmtId="0" fontId="60" fillId="7" borderId="38" xfId="0" applyFont="1" applyFill="1" applyBorder="1" applyAlignment="1">
      <alignment horizontal="left" vertical="top" wrapText="1" indent="5"/>
    </xf>
    <xf numFmtId="0" fontId="66" fillId="7" borderId="23" xfId="0" applyFont="1" applyFill="1" applyBorder="1" applyAlignment="1">
      <alignment horizontal="left" vertical="center" wrapText="1" indent="1"/>
    </xf>
    <xf numFmtId="0" fontId="66" fillId="7" borderId="23" xfId="0" applyFont="1" applyFill="1" applyBorder="1" applyAlignment="1">
      <alignment horizontal="left" vertical="center" wrapText="1"/>
    </xf>
    <xf numFmtId="0" fontId="8" fillId="7" borderId="23" xfId="0" applyFont="1" applyFill="1" applyBorder="1" applyAlignment="1">
      <alignment horizontal="left" vertical="top" wrapText="1"/>
    </xf>
    <xf numFmtId="0" fontId="64" fillId="7" borderId="39" xfId="0" applyFont="1" applyFill="1" applyBorder="1" applyAlignment="1">
      <alignment horizontal="center" vertical="top" wrapText="1"/>
    </xf>
    <xf numFmtId="0" fontId="64" fillId="7" borderId="40" xfId="0" applyFont="1" applyFill="1" applyBorder="1" applyAlignment="1">
      <alignment horizontal="center" vertical="top" wrapText="1"/>
    </xf>
    <xf numFmtId="0" fontId="9" fillId="12" borderId="4" xfId="0" applyFont="1" applyFill="1" applyBorder="1" applyAlignment="1" applyProtection="1">
      <alignment horizontal="left" vertical="center" wrapText="1"/>
      <protection locked="0"/>
    </xf>
    <xf numFmtId="0" fontId="9" fillId="12" borderId="4" xfId="0" applyFont="1" applyFill="1" applyBorder="1" applyAlignment="1" applyProtection="1">
      <alignment horizontal="center" vertical="center" wrapText="1"/>
      <protection locked="0"/>
    </xf>
    <xf numFmtId="0" fontId="40" fillId="7" borderId="23" xfId="0" applyFont="1" applyFill="1" applyBorder="1" applyAlignment="1">
      <alignment horizontal="center" vertical="center" wrapText="1"/>
    </xf>
    <xf numFmtId="0" fontId="72" fillId="4" borderId="25" xfId="0" applyFont="1" applyFill="1" applyBorder="1" applyAlignment="1" applyProtection="1">
      <alignment horizontal="center" vertical="center"/>
      <protection locked="0"/>
    </xf>
    <xf numFmtId="0" fontId="72" fillId="4" borderId="28" xfId="0" applyFont="1" applyFill="1" applyBorder="1" applyAlignment="1" applyProtection="1">
      <alignment horizontal="center" vertical="center"/>
      <protection locked="0"/>
    </xf>
    <xf numFmtId="14" fontId="0" fillId="11" borderId="16" xfId="0" applyNumberFormat="1" applyFill="1" applyBorder="1" applyProtection="1">
      <protection locked="0"/>
    </xf>
    <xf numFmtId="14" fontId="34" fillId="7" borderId="22" xfId="0" applyNumberFormat="1" applyFont="1" applyFill="1" applyBorder="1" applyProtection="1">
      <protection locked="0"/>
    </xf>
  </cellXfs>
  <cellStyles count="48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1" xr:uid="{00000000-0005-0000-0000-000025000000}"/>
    <cellStyle name="Normal 3" xfId="43" xr:uid="{00000000-0005-0000-0000-000026000000}"/>
    <cellStyle name="Normal 4" xfId="44" xr:uid="{00000000-0005-0000-0000-000027000000}"/>
    <cellStyle name="Normal 5" xfId="45" xr:uid="{00000000-0005-0000-0000-000028000000}"/>
    <cellStyle name="Normal 6" xfId="46" xr:uid="{00000000-0005-0000-0000-000029000000}"/>
    <cellStyle name="Normal 7" xfId="47" xr:uid="{00000000-0005-0000-0000-00002A000000}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6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FF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trlProps/ctrlProp1.xml><?xml version="1.0" encoding="utf-8"?>
<formControlPr xmlns="http://schemas.microsoft.com/office/spreadsheetml/2009/9/main" objectType="CheckBox" fmlaLink="M9" lockText="1" noThreeD="1"/>
</file>

<file path=xl/ctrlProps/ctrlProp2.xml><?xml version="1.0" encoding="utf-8"?>
<formControlPr xmlns="http://schemas.microsoft.com/office/spreadsheetml/2009/9/main" objectType="CheckBox" fmlaLink="M10" lockText="1" noThreeD="1"/>
</file>

<file path=xl/ctrlProps/ctrlProp3.xml><?xml version="1.0" encoding="utf-8"?>
<formControlPr xmlns="http://schemas.microsoft.com/office/spreadsheetml/2009/9/main" objectType="CheckBox" fmlaLink="M11" lockText="1" noThreeD="1"/>
</file>

<file path=xl/ctrlProps/ctrlProp4.xml><?xml version="1.0" encoding="utf-8"?>
<formControlPr xmlns="http://schemas.microsoft.com/office/spreadsheetml/2009/9/main" objectType="CheckBox" fmlaLink="M12" lockText="1" noThreeD="1"/>
</file>

<file path=xl/ctrlProps/ctrlProp5.xml><?xml version="1.0" encoding="utf-8"?>
<formControlPr xmlns="http://schemas.microsoft.com/office/spreadsheetml/2009/9/main" objectType="CheckBox" fmlaLink="M13" lockText="1" noThreeD="1"/>
</file>

<file path=xl/ctrlProps/ctrlProp6.xml><?xml version="1.0" encoding="utf-8"?>
<formControlPr xmlns="http://schemas.microsoft.com/office/spreadsheetml/2009/9/main" objectType="CheckBox" fmlaLink="M14" lockText="1" noThreeD="1"/>
</file>

<file path=xl/ctrlProps/ctrlProp7.xml><?xml version="1.0" encoding="utf-8"?>
<formControlPr xmlns="http://schemas.microsoft.com/office/spreadsheetml/2009/9/main" objectType="CheckBox" fmlaLink="M15" lockText="1" noThreeD="1"/>
</file>

<file path=xl/ctrlProps/ctrlProp8.xml><?xml version="1.0" encoding="utf-8"?>
<formControlPr xmlns="http://schemas.microsoft.com/office/spreadsheetml/2009/9/main" objectType="CheckBox" fmlaLink="M16" lockText="1" noThreeD="1"/>
</file>

<file path=xl/ctrlProps/ctrlProp9.xml><?xml version="1.0" encoding="utf-8"?>
<formControlPr xmlns="http://schemas.microsoft.com/office/spreadsheetml/2009/9/main" objectType="CheckBox" fmlaLink="M17" lockText="1" noThreeD="1"/>
</file>

<file path=xl/ctrlProps/ctrlProp10.xml><?xml version="1.0" encoding="utf-8"?>
<formControlPr xmlns="http://schemas.microsoft.com/office/spreadsheetml/2009/9/main" objectType="CheckBox" fmlaLink="M18" lockText="1" noThreeD="1"/>
</file>

<file path=xl/ctrlProps/ctrlProp11.xml><?xml version="1.0" encoding="utf-8"?>
<formControlPr xmlns="http://schemas.microsoft.com/office/spreadsheetml/2009/9/main" objectType="CheckBox" fmlaLink="M19" lockText="1" noThreeD="1"/>
</file>

<file path=xl/ctrlProps/ctrlProp12.xml><?xml version="1.0" encoding="utf-8"?>
<formControlPr xmlns="http://schemas.microsoft.com/office/spreadsheetml/2009/9/main" objectType="CheckBox" fmlaLink="M20" lockText="1" noThreeD="1"/>
</file>

<file path=xl/ctrlProps/ctrlProp13.xml><?xml version="1.0" encoding="utf-8"?>
<formControlPr xmlns="http://schemas.microsoft.com/office/spreadsheetml/2009/9/main" objectType="CheckBox" fmlaLink="M21" lockText="1" noThreeD="1"/>
</file>

<file path=xl/ctrlProps/ctrlProp14.xml><?xml version="1.0" encoding="utf-8"?>
<formControlPr xmlns="http://schemas.microsoft.com/office/spreadsheetml/2009/9/main" objectType="CheckBox" fmlaLink="M22" lockText="1" noThreeD="1"/>
</file>

<file path=xl/ctrlProps/ctrlProp15.xml><?xml version="1.0" encoding="utf-8"?>
<formControlPr xmlns="http://schemas.microsoft.com/office/spreadsheetml/2009/9/main" objectType="CheckBox" fmlaLink="M23" lockText="1" noThreeD="1"/>
</file>

<file path=xl/ctrlProps/ctrlProp16.xml><?xml version="1.0" encoding="utf-8"?>
<formControlPr xmlns="http://schemas.microsoft.com/office/spreadsheetml/2009/9/main" objectType="CheckBox" fmlaLink="M24" lockText="1" noThreeD="1"/>
</file>

<file path=xl/ctrlProps/ctrlProp17.xml><?xml version="1.0" encoding="utf-8"?>
<formControlPr xmlns="http://schemas.microsoft.com/office/spreadsheetml/2009/9/main" objectType="CheckBox" fmlaLink="M25" lockText="1" noThreeD="1"/>
</file>

<file path=xl/ctrlProps/ctrlProp18.xml><?xml version="1.0" encoding="utf-8"?>
<formControlPr xmlns="http://schemas.microsoft.com/office/spreadsheetml/2009/9/main" objectType="CheckBox" fmlaLink="M26" lockText="1" noThreeD="1"/>
</file>

<file path=xl/ctrlProps/ctrlProp19.xml><?xml version="1.0" encoding="utf-8"?>
<formControlPr xmlns="http://schemas.microsoft.com/office/spreadsheetml/2009/9/main" objectType="CheckBox" fmlaLink="M27" lockText="1" noThreeD="1"/>
</file>

<file path=xl/ctrlProps/ctrlProp20.xml><?xml version="1.0" encoding="utf-8"?>
<formControlPr xmlns="http://schemas.microsoft.com/office/spreadsheetml/2009/9/main" objectType="CheckBox" fmlaLink="M28" lockText="1" noThreeD="1"/>
</file>

<file path=xl/ctrlProps/ctrlProp21.xml><?xml version="1.0" encoding="utf-8"?>
<formControlPr xmlns="http://schemas.microsoft.com/office/spreadsheetml/2009/9/main" objectType="CheckBox" fmlaLink="M29" lockText="1" noThreeD="1"/>
</file>

<file path=xl/ctrlProps/ctrlProp22.xml><?xml version="1.0" encoding="utf-8"?>
<formControlPr xmlns="http://schemas.microsoft.com/office/spreadsheetml/2009/9/main" objectType="CheckBox" fmlaLink="M30" lockText="1" noThreeD="1"/>
</file>

<file path=xl/ctrlProps/ctrlProp23.xml><?xml version="1.0" encoding="utf-8"?>
<formControlPr xmlns="http://schemas.microsoft.com/office/spreadsheetml/2009/9/main" objectType="CheckBox" checked="Checked" fmlaLink="M31" lockText="1" noThreeD="1"/>
</file>

<file path=xl/ctrlProps/ctrlProp24.xml><?xml version="1.0" encoding="utf-8"?>
<formControlPr xmlns="http://schemas.microsoft.com/office/spreadsheetml/2009/9/main" objectType="CheckBox" fmlaLink="M32" lockText="1" noThreeD="1"/>
</file>

<file path=xl/ctrlProps/ctrlProp25.xml><?xml version="1.0" encoding="utf-8"?>
<formControlPr xmlns="http://schemas.microsoft.com/office/spreadsheetml/2009/9/main" objectType="CheckBox" fmlaLink="M33" lockText="1" noThreeD="1"/>
</file>

<file path=xl/ctrlProps/ctrlProp26.xml><?xml version="1.0" encoding="utf-8"?>
<formControlPr xmlns="http://schemas.microsoft.com/office/spreadsheetml/2009/9/main" objectType="CheckBox" fmlaLink="M34" lockText="1" noThreeD="1"/>
</file>

<file path=xl/ctrlProps/ctrlProp27.xml><?xml version="1.0" encoding="utf-8"?>
<formControlPr xmlns="http://schemas.microsoft.com/office/spreadsheetml/2009/9/main" objectType="CheckBox" fmlaLink="M35" lockText="1" noThreeD="1"/>
</file>

<file path=xl/ctrlProps/ctrlProp28.xml><?xml version="1.0" encoding="utf-8"?>
<formControlPr xmlns="http://schemas.microsoft.com/office/spreadsheetml/2009/9/main" objectType="CheckBox" fmlaLink="M36" lockText="1" noThreeD="1"/>
</file>

<file path=xl/ctrlProps/ctrlProp29.xml><?xml version="1.0" encoding="utf-8"?>
<formControlPr xmlns="http://schemas.microsoft.com/office/spreadsheetml/2009/9/main" objectType="CheckBox" fmlaLink="M37" lockText="1" noThreeD="1"/>
</file>

<file path=xl/ctrlProps/ctrlProp30.xml><?xml version="1.0" encoding="utf-8"?>
<formControlPr xmlns="http://schemas.microsoft.com/office/spreadsheetml/2009/9/main" objectType="CheckBox" checked="Checked" fmlaLink="M38" lockText="1" noThreeD="1"/>
</file>

<file path=xl/ctrlProps/ctrlProp31.xml><?xml version="1.0" encoding="utf-8"?>
<formControlPr xmlns="http://schemas.microsoft.com/office/spreadsheetml/2009/9/main" objectType="CheckBox" fmlaLink="M39" lockText="1" noThreeD="1"/>
</file>

<file path=xl/ctrlProps/ctrlProp32.xml><?xml version="1.0" encoding="utf-8"?>
<formControlPr xmlns="http://schemas.microsoft.com/office/spreadsheetml/2009/9/main" objectType="CheckBox" fmlaLink="M40" lockText="1" noThreeD="1"/>
</file>

<file path=xl/ctrlProps/ctrlProp33.xml><?xml version="1.0" encoding="utf-8"?>
<formControlPr xmlns="http://schemas.microsoft.com/office/spreadsheetml/2009/9/main" objectType="CheckBox" checked="Checked" fmlaLink="M41" lockText="1" noThreeD="1"/>
</file>

<file path=xl/ctrlProps/ctrlProp34.xml><?xml version="1.0" encoding="utf-8"?>
<formControlPr xmlns="http://schemas.microsoft.com/office/spreadsheetml/2009/9/main" objectType="CheckBox" fmlaLink="M42" lockText="1" noThreeD="1"/>
</file>

<file path=xl/ctrlProps/ctrlProp35.xml><?xml version="1.0" encoding="utf-8"?>
<formControlPr xmlns="http://schemas.microsoft.com/office/spreadsheetml/2009/9/main" objectType="CheckBox" fmlaLink="M43" lockText="1" noThreeD="1"/>
</file>

<file path=xl/ctrlProps/ctrlProp36.xml><?xml version="1.0" encoding="utf-8"?>
<formControlPr xmlns="http://schemas.microsoft.com/office/spreadsheetml/2009/9/main" objectType="CheckBox" fmlaLink="M44" lockText="1" noThreeD="1"/>
</file>

<file path=xl/ctrlProps/ctrlProp37.xml><?xml version="1.0" encoding="utf-8"?>
<formControlPr xmlns="http://schemas.microsoft.com/office/spreadsheetml/2009/9/main" objectType="CheckBox" fmlaLink="M45" lockText="1" noThreeD="1"/>
</file>

<file path=xl/ctrlProps/ctrlProp38.xml><?xml version="1.0" encoding="utf-8"?>
<formControlPr xmlns="http://schemas.microsoft.com/office/spreadsheetml/2009/9/main" objectType="CheckBox" fmlaLink="M46" lockText="1" noThreeD="1"/>
</file>

<file path=xl/ctrlProps/ctrlProp39.xml><?xml version="1.0" encoding="utf-8"?>
<formControlPr xmlns="http://schemas.microsoft.com/office/spreadsheetml/2009/9/main" objectType="CheckBox" fmlaLink="M47" lockText="1" noThreeD="1"/>
</file>

<file path=xl/ctrlProps/ctrlProp40.xml><?xml version="1.0" encoding="utf-8"?>
<formControlPr xmlns="http://schemas.microsoft.com/office/spreadsheetml/2009/9/main" objectType="CheckBox" fmlaLink="M48" lockText="1" noThreeD="1"/>
</file>

<file path=xl/ctrlProps/ctrlProp41.xml><?xml version="1.0" encoding="utf-8"?>
<formControlPr xmlns="http://schemas.microsoft.com/office/spreadsheetml/2009/9/main" objectType="CheckBox" fmlaLink="M49" lockText="1" noThreeD="1"/>
</file>

<file path=xl/ctrlProps/ctrlProp42.xml><?xml version="1.0" encoding="utf-8"?>
<formControlPr xmlns="http://schemas.microsoft.com/office/spreadsheetml/2009/9/main" objectType="CheckBox" fmlaLink="M50" lockText="1" noThreeD="1"/>
</file>

<file path=xl/ctrlProps/ctrlProp43.xml><?xml version="1.0" encoding="utf-8"?>
<formControlPr xmlns="http://schemas.microsoft.com/office/spreadsheetml/2009/9/main" objectType="CheckBox" fmlaLink="M51" lockText="1" noThreeD="1"/>
</file>

<file path=xl/ctrlProps/ctrlProp44.xml><?xml version="1.0" encoding="utf-8"?>
<formControlPr xmlns="http://schemas.microsoft.com/office/spreadsheetml/2009/9/main" objectType="CheckBox" fmlaLink="M52" lockText="1" noThreeD="1"/>
</file>

<file path=xl/ctrlProps/ctrlProp45.xml><?xml version="1.0" encoding="utf-8"?>
<formControlPr xmlns="http://schemas.microsoft.com/office/spreadsheetml/2009/9/main" objectType="CheckBox" fmlaLink="M53" lockText="1" noThreeD="1"/>
</file>

<file path=xl/ctrlProps/ctrlProp46.xml><?xml version="1.0" encoding="utf-8"?>
<formControlPr xmlns="http://schemas.microsoft.com/office/spreadsheetml/2009/9/main" objectType="CheckBox" fmlaLink="M54" lockText="1" noThreeD="1"/>
</file>

<file path=xl/ctrlProps/ctrlProp47.xml><?xml version="1.0" encoding="utf-8"?>
<formControlPr xmlns="http://schemas.microsoft.com/office/spreadsheetml/2009/9/main" objectType="CheckBox" fmlaLink="M55" lockText="1" noThreeD="1"/>
</file>

<file path=xl/ctrlProps/ctrlProp48.xml><?xml version="1.0" encoding="utf-8"?>
<formControlPr xmlns="http://schemas.microsoft.com/office/spreadsheetml/2009/9/main" objectType="CheckBox" fmlaLink="M56" lockText="1" noThreeD="1"/>
</file>

<file path=xl/ctrlProps/ctrlProp49.xml><?xml version="1.0" encoding="utf-8"?>
<formControlPr xmlns="http://schemas.microsoft.com/office/spreadsheetml/2009/9/main" objectType="CheckBox" fmlaLink="M57" lockText="1" noThreeD="1"/>
</file>

<file path=xl/ctrlProps/ctrlProp50.xml><?xml version="1.0" encoding="utf-8"?>
<formControlPr xmlns="http://schemas.microsoft.com/office/spreadsheetml/2009/9/main" objectType="CheckBox" fmlaLink="M58" lockText="1" noThreeD="1"/>
</file>

<file path=xl/ctrlProps/ctrlProp51.xml><?xml version="1.0" encoding="utf-8"?>
<formControlPr xmlns="http://schemas.microsoft.com/office/spreadsheetml/2009/9/main" objectType="CheckBox" fmlaLink="M59" lockText="1" noThreeD="1"/>
</file>

<file path=xl/ctrlProps/ctrlProp52.xml><?xml version="1.0" encoding="utf-8"?>
<formControlPr xmlns="http://schemas.microsoft.com/office/spreadsheetml/2009/9/main" objectType="CheckBox" fmlaLink="M60" lockText="1" noThreeD="1"/>
</file>

<file path=xl/ctrlProps/ctrlProp53.xml><?xml version="1.0" encoding="utf-8"?>
<formControlPr xmlns="http://schemas.microsoft.com/office/spreadsheetml/2009/9/main" objectType="CheckBox" fmlaLink="M61" lockText="1" noThreeD="1"/>
</file>

<file path=xl/ctrlProps/ctrlProp54.xml><?xml version="1.0" encoding="utf-8"?>
<formControlPr xmlns="http://schemas.microsoft.com/office/spreadsheetml/2009/9/main" objectType="CheckBox" fmlaLink="M62" lockText="1" noThreeD="1"/>
</file>

<file path=xl/ctrlProps/ctrlProp55.xml><?xml version="1.0" encoding="utf-8"?>
<formControlPr xmlns="http://schemas.microsoft.com/office/spreadsheetml/2009/9/main" objectType="CheckBox" fmlaLink="M63" lockText="1" noThreeD="1"/>
</file>

<file path=xl/ctrlProps/ctrlProp56.xml><?xml version="1.0" encoding="utf-8"?>
<formControlPr xmlns="http://schemas.microsoft.com/office/spreadsheetml/2009/9/main" objectType="CheckBox" fmlaLink="M64" lockText="1" noThreeD="1"/>
</file>

<file path=xl/ctrlProps/ctrlProp57.xml><?xml version="1.0" encoding="utf-8"?>
<formControlPr xmlns="http://schemas.microsoft.com/office/spreadsheetml/2009/9/main" objectType="CheckBox" checked="Checked" fmlaLink="M65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/>
        </xdr:cNvSpPr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>
          <a:spLocks/>
        </xdr:cNvSpPr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2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4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4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4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5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6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6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6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7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7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7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8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8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8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C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C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C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D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F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F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F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2F00-000008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2F00-000009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2F00-00000A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2F00-00000B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1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1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1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4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4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4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500-000005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500-000006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500-000007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3500-000008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6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6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6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7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7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7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9B4AEEF-5AF9-49DD-8542-8AD1132FA32D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EEA6399-B71B-4F30-9BEB-BD9075252731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60A560B-7150-4483-A29F-44B5BB56E8B8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2E0B53-3AEB-4EB5-8548-418B6F0F9BD5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66673</xdr:colOff>
      <xdr:row>4</xdr:row>
      <xdr:rowOff>19051</xdr:rowOff>
    </xdr:from>
    <xdr:to>
      <xdr:col>6</xdr:col>
      <xdr:colOff>409574</xdr:colOff>
      <xdr:row>5</xdr:row>
      <xdr:rowOff>171450</xdr:rowOff>
    </xdr:to>
    <xdr:sp macro="[0]!CreateCheckboxesWithLinked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800-000002000000}"/>
            </a:ext>
          </a:extLst>
        </xdr:cNvPr>
        <xdr:cNvSpPr/>
      </xdr:nvSpPr>
      <xdr:spPr>
        <a:xfrm>
          <a:off x="2505073" y="876301"/>
          <a:ext cx="2066926" cy="342899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lvl="0" algn="ctr"/>
          <a:r>
            <a:rPr lang="en-IN" sz="1200" b="1"/>
            <a:t>Refresh Sheet</a:t>
          </a:r>
        </a:p>
      </xdr:txBody>
    </xdr:sp>
    <xdr:clientData/>
  </xdr:twoCellAnchor>
  <xdr:twoCellAnchor>
    <xdr:from>
      <xdr:col>13</xdr:col>
      <xdr:colOff>1066800</xdr:colOff>
      <xdr:row>2</xdr:row>
      <xdr:rowOff>28575</xdr:rowOff>
    </xdr:from>
    <xdr:to>
      <xdr:col>14</xdr:col>
      <xdr:colOff>838200</xdr:colOff>
      <xdr:row>3</xdr:row>
      <xdr:rowOff>133500</xdr:rowOff>
    </xdr:to>
    <xdr:sp macro="[0]!IDCheck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3800-000004000000}"/>
            </a:ext>
          </a:extLst>
        </xdr:cNvPr>
        <xdr:cNvSpPr>
          <a:spLocks/>
        </xdr:cNvSpPr>
      </xdr:nvSpPr>
      <xdr:spPr>
        <a:xfrm>
          <a:off x="17811750" y="55245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Refresh Licence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19050</xdr:rowOff>
        </xdr:to>
        <xdr:sp macro="" textlink="">
          <xdr:nvSpPr>
            <xdr:cNvPr id="66982" name="ICICI(C) (P)_CheckBox" hidden="1">
              <a:extLst>
                <a:ext uri="{63B3BB69-23CF-44E3-9099-C40C66FF867C}">
                  <a14:compatExt spid="_x0000_s66982"/>
                </a:ext>
                <a:ext uri="{FF2B5EF4-FFF2-40B4-BE49-F238E27FC236}">
                  <a16:creationId xmlns:a16="http://schemas.microsoft.com/office/drawing/2014/main" id="{00000000-0008-0000-3900-0000A6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0</xdr:colOff>
          <xdr:row>10</xdr:row>
          <xdr:rowOff>19050</xdr:rowOff>
        </xdr:to>
        <xdr:sp macro="" textlink="">
          <xdr:nvSpPr>
            <xdr:cNvPr id="66983" name="ICICI(S) (P)_CheckBox" hidden="1">
              <a:extLst>
                <a:ext uri="{63B3BB69-23CF-44E3-9099-C40C66FF867C}">
                  <a14:compatExt spid="_x0000_s66983"/>
                </a:ext>
                <a:ext uri="{FF2B5EF4-FFF2-40B4-BE49-F238E27FC236}">
                  <a16:creationId xmlns:a16="http://schemas.microsoft.com/office/drawing/2014/main" id="{00000000-0008-0000-3900-0000A7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11</xdr:row>
          <xdr:rowOff>19050</xdr:rowOff>
        </xdr:to>
        <xdr:sp macro="" textlink="">
          <xdr:nvSpPr>
            <xdr:cNvPr id="66984" name="ICICI(C)2 (P)_CheckBox" hidden="1">
              <a:extLst>
                <a:ext uri="{63B3BB69-23CF-44E3-9099-C40C66FF867C}">
                  <a14:compatExt spid="_x0000_s66984"/>
                </a:ext>
                <a:ext uri="{FF2B5EF4-FFF2-40B4-BE49-F238E27FC236}">
                  <a16:creationId xmlns:a16="http://schemas.microsoft.com/office/drawing/2014/main" id="{00000000-0008-0000-3900-0000A8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12</xdr:row>
          <xdr:rowOff>19050</xdr:rowOff>
        </xdr:to>
        <xdr:sp macro="" textlink="">
          <xdr:nvSpPr>
            <xdr:cNvPr id="66985" name="HDFC (P)_CheckBox" hidden="1">
              <a:extLst>
                <a:ext uri="{63B3BB69-23CF-44E3-9099-C40C66FF867C}">
                  <a14:compatExt spid="_x0000_s66985"/>
                </a:ext>
                <a:ext uri="{FF2B5EF4-FFF2-40B4-BE49-F238E27FC236}">
                  <a16:creationId xmlns:a16="http://schemas.microsoft.com/office/drawing/2014/main" id="{00000000-0008-0000-3900-0000A9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HDFC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6</xdr:col>
          <xdr:colOff>0</xdr:colOff>
          <xdr:row>13</xdr:row>
          <xdr:rowOff>19050</xdr:rowOff>
        </xdr:to>
        <xdr:sp macro="" textlink="">
          <xdr:nvSpPr>
            <xdr:cNvPr id="66986" name="Axis(S) (P)_CheckBox" hidden="1">
              <a:extLst>
                <a:ext uri="{63B3BB69-23CF-44E3-9099-C40C66FF867C}">
                  <a14:compatExt spid="_x0000_s66986"/>
                </a:ext>
                <a:ext uri="{FF2B5EF4-FFF2-40B4-BE49-F238E27FC236}">
                  <a16:creationId xmlns:a16="http://schemas.microsoft.com/office/drawing/2014/main" id="{00000000-0008-0000-3900-0000AA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19050</xdr:rowOff>
        </xdr:to>
        <xdr:sp macro="" textlink="">
          <xdr:nvSpPr>
            <xdr:cNvPr id="66987" name="Axis(C) (P)_CheckBox" hidden="1">
              <a:extLst>
                <a:ext uri="{63B3BB69-23CF-44E3-9099-C40C66FF867C}">
                  <a14:compatExt spid="_x0000_s66987"/>
                </a:ext>
                <a:ext uri="{FF2B5EF4-FFF2-40B4-BE49-F238E27FC236}">
                  <a16:creationId xmlns:a16="http://schemas.microsoft.com/office/drawing/2014/main" id="{00000000-0008-0000-3900-0000AB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Axis(C)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19050</xdr:rowOff>
        </xdr:to>
        <xdr:sp macro="" textlink="">
          <xdr:nvSpPr>
            <xdr:cNvPr id="66988" name="IDBI (P)_CheckBox" hidden="1">
              <a:extLst>
                <a:ext uri="{63B3BB69-23CF-44E3-9099-C40C66FF867C}">
                  <a14:compatExt spid="_x0000_s66988"/>
                </a:ext>
                <a:ext uri="{FF2B5EF4-FFF2-40B4-BE49-F238E27FC236}">
                  <a16:creationId xmlns:a16="http://schemas.microsoft.com/office/drawing/2014/main" id="{00000000-0008-0000-3900-0000AC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6</xdr:col>
          <xdr:colOff>0</xdr:colOff>
          <xdr:row>16</xdr:row>
          <xdr:rowOff>19050</xdr:rowOff>
        </xdr:to>
        <xdr:sp macro="" textlink="">
          <xdr:nvSpPr>
            <xdr:cNvPr id="66989" name="IDBI(S) (P)_CheckBox" hidden="1">
              <a:extLst>
                <a:ext uri="{63B3BB69-23CF-44E3-9099-C40C66FF867C}">
                  <a14:compatExt spid="_x0000_s66989"/>
                </a:ext>
                <a:ext uri="{FF2B5EF4-FFF2-40B4-BE49-F238E27FC236}">
                  <a16:creationId xmlns:a16="http://schemas.microsoft.com/office/drawing/2014/main" id="{00000000-0008-0000-3900-0000AD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19050</xdr:rowOff>
        </xdr:to>
        <xdr:sp macro="" textlink="">
          <xdr:nvSpPr>
            <xdr:cNvPr id="66990" name="IDFC (P)_CheckBox" hidden="1">
              <a:extLst>
                <a:ext uri="{63B3BB69-23CF-44E3-9099-C40C66FF867C}">
                  <a14:compatExt spid="_x0000_s66990"/>
                </a:ext>
                <a:ext uri="{FF2B5EF4-FFF2-40B4-BE49-F238E27FC236}">
                  <a16:creationId xmlns:a16="http://schemas.microsoft.com/office/drawing/2014/main" id="{00000000-0008-0000-3900-0000AE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IDFC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19050</xdr:rowOff>
        </xdr:to>
        <xdr:sp macro="" textlink="">
          <xdr:nvSpPr>
            <xdr:cNvPr id="66991" name="CityUni (P)_CheckBox" hidden="1">
              <a:extLst>
                <a:ext uri="{63B3BB69-23CF-44E3-9099-C40C66FF867C}">
                  <a14:compatExt spid="_x0000_s66991"/>
                </a:ext>
                <a:ext uri="{FF2B5EF4-FFF2-40B4-BE49-F238E27FC236}">
                  <a16:creationId xmlns:a16="http://schemas.microsoft.com/office/drawing/2014/main" id="{00000000-0008-0000-3900-0000AF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CityUni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19050</xdr:rowOff>
        </xdr:to>
        <xdr:sp macro="" textlink="">
          <xdr:nvSpPr>
            <xdr:cNvPr id="66992" name="indusind (P)_CheckBox" hidden="1">
              <a:extLst>
                <a:ext uri="{63B3BB69-23CF-44E3-9099-C40C66FF867C}">
                  <a14:compatExt spid="_x0000_s66992"/>
                </a:ext>
                <a:ext uri="{FF2B5EF4-FFF2-40B4-BE49-F238E27FC236}">
                  <a16:creationId xmlns:a16="http://schemas.microsoft.com/office/drawing/2014/main" id="{00000000-0008-0000-3900-0000B0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indusind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6</xdr:col>
          <xdr:colOff>0</xdr:colOff>
          <xdr:row>20</xdr:row>
          <xdr:rowOff>19050</xdr:rowOff>
        </xdr:to>
        <xdr:sp macro="" textlink="">
          <xdr:nvSpPr>
            <xdr:cNvPr id="66993" name="Kalupur (P)_CheckBox" hidden="1">
              <a:extLst>
                <a:ext uri="{63B3BB69-23CF-44E3-9099-C40C66FF867C}">
                  <a14:compatExt spid="_x0000_s66993"/>
                </a:ext>
                <a:ext uri="{FF2B5EF4-FFF2-40B4-BE49-F238E27FC236}">
                  <a16:creationId xmlns:a16="http://schemas.microsoft.com/office/drawing/2014/main" id="{00000000-0008-0000-3900-0000B1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Kalupur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6</xdr:col>
          <xdr:colOff>0</xdr:colOff>
          <xdr:row>21</xdr:row>
          <xdr:rowOff>19050</xdr:rowOff>
        </xdr:to>
        <xdr:sp macro="" textlink="">
          <xdr:nvSpPr>
            <xdr:cNvPr id="66994" name="AU (P)_CheckBox" hidden="1">
              <a:extLst>
                <a:ext uri="{63B3BB69-23CF-44E3-9099-C40C66FF867C}">
                  <a14:compatExt spid="_x0000_s66994"/>
                </a:ext>
                <a:ext uri="{FF2B5EF4-FFF2-40B4-BE49-F238E27FC236}">
                  <a16:creationId xmlns:a16="http://schemas.microsoft.com/office/drawing/2014/main" id="{00000000-0008-0000-3900-0000B2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6</xdr:col>
          <xdr:colOff>0</xdr:colOff>
          <xdr:row>22</xdr:row>
          <xdr:rowOff>19050</xdr:rowOff>
        </xdr:to>
        <xdr:sp macro="" textlink="">
          <xdr:nvSpPr>
            <xdr:cNvPr id="66995" name="SBI (P)_CheckBox" hidden="1">
              <a:extLst>
                <a:ext uri="{63B3BB69-23CF-44E3-9099-C40C66FF867C}">
                  <a14:compatExt spid="_x0000_s66995"/>
                </a:ext>
                <a:ext uri="{FF2B5EF4-FFF2-40B4-BE49-F238E27FC236}">
                  <a16:creationId xmlns:a16="http://schemas.microsoft.com/office/drawing/2014/main" id="{00000000-0008-0000-3900-0000B3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6</xdr:col>
          <xdr:colOff>0</xdr:colOff>
          <xdr:row>23</xdr:row>
          <xdr:rowOff>19050</xdr:rowOff>
        </xdr:to>
        <xdr:sp macro="" textlink="">
          <xdr:nvSpPr>
            <xdr:cNvPr id="66996" name="Union (P)_CheckBox" hidden="1">
              <a:extLst>
                <a:ext uri="{63B3BB69-23CF-44E3-9099-C40C66FF867C}">
                  <a14:compatExt spid="_x0000_s66996"/>
                </a:ext>
                <a:ext uri="{FF2B5EF4-FFF2-40B4-BE49-F238E27FC236}">
                  <a16:creationId xmlns:a16="http://schemas.microsoft.com/office/drawing/2014/main" id="{00000000-0008-0000-3900-0000B4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24</xdr:row>
          <xdr:rowOff>19050</xdr:rowOff>
        </xdr:to>
        <xdr:sp macro="" textlink="">
          <xdr:nvSpPr>
            <xdr:cNvPr id="66997" name="Union2 (P)_CheckBox" hidden="1">
              <a:extLst>
                <a:ext uri="{63B3BB69-23CF-44E3-9099-C40C66FF867C}">
                  <a14:compatExt spid="_x0000_s66997"/>
                </a:ext>
                <a:ext uri="{FF2B5EF4-FFF2-40B4-BE49-F238E27FC236}">
                  <a16:creationId xmlns:a16="http://schemas.microsoft.com/office/drawing/2014/main" id="{00000000-0008-0000-3900-0000B5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25</xdr:row>
          <xdr:rowOff>19050</xdr:rowOff>
        </xdr:to>
        <xdr:sp macro="" textlink="">
          <xdr:nvSpPr>
            <xdr:cNvPr id="66998" name="Kotak (P)_CheckBox" hidden="1">
              <a:extLst>
                <a:ext uri="{63B3BB69-23CF-44E3-9099-C40C66FF867C}">
                  <a14:compatExt spid="_x0000_s66998"/>
                </a:ext>
                <a:ext uri="{FF2B5EF4-FFF2-40B4-BE49-F238E27FC236}">
                  <a16:creationId xmlns:a16="http://schemas.microsoft.com/office/drawing/2014/main" id="{00000000-0008-0000-3900-0000B6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26</xdr:row>
          <xdr:rowOff>19050</xdr:rowOff>
        </xdr:to>
        <xdr:sp macro="" textlink="">
          <xdr:nvSpPr>
            <xdr:cNvPr id="66999" name="Kotak2 (P)_CheckBox" hidden="1">
              <a:extLst>
                <a:ext uri="{63B3BB69-23CF-44E3-9099-C40C66FF867C}">
                  <a14:compatExt spid="_x0000_s66999"/>
                </a:ext>
                <a:ext uri="{FF2B5EF4-FFF2-40B4-BE49-F238E27FC236}">
                  <a16:creationId xmlns:a16="http://schemas.microsoft.com/office/drawing/2014/main" id="{00000000-0008-0000-3900-0000B7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27</xdr:row>
          <xdr:rowOff>19050</xdr:rowOff>
        </xdr:to>
        <xdr:sp macro="" textlink="">
          <xdr:nvSpPr>
            <xdr:cNvPr id="67000" name="Kotak3 (P)_CheckBox" hidden="1">
              <a:extLst>
                <a:ext uri="{63B3BB69-23CF-44E3-9099-C40C66FF867C}">
                  <a14:compatExt spid="_x0000_s67000"/>
                </a:ext>
                <a:ext uri="{FF2B5EF4-FFF2-40B4-BE49-F238E27FC236}">
                  <a16:creationId xmlns:a16="http://schemas.microsoft.com/office/drawing/2014/main" id="{00000000-0008-0000-3900-0000B8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Kotak3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28</xdr:row>
          <xdr:rowOff>19050</xdr:rowOff>
        </xdr:to>
        <xdr:sp macro="" textlink="">
          <xdr:nvSpPr>
            <xdr:cNvPr id="67001" name="CBI (P)_CheckBox" hidden="1">
              <a:extLst>
                <a:ext uri="{63B3BB69-23CF-44E3-9099-C40C66FF867C}">
                  <a14:compatExt spid="_x0000_s67001"/>
                </a:ext>
                <a:ext uri="{FF2B5EF4-FFF2-40B4-BE49-F238E27FC236}">
                  <a16:creationId xmlns:a16="http://schemas.microsoft.com/office/drawing/2014/main" id="{00000000-0008-0000-3900-0000B9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29</xdr:row>
          <xdr:rowOff>19050</xdr:rowOff>
        </xdr:to>
        <xdr:sp macro="" textlink="">
          <xdr:nvSpPr>
            <xdr:cNvPr id="67002" name="Varachha (P)_CheckBox" hidden="1">
              <a:extLst>
                <a:ext uri="{63B3BB69-23CF-44E3-9099-C40C66FF867C}">
                  <a14:compatExt spid="_x0000_s67002"/>
                </a:ext>
                <a:ext uri="{FF2B5EF4-FFF2-40B4-BE49-F238E27FC236}">
                  <a16:creationId xmlns:a16="http://schemas.microsoft.com/office/drawing/2014/main" id="{00000000-0008-0000-3900-0000BA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Varachha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6</xdr:col>
          <xdr:colOff>0</xdr:colOff>
          <xdr:row>30</xdr:row>
          <xdr:rowOff>19050</xdr:rowOff>
        </xdr:to>
        <xdr:sp macro="" textlink="">
          <xdr:nvSpPr>
            <xdr:cNvPr id="67003" name="SDCB (P)_CheckBox" hidden="1">
              <a:extLst>
                <a:ext uri="{63B3BB69-23CF-44E3-9099-C40C66FF867C}">
                  <a14:compatExt spid="_x0000_s67003"/>
                </a:ext>
                <a:ext uri="{FF2B5EF4-FFF2-40B4-BE49-F238E27FC236}">
                  <a16:creationId xmlns:a16="http://schemas.microsoft.com/office/drawing/2014/main" id="{00000000-0008-0000-3900-0000BB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SDCB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6</xdr:col>
          <xdr:colOff>0</xdr:colOff>
          <xdr:row>31</xdr:row>
          <xdr:rowOff>19050</xdr:rowOff>
        </xdr:to>
        <xdr:sp macro="" textlink="">
          <xdr:nvSpPr>
            <xdr:cNvPr id="67004" name="ICICI(C)_CheckBox" hidden="1">
              <a:extLst>
                <a:ext uri="{63B3BB69-23CF-44E3-9099-C40C66FF867C}">
                  <a14:compatExt spid="_x0000_s67004"/>
                </a:ext>
                <a:ext uri="{FF2B5EF4-FFF2-40B4-BE49-F238E27FC236}">
                  <a16:creationId xmlns:a16="http://schemas.microsoft.com/office/drawing/2014/main" id="{00000000-0008-0000-3900-0000BC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32</xdr:row>
          <xdr:rowOff>19050</xdr:rowOff>
        </xdr:to>
        <xdr:sp macro="" textlink="">
          <xdr:nvSpPr>
            <xdr:cNvPr id="67005" name="ICICI(S)_CheckBox" hidden="1">
              <a:extLst>
                <a:ext uri="{63B3BB69-23CF-44E3-9099-C40C66FF867C}">
                  <a14:compatExt spid="_x0000_s67005"/>
                </a:ext>
                <a:ext uri="{FF2B5EF4-FFF2-40B4-BE49-F238E27FC236}">
                  <a16:creationId xmlns:a16="http://schemas.microsoft.com/office/drawing/2014/main" id="{00000000-0008-0000-3900-0000BD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6</xdr:col>
          <xdr:colOff>0</xdr:colOff>
          <xdr:row>33</xdr:row>
          <xdr:rowOff>19050</xdr:rowOff>
        </xdr:to>
        <xdr:sp macro="" textlink="">
          <xdr:nvSpPr>
            <xdr:cNvPr id="67006" name="HDFC_CheckBox" hidden="1">
              <a:extLst>
                <a:ext uri="{63B3BB69-23CF-44E3-9099-C40C66FF867C}">
                  <a14:compatExt spid="_x0000_s67006"/>
                </a:ext>
                <a:ext uri="{FF2B5EF4-FFF2-40B4-BE49-F238E27FC236}">
                  <a16:creationId xmlns:a16="http://schemas.microsoft.com/office/drawing/2014/main" id="{00000000-0008-0000-3900-0000BE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HDFC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6</xdr:col>
          <xdr:colOff>0</xdr:colOff>
          <xdr:row>34</xdr:row>
          <xdr:rowOff>19050</xdr:rowOff>
        </xdr:to>
        <xdr:sp macro="" textlink="">
          <xdr:nvSpPr>
            <xdr:cNvPr id="67007" name="Kotak(C)_CheckBox" hidden="1">
              <a:extLst>
                <a:ext uri="{63B3BB69-23CF-44E3-9099-C40C66FF867C}">
                  <a14:compatExt spid="_x0000_s67007"/>
                </a:ext>
                <a:ext uri="{FF2B5EF4-FFF2-40B4-BE49-F238E27FC236}">
                  <a16:creationId xmlns:a16="http://schemas.microsoft.com/office/drawing/2014/main" id="{00000000-0008-0000-3900-0000BF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6</xdr:col>
          <xdr:colOff>0</xdr:colOff>
          <xdr:row>35</xdr:row>
          <xdr:rowOff>19050</xdr:rowOff>
        </xdr:to>
        <xdr:sp macro="" textlink="">
          <xdr:nvSpPr>
            <xdr:cNvPr id="67008" name="Kotak(S)_CheckBox" hidden="1">
              <a:extLst>
                <a:ext uri="{63B3BB69-23CF-44E3-9099-C40C66FF867C}">
                  <a14:compatExt spid="_x0000_s67008"/>
                </a:ext>
                <a:ext uri="{FF2B5EF4-FFF2-40B4-BE49-F238E27FC236}">
                  <a16:creationId xmlns:a16="http://schemas.microsoft.com/office/drawing/2014/main" id="{00000000-0008-0000-3900-0000C0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19050</xdr:rowOff>
        </xdr:to>
        <xdr:sp macro="" textlink="">
          <xdr:nvSpPr>
            <xdr:cNvPr id="67009" name="Axis(S)_CheckBox" hidden="1">
              <a:extLst>
                <a:ext uri="{63B3BB69-23CF-44E3-9099-C40C66FF867C}">
                  <a14:compatExt spid="_x0000_s67009"/>
                </a:ext>
                <a:ext uri="{FF2B5EF4-FFF2-40B4-BE49-F238E27FC236}">
                  <a16:creationId xmlns:a16="http://schemas.microsoft.com/office/drawing/2014/main" id="{00000000-0008-0000-3900-0000C1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0</xdr:rowOff>
        </xdr:from>
        <xdr:to>
          <xdr:col>6</xdr:col>
          <xdr:colOff>0</xdr:colOff>
          <xdr:row>37</xdr:row>
          <xdr:rowOff>19050</xdr:rowOff>
        </xdr:to>
        <xdr:sp macro="" textlink="">
          <xdr:nvSpPr>
            <xdr:cNvPr id="67010" name="Axis(S) (2)_CheckBox" hidden="1">
              <a:extLst>
                <a:ext uri="{63B3BB69-23CF-44E3-9099-C40C66FF867C}">
                  <a14:compatExt spid="_x0000_s67010"/>
                </a:ext>
                <a:ext uri="{FF2B5EF4-FFF2-40B4-BE49-F238E27FC236}">
                  <a16:creationId xmlns:a16="http://schemas.microsoft.com/office/drawing/2014/main" id="{00000000-0008-0000-3900-0000C2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6</xdr:col>
          <xdr:colOff>0</xdr:colOff>
          <xdr:row>38</xdr:row>
          <xdr:rowOff>19050</xdr:rowOff>
        </xdr:to>
        <xdr:sp macro="" textlink="">
          <xdr:nvSpPr>
            <xdr:cNvPr id="67011" name="Axis(C)_CheckBox" hidden="1">
              <a:extLst>
                <a:ext uri="{63B3BB69-23CF-44E3-9099-C40C66FF867C}">
                  <a14:compatExt spid="_x0000_s67011"/>
                </a:ext>
                <a:ext uri="{FF2B5EF4-FFF2-40B4-BE49-F238E27FC236}">
                  <a16:creationId xmlns:a16="http://schemas.microsoft.com/office/drawing/2014/main" id="{00000000-0008-0000-3900-0000C3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6</xdr:col>
          <xdr:colOff>0</xdr:colOff>
          <xdr:row>39</xdr:row>
          <xdr:rowOff>19050</xdr:rowOff>
        </xdr:to>
        <xdr:sp macro="" textlink="">
          <xdr:nvSpPr>
            <xdr:cNvPr id="67012" name="Yes_CheckBox" hidden="1">
              <a:extLst>
                <a:ext uri="{63B3BB69-23CF-44E3-9099-C40C66FF867C}">
                  <a14:compatExt spid="_x0000_s67012"/>
                </a:ext>
                <a:ext uri="{FF2B5EF4-FFF2-40B4-BE49-F238E27FC236}">
                  <a16:creationId xmlns:a16="http://schemas.microsoft.com/office/drawing/2014/main" id="{00000000-0008-0000-3900-0000C4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39</xdr:row>
          <xdr:rowOff>0</xdr:rowOff>
        </xdr:from>
        <xdr:to>
          <xdr:col>6</xdr:col>
          <xdr:colOff>0</xdr:colOff>
          <xdr:row>40</xdr:row>
          <xdr:rowOff>19050</xdr:rowOff>
        </xdr:to>
        <xdr:sp macro="" textlink="">
          <xdr:nvSpPr>
            <xdr:cNvPr id="67013" name="indusind_CheckBox" hidden="1">
              <a:extLst>
                <a:ext uri="{63B3BB69-23CF-44E3-9099-C40C66FF867C}">
                  <a14:compatExt spid="_x0000_s67013"/>
                </a:ext>
                <a:ext uri="{FF2B5EF4-FFF2-40B4-BE49-F238E27FC236}">
                  <a16:creationId xmlns:a16="http://schemas.microsoft.com/office/drawing/2014/main" id="{00000000-0008-0000-3900-0000C5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indusind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6</xdr:col>
          <xdr:colOff>0</xdr:colOff>
          <xdr:row>41</xdr:row>
          <xdr:rowOff>19050</xdr:rowOff>
        </xdr:to>
        <xdr:sp macro="" textlink="">
          <xdr:nvSpPr>
            <xdr:cNvPr id="67014" name="IDBI_CheckBox" hidden="1">
              <a:extLst>
                <a:ext uri="{63B3BB69-23CF-44E3-9099-C40C66FF867C}">
                  <a14:compatExt spid="_x0000_s67014"/>
                </a:ext>
                <a:ext uri="{FF2B5EF4-FFF2-40B4-BE49-F238E27FC236}">
                  <a16:creationId xmlns:a16="http://schemas.microsoft.com/office/drawing/2014/main" id="{00000000-0008-0000-3900-0000C6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0</xdr:rowOff>
        </xdr:from>
        <xdr:to>
          <xdr:col>6</xdr:col>
          <xdr:colOff>0</xdr:colOff>
          <xdr:row>42</xdr:row>
          <xdr:rowOff>19050</xdr:rowOff>
        </xdr:to>
        <xdr:sp macro="" textlink="">
          <xdr:nvSpPr>
            <xdr:cNvPr id="67015" name="Bandhan_CheckBox" hidden="1">
              <a:extLst>
                <a:ext uri="{63B3BB69-23CF-44E3-9099-C40C66FF867C}">
                  <a14:compatExt spid="_x0000_s67015"/>
                </a:ext>
                <a:ext uri="{FF2B5EF4-FFF2-40B4-BE49-F238E27FC236}">
                  <a16:creationId xmlns:a16="http://schemas.microsoft.com/office/drawing/2014/main" id="{00000000-0008-0000-3900-0000C7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Bandhan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42</xdr:row>
          <xdr:rowOff>0</xdr:rowOff>
        </xdr:from>
        <xdr:to>
          <xdr:col>6</xdr:col>
          <xdr:colOff>0</xdr:colOff>
          <xdr:row>43</xdr:row>
          <xdr:rowOff>19050</xdr:rowOff>
        </xdr:to>
        <xdr:sp macro="" textlink="">
          <xdr:nvSpPr>
            <xdr:cNvPr id="67016" name="Indian_CheckBox" hidden="1">
              <a:extLst>
                <a:ext uri="{63B3BB69-23CF-44E3-9099-C40C66FF867C}">
                  <a14:compatExt spid="_x0000_s67016"/>
                </a:ext>
                <a:ext uri="{FF2B5EF4-FFF2-40B4-BE49-F238E27FC236}">
                  <a16:creationId xmlns:a16="http://schemas.microsoft.com/office/drawing/2014/main" id="{00000000-0008-0000-3900-0000C8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Indian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6</xdr:col>
          <xdr:colOff>0</xdr:colOff>
          <xdr:row>44</xdr:row>
          <xdr:rowOff>19050</xdr:rowOff>
        </xdr:to>
        <xdr:sp macro="" textlink="">
          <xdr:nvSpPr>
            <xdr:cNvPr id="67017" name="IDFC_CheckBox" hidden="1">
              <a:extLst>
                <a:ext uri="{63B3BB69-23CF-44E3-9099-C40C66FF867C}">
                  <a14:compatExt spid="_x0000_s67017"/>
                </a:ext>
                <a:ext uri="{FF2B5EF4-FFF2-40B4-BE49-F238E27FC236}">
                  <a16:creationId xmlns:a16="http://schemas.microsoft.com/office/drawing/2014/main" id="{00000000-0008-0000-3900-0000C9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IDFC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44</xdr:row>
          <xdr:rowOff>0</xdr:rowOff>
        </xdr:from>
        <xdr:to>
          <xdr:col>6</xdr:col>
          <xdr:colOff>0</xdr:colOff>
          <xdr:row>45</xdr:row>
          <xdr:rowOff>19050</xdr:rowOff>
        </xdr:to>
        <xdr:sp macro="" textlink="">
          <xdr:nvSpPr>
            <xdr:cNvPr id="67018" name="RBL_CheckBox" hidden="1">
              <a:extLst>
                <a:ext uri="{63B3BB69-23CF-44E3-9099-C40C66FF867C}">
                  <a14:compatExt spid="_x0000_s67018"/>
                </a:ext>
                <a:ext uri="{FF2B5EF4-FFF2-40B4-BE49-F238E27FC236}">
                  <a16:creationId xmlns:a16="http://schemas.microsoft.com/office/drawing/2014/main" id="{00000000-0008-0000-3900-0000CA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RBL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0</xdr:rowOff>
        </xdr:from>
        <xdr:to>
          <xdr:col>6</xdr:col>
          <xdr:colOff>0</xdr:colOff>
          <xdr:row>46</xdr:row>
          <xdr:rowOff>19050</xdr:rowOff>
        </xdr:to>
        <xdr:sp macro="" textlink="">
          <xdr:nvSpPr>
            <xdr:cNvPr id="67019" name="Union_CheckBox" hidden="1">
              <a:extLst>
                <a:ext uri="{63B3BB69-23CF-44E3-9099-C40C66FF867C}">
                  <a14:compatExt spid="_x0000_s67019"/>
                </a:ext>
                <a:ext uri="{FF2B5EF4-FFF2-40B4-BE49-F238E27FC236}">
                  <a16:creationId xmlns:a16="http://schemas.microsoft.com/office/drawing/2014/main" id="{00000000-0008-0000-3900-0000CB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0</xdr:rowOff>
        </xdr:from>
        <xdr:to>
          <xdr:col>6</xdr:col>
          <xdr:colOff>0</xdr:colOff>
          <xdr:row>47</xdr:row>
          <xdr:rowOff>19050</xdr:rowOff>
        </xdr:to>
        <xdr:sp macro="" textlink="">
          <xdr:nvSpPr>
            <xdr:cNvPr id="67020" name="SBI_CheckBox" hidden="1">
              <a:extLst>
                <a:ext uri="{63B3BB69-23CF-44E3-9099-C40C66FF867C}">
                  <a14:compatExt spid="_x0000_s67020"/>
                </a:ext>
                <a:ext uri="{FF2B5EF4-FFF2-40B4-BE49-F238E27FC236}">
                  <a16:creationId xmlns:a16="http://schemas.microsoft.com/office/drawing/2014/main" id="{00000000-0008-0000-3900-0000CC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0</xdr:rowOff>
        </xdr:from>
        <xdr:to>
          <xdr:col>6</xdr:col>
          <xdr:colOff>0</xdr:colOff>
          <xdr:row>48</xdr:row>
          <xdr:rowOff>19050</xdr:rowOff>
        </xdr:to>
        <xdr:sp macro="" textlink="">
          <xdr:nvSpPr>
            <xdr:cNvPr id="67021" name="BOI_CheckBox" hidden="1">
              <a:extLst>
                <a:ext uri="{63B3BB69-23CF-44E3-9099-C40C66FF867C}">
                  <a14:compatExt spid="_x0000_s67021"/>
                </a:ext>
                <a:ext uri="{FF2B5EF4-FFF2-40B4-BE49-F238E27FC236}">
                  <a16:creationId xmlns:a16="http://schemas.microsoft.com/office/drawing/2014/main" id="{00000000-0008-0000-3900-0000CD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48</xdr:row>
          <xdr:rowOff>0</xdr:rowOff>
        </xdr:from>
        <xdr:to>
          <xdr:col>6</xdr:col>
          <xdr:colOff>0</xdr:colOff>
          <xdr:row>49</xdr:row>
          <xdr:rowOff>19050</xdr:rowOff>
        </xdr:to>
        <xdr:sp macro="" textlink="">
          <xdr:nvSpPr>
            <xdr:cNvPr id="67022" name="UCO_CheckBox" hidden="1">
              <a:extLst>
                <a:ext uri="{63B3BB69-23CF-44E3-9099-C40C66FF867C}">
                  <a14:compatExt spid="_x0000_s67022"/>
                </a:ext>
                <a:ext uri="{FF2B5EF4-FFF2-40B4-BE49-F238E27FC236}">
                  <a16:creationId xmlns:a16="http://schemas.microsoft.com/office/drawing/2014/main" id="{00000000-0008-0000-3900-0000CE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49</xdr:row>
          <xdr:rowOff>0</xdr:rowOff>
        </xdr:from>
        <xdr:to>
          <xdr:col>6</xdr:col>
          <xdr:colOff>0</xdr:colOff>
          <xdr:row>50</xdr:row>
          <xdr:rowOff>19050</xdr:rowOff>
        </xdr:to>
        <xdr:sp macro="" textlink="">
          <xdr:nvSpPr>
            <xdr:cNvPr id="67023" name="CBI_CheckBox" hidden="1">
              <a:extLst>
                <a:ext uri="{63B3BB69-23CF-44E3-9099-C40C66FF867C}">
                  <a14:compatExt spid="_x0000_s67023"/>
                </a:ext>
                <a:ext uri="{FF2B5EF4-FFF2-40B4-BE49-F238E27FC236}">
                  <a16:creationId xmlns:a16="http://schemas.microsoft.com/office/drawing/2014/main" id="{00000000-0008-0000-3900-0000CF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50</xdr:row>
          <xdr:rowOff>0</xdr:rowOff>
        </xdr:from>
        <xdr:to>
          <xdr:col>6</xdr:col>
          <xdr:colOff>0</xdr:colOff>
          <xdr:row>51</xdr:row>
          <xdr:rowOff>19050</xdr:rowOff>
        </xdr:to>
        <xdr:sp macro="" textlink="">
          <xdr:nvSpPr>
            <xdr:cNvPr id="67024" name="BOB(C)_CheckBox" hidden="1">
              <a:extLst>
                <a:ext uri="{63B3BB69-23CF-44E3-9099-C40C66FF867C}">
                  <a14:compatExt spid="_x0000_s67024"/>
                </a:ext>
                <a:ext uri="{FF2B5EF4-FFF2-40B4-BE49-F238E27FC236}">
                  <a16:creationId xmlns:a16="http://schemas.microsoft.com/office/drawing/2014/main" id="{00000000-0008-0000-3900-0000D0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BOB(C)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51</xdr:row>
          <xdr:rowOff>0</xdr:rowOff>
        </xdr:from>
        <xdr:to>
          <xdr:col>6</xdr:col>
          <xdr:colOff>0</xdr:colOff>
          <xdr:row>52</xdr:row>
          <xdr:rowOff>19050</xdr:rowOff>
        </xdr:to>
        <xdr:sp macro="" textlink="">
          <xdr:nvSpPr>
            <xdr:cNvPr id="67025" name="BOB(S)_CheckBox" hidden="1">
              <a:extLst>
                <a:ext uri="{63B3BB69-23CF-44E3-9099-C40C66FF867C}">
                  <a14:compatExt spid="_x0000_s67025"/>
                </a:ext>
                <a:ext uri="{FF2B5EF4-FFF2-40B4-BE49-F238E27FC236}">
                  <a16:creationId xmlns:a16="http://schemas.microsoft.com/office/drawing/2014/main" id="{00000000-0008-0000-3900-0000D1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BOB(S)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52</xdr:row>
          <xdr:rowOff>0</xdr:rowOff>
        </xdr:from>
        <xdr:to>
          <xdr:col>6</xdr:col>
          <xdr:colOff>0</xdr:colOff>
          <xdr:row>53</xdr:row>
          <xdr:rowOff>19050</xdr:rowOff>
        </xdr:to>
        <xdr:sp macro="" textlink="">
          <xdr:nvSpPr>
            <xdr:cNvPr id="67026" name="PNB_CheckBox" hidden="1">
              <a:extLst>
                <a:ext uri="{63B3BB69-23CF-44E3-9099-C40C66FF867C}">
                  <a14:compatExt spid="_x0000_s67026"/>
                </a:ext>
                <a:ext uri="{FF2B5EF4-FFF2-40B4-BE49-F238E27FC236}">
                  <a16:creationId xmlns:a16="http://schemas.microsoft.com/office/drawing/2014/main" id="{00000000-0008-0000-3900-0000D2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PNB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53</xdr:row>
          <xdr:rowOff>0</xdr:rowOff>
        </xdr:from>
        <xdr:to>
          <xdr:col>6</xdr:col>
          <xdr:colOff>0</xdr:colOff>
          <xdr:row>54</xdr:row>
          <xdr:rowOff>19050</xdr:rowOff>
        </xdr:to>
        <xdr:sp macro="" textlink="">
          <xdr:nvSpPr>
            <xdr:cNvPr id="67027" name="PNB (2)_CheckBox" hidden="1">
              <a:extLst>
                <a:ext uri="{63B3BB69-23CF-44E3-9099-C40C66FF867C}">
                  <a14:compatExt spid="_x0000_s67027"/>
                </a:ext>
                <a:ext uri="{FF2B5EF4-FFF2-40B4-BE49-F238E27FC236}">
                  <a16:creationId xmlns:a16="http://schemas.microsoft.com/office/drawing/2014/main" id="{00000000-0008-0000-3900-0000D3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PNB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54</xdr:row>
          <xdr:rowOff>0</xdr:rowOff>
        </xdr:from>
        <xdr:to>
          <xdr:col>6</xdr:col>
          <xdr:colOff>0</xdr:colOff>
          <xdr:row>55</xdr:row>
          <xdr:rowOff>19050</xdr:rowOff>
        </xdr:to>
        <xdr:sp macro="" textlink="">
          <xdr:nvSpPr>
            <xdr:cNvPr id="67028" name="RNSBE_CheckBox" hidden="1">
              <a:extLst>
                <a:ext uri="{63B3BB69-23CF-44E3-9099-C40C66FF867C}">
                  <a14:compatExt spid="_x0000_s67028"/>
                </a:ext>
                <a:ext uri="{FF2B5EF4-FFF2-40B4-BE49-F238E27FC236}">
                  <a16:creationId xmlns:a16="http://schemas.microsoft.com/office/drawing/2014/main" id="{00000000-0008-0000-3900-0000D4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RNSBE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55</xdr:row>
          <xdr:rowOff>0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7029" name="Federal_CheckBox" hidden="1">
              <a:extLst>
                <a:ext uri="{63B3BB69-23CF-44E3-9099-C40C66FF867C}">
                  <a14:compatExt spid="_x0000_s67029"/>
                </a:ext>
                <a:ext uri="{FF2B5EF4-FFF2-40B4-BE49-F238E27FC236}">
                  <a16:creationId xmlns:a16="http://schemas.microsoft.com/office/drawing/2014/main" id="{00000000-0008-0000-3900-0000D5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Federal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56</xdr:row>
          <xdr:rowOff>0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7030" name="Varachha_CheckBox" hidden="1">
              <a:extLst>
                <a:ext uri="{63B3BB69-23CF-44E3-9099-C40C66FF867C}">
                  <a14:compatExt spid="_x0000_s67030"/>
                </a:ext>
                <a:ext uri="{FF2B5EF4-FFF2-40B4-BE49-F238E27FC236}">
                  <a16:creationId xmlns:a16="http://schemas.microsoft.com/office/drawing/2014/main" id="{00000000-0008-0000-3900-0000D6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Varachha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57</xdr:row>
          <xdr:rowOff>0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7031" name="SNCB_CheckBox" hidden="1">
              <a:extLst>
                <a:ext uri="{63B3BB69-23CF-44E3-9099-C40C66FF867C}">
                  <a14:compatExt spid="_x0000_s67031"/>
                </a:ext>
                <a:ext uri="{FF2B5EF4-FFF2-40B4-BE49-F238E27FC236}">
                  <a16:creationId xmlns:a16="http://schemas.microsoft.com/office/drawing/2014/main" id="{00000000-0008-0000-3900-0000D7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SNCB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58</xdr:row>
          <xdr:rowOff>0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7032" name="SDCB_CheckBox" hidden="1">
              <a:extLst>
                <a:ext uri="{63B3BB69-23CF-44E3-9099-C40C66FF867C}">
                  <a14:compatExt spid="_x0000_s67032"/>
                </a:ext>
                <a:ext uri="{FF2B5EF4-FFF2-40B4-BE49-F238E27FC236}">
                  <a16:creationId xmlns:a16="http://schemas.microsoft.com/office/drawing/2014/main" id="{00000000-0008-0000-3900-0000D8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SDCB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59</xdr:row>
          <xdr:rowOff>0</xdr:rowOff>
        </xdr:from>
        <xdr:to>
          <xdr:col>6</xdr:col>
          <xdr:colOff>0</xdr:colOff>
          <xdr:row>60</xdr:row>
          <xdr:rowOff>19050</xdr:rowOff>
        </xdr:to>
        <xdr:sp macro="" textlink="">
          <xdr:nvSpPr>
            <xdr:cNvPr id="67033" name="AU_CheckBox" hidden="1">
              <a:extLst>
                <a:ext uri="{63B3BB69-23CF-44E3-9099-C40C66FF867C}">
                  <a14:compatExt spid="_x0000_s67033"/>
                </a:ext>
                <a:ext uri="{FF2B5EF4-FFF2-40B4-BE49-F238E27FC236}">
                  <a16:creationId xmlns:a16="http://schemas.microsoft.com/office/drawing/2014/main" id="{00000000-0008-0000-3900-0000D9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60</xdr:row>
          <xdr:rowOff>0</xdr:rowOff>
        </xdr:from>
        <xdr:to>
          <xdr:col>6</xdr:col>
          <xdr:colOff>0</xdr:colOff>
          <xdr:row>61</xdr:row>
          <xdr:rowOff>19050</xdr:rowOff>
        </xdr:to>
        <xdr:sp macro="" textlink="">
          <xdr:nvSpPr>
            <xdr:cNvPr id="67034" name="Prime_CheckBox" hidden="1">
              <a:extLst>
                <a:ext uri="{63B3BB69-23CF-44E3-9099-C40C66FF867C}">
                  <a14:compatExt spid="_x0000_s67034"/>
                </a:ext>
                <a:ext uri="{FF2B5EF4-FFF2-40B4-BE49-F238E27FC236}">
                  <a16:creationId xmlns:a16="http://schemas.microsoft.com/office/drawing/2014/main" id="{00000000-0008-0000-3900-0000DA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61</xdr:row>
          <xdr:rowOff>0</xdr:rowOff>
        </xdr:from>
        <xdr:to>
          <xdr:col>6</xdr:col>
          <xdr:colOff>0</xdr:colOff>
          <xdr:row>62</xdr:row>
          <xdr:rowOff>19050</xdr:rowOff>
        </xdr:to>
        <xdr:sp macro="" textlink="">
          <xdr:nvSpPr>
            <xdr:cNvPr id="67035" name="DCB_CheckBox" hidden="1">
              <a:extLst>
                <a:ext uri="{63B3BB69-23CF-44E3-9099-C40C66FF867C}">
                  <a14:compatExt spid="_x0000_s67035"/>
                </a:ext>
                <a:ext uri="{FF2B5EF4-FFF2-40B4-BE49-F238E27FC236}">
                  <a16:creationId xmlns:a16="http://schemas.microsoft.com/office/drawing/2014/main" id="{00000000-0008-0000-3900-0000DB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62</xdr:row>
          <xdr:rowOff>0</xdr:rowOff>
        </xdr:from>
        <xdr:to>
          <xdr:col>6</xdr:col>
          <xdr:colOff>0</xdr:colOff>
          <xdr:row>63</xdr:row>
          <xdr:rowOff>19050</xdr:rowOff>
        </xdr:to>
        <xdr:sp macro="" textlink="">
          <xdr:nvSpPr>
            <xdr:cNvPr id="67036" name="Saraswat_CheckBox" hidden="1">
              <a:extLst>
                <a:ext uri="{63B3BB69-23CF-44E3-9099-C40C66FF867C}">
                  <a14:compatExt spid="_x0000_s67036"/>
                </a:ext>
                <a:ext uri="{FF2B5EF4-FFF2-40B4-BE49-F238E27FC236}">
                  <a16:creationId xmlns:a16="http://schemas.microsoft.com/office/drawing/2014/main" id="{00000000-0008-0000-3900-0000DC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Saraswat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63</xdr:row>
          <xdr:rowOff>0</xdr:rowOff>
        </xdr:from>
        <xdr:to>
          <xdr:col>6</xdr:col>
          <xdr:colOff>0</xdr:colOff>
          <xdr:row>64</xdr:row>
          <xdr:rowOff>19050</xdr:rowOff>
        </xdr:to>
        <xdr:sp macro="" textlink="">
          <xdr:nvSpPr>
            <xdr:cNvPr id="67037" name="Equitas_CheckBox" hidden="1">
              <a:extLst>
                <a:ext uri="{63B3BB69-23CF-44E3-9099-C40C66FF867C}">
                  <a14:compatExt spid="_x0000_s67037"/>
                </a:ext>
                <a:ext uri="{FF2B5EF4-FFF2-40B4-BE49-F238E27FC236}">
                  <a16:creationId xmlns:a16="http://schemas.microsoft.com/office/drawing/2014/main" id="{00000000-0008-0000-3900-0000DD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Equitas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64</xdr:row>
          <xdr:rowOff>0</xdr:rowOff>
        </xdr:from>
        <xdr:to>
          <xdr:col>6</xdr:col>
          <xdr:colOff>0</xdr:colOff>
          <xdr:row>65</xdr:row>
          <xdr:rowOff>19050</xdr:rowOff>
        </xdr:to>
        <xdr:sp macro="" textlink="">
          <xdr:nvSpPr>
            <xdr:cNvPr id="67038" name="SIB_CheckBox" hidden="1">
              <a:extLst>
                <a:ext uri="{63B3BB69-23CF-44E3-9099-C40C66FF867C}">
                  <a14:compatExt spid="_x0000_s67038"/>
                </a:ext>
                <a:ext uri="{FF2B5EF4-FFF2-40B4-BE49-F238E27FC236}">
                  <a16:creationId xmlns:a16="http://schemas.microsoft.com/office/drawing/2014/main" id="{00000000-0008-0000-3900-0000DE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SIB</a:t>
              </a:r>
            </a:p>
          </xdr:txBody>
        </xdr:sp>
        <xdr:clientData/>
      </xdr:twoCellAnchor>
    </mc:Choice>
    <mc:Fallback/>
  </mc:AlternateContent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0</xdr:row>
      <xdr:rowOff>295276</xdr:rowOff>
    </xdr:from>
    <xdr:to>
      <xdr:col>0</xdr:col>
      <xdr:colOff>1590675</xdr:colOff>
      <xdr:row>2</xdr:row>
      <xdr:rowOff>85726</xdr:rowOff>
    </xdr:to>
    <xdr:sp macro="[0]!Master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900-000002000000}"/>
            </a:ext>
          </a:extLst>
        </xdr:cNvPr>
        <xdr:cNvSpPr/>
      </xdr:nvSpPr>
      <xdr:spPr>
        <a:xfrm>
          <a:off x="114299" y="295276"/>
          <a:ext cx="1476376" cy="45720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Combain</a:t>
          </a:r>
          <a:r>
            <a:rPr lang="en-US" sz="1100" baseline="0">
              <a:solidFill>
                <a:schemeClr val="bg1"/>
              </a:solidFill>
            </a:rPr>
            <a:t> All Bank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1371600</xdr:colOff>
      <xdr:row>0</xdr:row>
      <xdr:rowOff>314325</xdr:rowOff>
    </xdr:from>
    <xdr:to>
      <xdr:col>8</xdr:col>
      <xdr:colOff>2628899</xdr:colOff>
      <xdr:row>2</xdr:row>
      <xdr:rowOff>38101</xdr:rowOff>
    </xdr:to>
    <xdr:sp macro="[0]!clearwithourprotec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900-000003000000}"/>
            </a:ext>
          </a:extLst>
        </xdr:cNvPr>
        <xdr:cNvSpPr/>
      </xdr:nvSpPr>
      <xdr:spPr>
        <a:xfrm>
          <a:off x="12049125" y="314325"/>
          <a:ext cx="1257299" cy="390526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ysClr val="windowText" lastClr="000000"/>
              </a:solidFill>
            </a:rPr>
            <a:t>Clear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114300</xdr:colOff>
      <xdr:row>2</xdr:row>
      <xdr:rowOff>142875</xdr:rowOff>
    </xdr:from>
    <xdr:to>
      <xdr:col>0</xdr:col>
      <xdr:colOff>1590675</xdr:colOff>
      <xdr:row>3</xdr:row>
      <xdr:rowOff>228601</xdr:rowOff>
    </xdr:to>
    <xdr:sp macro="[0]!export_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900-000004000000}"/>
            </a:ext>
          </a:extLst>
        </xdr:cNvPr>
        <xdr:cNvSpPr/>
      </xdr:nvSpPr>
      <xdr:spPr>
        <a:xfrm>
          <a:off x="114300" y="809625"/>
          <a:ext cx="1476375" cy="419101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Export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1362075</xdr:colOff>
      <xdr:row>2</xdr:row>
      <xdr:rowOff>133350</xdr:rowOff>
    </xdr:from>
    <xdr:to>
      <xdr:col>8</xdr:col>
      <xdr:colOff>2638425</xdr:colOff>
      <xdr:row>3</xdr:row>
      <xdr:rowOff>190501</xdr:rowOff>
    </xdr:to>
    <xdr:sp macro="[0]!Clearal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900-000005000000}"/>
            </a:ext>
          </a:extLst>
        </xdr:cNvPr>
        <xdr:cNvSpPr/>
      </xdr:nvSpPr>
      <xdr:spPr>
        <a:xfrm>
          <a:off x="11649075" y="800100"/>
          <a:ext cx="1276350" cy="390526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ysClr val="windowText" lastClr="000000"/>
              </a:solidFill>
            </a:rPr>
            <a:t>All Data Clear 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114300</xdr:colOff>
      <xdr:row>0</xdr:row>
      <xdr:rowOff>219075</xdr:rowOff>
    </xdr:from>
    <xdr:to>
      <xdr:col>3</xdr:col>
      <xdr:colOff>38100</xdr:colOff>
      <xdr:row>1</xdr:row>
      <xdr:rowOff>266701</xdr:rowOff>
    </xdr:to>
    <xdr:sp macro="[0]!CompanyLis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900-000006000000}"/>
            </a:ext>
          </a:extLst>
        </xdr:cNvPr>
        <xdr:cNvSpPr/>
      </xdr:nvSpPr>
      <xdr:spPr>
        <a:xfrm>
          <a:off x="3076575" y="219075"/>
          <a:ext cx="1209675" cy="381001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Company List</a:t>
          </a:r>
        </a:p>
      </xdr:txBody>
    </xdr:sp>
    <xdr:clientData/>
  </xdr:twoCellAnchor>
  <xdr:twoCellAnchor>
    <xdr:from>
      <xdr:col>3</xdr:col>
      <xdr:colOff>304800</xdr:colOff>
      <xdr:row>0</xdr:row>
      <xdr:rowOff>219075</xdr:rowOff>
    </xdr:from>
    <xdr:to>
      <xdr:col>4</xdr:col>
      <xdr:colOff>228600</xdr:colOff>
      <xdr:row>1</xdr:row>
      <xdr:rowOff>266701</xdr:rowOff>
    </xdr:to>
    <xdr:sp macro="[0]!AccountMaping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900-000007000000}"/>
            </a:ext>
          </a:extLst>
        </xdr:cNvPr>
        <xdr:cNvSpPr/>
      </xdr:nvSpPr>
      <xdr:spPr>
        <a:xfrm>
          <a:off x="4552950" y="219075"/>
          <a:ext cx="1209675" cy="381001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Account Map</a:t>
          </a:r>
        </a:p>
      </xdr:txBody>
    </xdr:sp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15</xdr:row>
      <xdr:rowOff>28575</xdr:rowOff>
    </xdr:from>
    <xdr:to>
      <xdr:col>1</xdr:col>
      <xdr:colOff>933450</xdr:colOff>
      <xdr:row>16</xdr:row>
      <xdr:rowOff>162075</xdr:rowOff>
    </xdr:to>
    <xdr:sp macro="[0]!Registration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3A00-000002000000}"/>
            </a:ext>
          </a:extLst>
        </xdr:cNvPr>
        <xdr:cNvSpPr>
          <a:spLocks/>
        </xdr:cNvSpPr>
      </xdr:nvSpPr>
      <xdr:spPr>
        <a:xfrm>
          <a:off x="581025" y="2886075"/>
          <a:ext cx="1933575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Registration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58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58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4">
    <tabColor theme="8" tint="0.79998168889431442"/>
  </sheetPr>
  <dimension ref="A1:DZ4"/>
  <sheetViews>
    <sheetView showRuler="0" workbookViewId="0">
      <selection activeCell="F17" sqref="F17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167</v>
      </c>
      <c r="T1" s="95">
        <v>10</v>
      </c>
      <c r="U1" s="95" t="s">
        <v>170</v>
      </c>
      <c r="V1" s="95" t="s">
        <v>202</v>
      </c>
      <c r="W1" s="95" t="s">
        <v>224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97" t="s">
        <v>60</v>
      </c>
      <c r="B3" s="98"/>
      <c r="C3" s="97"/>
      <c r="D3" s="9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48" t="str">
        <f>+$A$3</f>
        <v>ICICI Bank A/c.</v>
      </c>
      <c r="DB3" s="149">
        <f>VALUE(B3)</f>
        <v>0</v>
      </c>
      <c r="DC3" s="150" t="e">
        <f>+CONCATENATE(TEXT(DB3,"D"),"",TEXT(DB3,"MM"),"","/",SUBSTITUTE(DF3,",",""),"/",DK3)</f>
        <v>#VALUE!</v>
      </c>
      <c r="DD3" s="151">
        <f>IF(TRIM(J3)="",VALUE("0"),VALUE(SUBSTITUTE((TRIM(J3)),",","")))</f>
        <v>0</v>
      </c>
      <c r="DE3" s="151">
        <f>IF(TRIM(L3)="",VALUE("0"),VALUE(SUBSTITUTE((TRIM(L3)),",","")))</f>
        <v>0</v>
      </c>
      <c r="DF3" s="151">
        <f>IF(TRIM(N3)="", 0, VALUE(SUBSTITUTE(SUBSTITUTE(SUBSTITUTE(TRIM(N3), ",", ""), "Cr", ""), "Dr", "")))</f>
        <v>0</v>
      </c>
      <c r="DG3" s="152" t="str">
        <f ca="1">(SUBSTITUTE(TRIM(IF(LEFT(G3,3)="CLG"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6)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12))),".",""))</f>
        <v/>
      </c>
      <c r="DH3" s="153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I3" s="154" t="str">
        <f>+IF(DE3=0,"Suspance Payment","Suspance Receipt")</f>
        <v>Suspance Payment</v>
      </c>
      <c r="DJ3" s="155">
        <f>+C3</f>
        <v>0</v>
      </c>
      <c r="DK3" s="156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41" t="s">
        <v>39</v>
      </c>
      <c r="B4" s="99" t="s">
        <v>217</v>
      </c>
      <c r="C4" s="99" t="s">
        <v>218</v>
      </c>
      <c r="D4" s="99"/>
      <c r="E4" s="99"/>
      <c r="F4" s="99"/>
      <c r="G4" s="99" t="s">
        <v>219</v>
      </c>
      <c r="H4" s="99"/>
      <c r="I4" s="99" t="s">
        <v>220</v>
      </c>
      <c r="J4" s="99" t="s">
        <v>221</v>
      </c>
      <c r="K4" s="140"/>
      <c r="L4" s="140" t="s">
        <v>222</v>
      </c>
      <c r="M4" s="140"/>
      <c r="N4" s="140" t="s">
        <v>223</v>
      </c>
      <c r="U4" s="6" t="s">
        <v>178</v>
      </c>
      <c r="DA4" s="38" t="str">
        <f>+DA3</f>
        <v>ICICI Bank A/c.</v>
      </c>
    </row>
  </sheetData>
  <sheetProtection algorithmName="SHA-512" hashValue="ENsji1lfoSznxnq1OfinMTZkZKLfM6uusKrNXaTnYvsOwN0yv4EKkEf9RjhNOfE5HR+pBhLLEfbq6UlE9Z0FmQ==" saltValue="8Puu+N9BlCH6xybzvXdqj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phoneticPr fontId="44" type="noConversion"/>
  <conditionalFormatting sqref="E3 I1:I2">
    <cfRule type="cellIs" dxfId="616" priority="10" operator="equal">
      <formula>#N/A</formula>
    </cfRule>
  </conditionalFormatting>
  <conditionalFormatting sqref="H1">
    <cfRule type="cellIs" dxfId="615" priority="9" operator="equal">
      <formula>#N/A</formula>
    </cfRule>
  </conditionalFormatting>
  <conditionalFormatting sqref="E1">
    <cfRule type="cellIs" dxfId="614" priority="8" operator="equal">
      <formula>#N/A</formula>
    </cfRule>
  </conditionalFormatting>
  <conditionalFormatting sqref="I1">
    <cfRule type="containsText" dxfId="613" priority="6" operator="containsText" text="All Data Import Successfully">
      <formula>NOT(ISERROR(SEARCH("All Data Import Successfully",I1)))</formula>
    </cfRule>
    <cfRule type="containsText" dxfId="612" priority="7" operator="containsText" text="Difference Entry">
      <formula>NOT(ISERROR(SEARCH("Difference Entry",I1)))</formula>
    </cfRule>
  </conditionalFormatting>
  <conditionalFormatting sqref="DG2">
    <cfRule type="cellIs" dxfId="611" priority="5" operator="equal">
      <formula>#N/A</formula>
    </cfRule>
  </conditionalFormatting>
  <conditionalFormatting sqref="DH2:DI2">
    <cfRule type="cellIs" dxfId="610" priority="4" operator="equal">
      <formula>#N/A</formula>
    </cfRule>
  </conditionalFormatting>
  <conditionalFormatting sqref="E2:G2">
    <cfRule type="cellIs" dxfId="609" priority="3" operator="equal">
      <formula>#N/A</formula>
    </cfRule>
  </conditionalFormatting>
  <conditionalFormatting sqref="H2">
    <cfRule type="cellIs" dxfId="608" priority="2" operator="equal">
      <formula>#N/A</formula>
    </cfRule>
  </conditionalFormatting>
  <conditionalFormatting sqref="I2">
    <cfRule type="cellIs" dxfId="60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9">
    <tabColor theme="8" tint="0.79998168889431442"/>
  </sheetPr>
  <dimension ref="A1:DZ4"/>
  <sheetViews>
    <sheetView workbookViewId="0">
      <selection activeCell="E24" sqref="E24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167</v>
      </c>
      <c r="T1" s="95">
        <v>10</v>
      </c>
      <c r="U1" s="95" t="s">
        <v>170</v>
      </c>
      <c r="V1" s="95" t="s">
        <v>202</v>
      </c>
      <c r="W1" s="95" t="s">
        <v>224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07" t="s">
        <v>60</v>
      </c>
      <c r="B3" s="208"/>
      <c r="C3" s="207"/>
      <c r="D3" s="207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IF(TRIM(F3)="",VALUE("0"),VALUE(SUBSTITUTE((TRIM(F3)),",","")))</f>
        <v>0</v>
      </c>
      <c r="DE3" s="26">
        <f>IF(TRIM(H3)="",VALUE("0"),VALUE(SUBSTITUTE((TRIM(H3)),",","")))</f>
        <v>0</v>
      </c>
      <c r="DF3" s="26">
        <f>IFERROR(IF(TRIM(M3)="", 0, VALUE(SUBSTITUTE(SUBSTITUTE(SUBSTITUTE(TRIM(M3), ",", ""), "Cr", ""), "Dr", ""))),DF2+DE3-DD3)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69" t="str">
        <f>+A3</f>
        <v>ICICI Bank A/c.</v>
      </c>
      <c r="DI3" s="28" t="str">
        <f>+IF(DE3=0,"Suspance Payment","Suspance Receipt")</f>
        <v>Suspance Payment</v>
      </c>
      <c r="DJ3" s="2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3.25" thickBot="1">
      <c r="A4" s="209" t="s">
        <v>32</v>
      </c>
      <c r="B4" s="210" t="s">
        <v>147</v>
      </c>
      <c r="C4" s="210"/>
      <c r="D4" s="210"/>
      <c r="E4" s="210" t="s">
        <v>301</v>
      </c>
      <c r="F4" s="210" t="s">
        <v>68</v>
      </c>
      <c r="G4" s="210"/>
      <c r="H4" s="210" t="s">
        <v>69</v>
      </c>
      <c r="I4" s="210"/>
      <c r="J4" s="210" t="s">
        <v>302</v>
      </c>
      <c r="K4" s="210" t="s">
        <v>303</v>
      </c>
      <c r="L4" s="210"/>
      <c r="M4" s="211" t="s">
        <v>108</v>
      </c>
      <c r="N4" s="140"/>
      <c r="U4" s="6" t="s">
        <v>178</v>
      </c>
      <c r="DA4" s="38" t="str">
        <f>+DA3</f>
        <v>ICICI Bank A/c.</v>
      </c>
    </row>
  </sheetData>
  <sheetProtection algorithmName="SHA-512" hashValue="GsVs+UUpq4qXkexVDtZX4bucg/ZWJ/enkiyYL65ni5pRAkiGeE35LBB8nVv9vH2836srPSr0fC2L6W7rJe9wfg==" saltValue="pj+t3mJp9mj600lRk0+G/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606" priority="10" operator="equal">
      <formula>#N/A</formula>
    </cfRule>
  </conditionalFormatting>
  <conditionalFormatting sqref="H1">
    <cfRule type="cellIs" dxfId="605" priority="9" operator="equal">
      <formula>#N/A</formula>
    </cfRule>
  </conditionalFormatting>
  <conditionalFormatting sqref="E1">
    <cfRule type="cellIs" dxfId="604" priority="8" operator="equal">
      <formula>#N/A</formula>
    </cfRule>
  </conditionalFormatting>
  <conditionalFormatting sqref="I1">
    <cfRule type="containsText" dxfId="603" priority="6" operator="containsText" text="All Data Import Successfully">
      <formula>NOT(ISERROR(SEARCH("All Data Import Successfully",I1)))</formula>
    </cfRule>
    <cfRule type="containsText" dxfId="602" priority="7" operator="containsText" text="Difference Entry">
      <formula>NOT(ISERROR(SEARCH("Difference Entry",I1)))</formula>
    </cfRule>
  </conditionalFormatting>
  <conditionalFormatting sqref="DG2">
    <cfRule type="cellIs" dxfId="601" priority="5" operator="equal">
      <formula>#N/A</formula>
    </cfRule>
  </conditionalFormatting>
  <conditionalFormatting sqref="DH2:DI2">
    <cfRule type="cellIs" dxfId="600" priority="4" operator="equal">
      <formula>#N/A</formula>
    </cfRule>
  </conditionalFormatting>
  <conditionalFormatting sqref="E2:G2">
    <cfRule type="cellIs" dxfId="599" priority="3" operator="equal">
      <formula>#N/A</formula>
    </cfRule>
  </conditionalFormatting>
  <conditionalFormatting sqref="H2">
    <cfRule type="cellIs" dxfId="598" priority="2" operator="equal">
      <formula>#N/A</formula>
    </cfRule>
  </conditionalFormatting>
  <conditionalFormatting sqref="I2">
    <cfRule type="cellIs" dxfId="59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3">
    <tabColor theme="8" tint="0.79998168889431442"/>
  </sheetPr>
  <dimension ref="A1:DZ4"/>
  <sheetViews>
    <sheetView showRuler="0" workbookViewId="0">
      <selection activeCell="E37" sqref="E37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167</v>
      </c>
      <c r="T1" s="95">
        <v>10</v>
      </c>
      <c r="U1" s="95" t="s">
        <v>168</v>
      </c>
      <c r="V1" s="95" t="s">
        <v>169</v>
      </c>
      <c r="W1" s="95" t="s">
        <v>170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07" t="s">
        <v>60</v>
      </c>
      <c r="B3" s="208"/>
      <c r="C3" s="207"/>
      <c r="D3" s="207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>
        <f>VALUE(E3)</f>
        <v>0</v>
      </c>
      <c r="DC3" s="25" t="e">
        <f>+CONCATENATE(TEXT(DB3,"D"),"",TEXT(DB3,"MM"),"","/",SUBSTITUTE(DF3,",",""),"/",DK3)</f>
        <v>#VALUE!</v>
      </c>
      <c r="DD3" s="26">
        <f>IF(H3="",VALUE("0"),VALUE(SUBSTITUTE(SUBSTITUTE((H3),",",""),"NA",0)))</f>
        <v>0</v>
      </c>
      <c r="DE3" s="26">
        <f>IF(J3="",VALUE("0"),VALUE(SUBSTITUTE(SUBSTITUTE((J3),",",""),"NA",0)))</f>
        <v>0</v>
      </c>
      <c r="DF3" s="26" t="str">
        <f>IF(K3="","",VALUE(SUBSTITUTE((K3),",","")))</f>
        <v/>
      </c>
      <c r="DG3" s="26" t="str">
        <f>IF(K3="","",VALUE(SUBSTITUTE((K3),",","")))</f>
        <v/>
      </c>
      <c r="DH3" s="28">
        <f>+DB3</f>
        <v>0</v>
      </c>
      <c r="DI3" s="28" t="str">
        <f>+IF(DE3=0,"Suspance Payment","Suspance Receipt")</f>
        <v>Suspance Payment</v>
      </c>
      <c r="DJ3" s="29">
        <f>+G3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22" t="s">
        <v>16</v>
      </c>
      <c r="B4" s="222" t="s">
        <v>325</v>
      </c>
      <c r="C4" s="222" t="s">
        <v>18</v>
      </c>
      <c r="D4" s="222"/>
      <c r="E4" s="222" t="s">
        <v>25</v>
      </c>
      <c r="F4" s="222" t="s">
        <v>326</v>
      </c>
      <c r="G4" s="222" t="s">
        <v>28</v>
      </c>
      <c r="H4" s="222" t="s">
        <v>327</v>
      </c>
      <c r="I4" s="222"/>
      <c r="J4" s="222" t="s">
        <v>328</v>
      </c>
      <c r="K4" s="223" t="s">
        <v>11</v>
      </c>
      <c r="U4" s="6" t="s">
        <v>178</v>
      </c>
      <c r="DA4" s="38" t="str">
        <f>+DA3</f>
        <v>ICICI Bank A/c.</v>
      </c>
    </row>
  </sheetData>
  <sheetProtection algorithmName="SHA-512" hashValue="/TxTNWcqg0ekW55AizqdL4By1Y0Sz/YqAan35ymYu5PKpeD5i8EfkCKyibZHuMoXmqq74UfRYtrXn6kvAPNQTg==" saltValue="L7g+5bTJNm6hoYmIuzz0v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G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596" priority="10" operator="equal">
      <formula>#N/A</formula>
    </cfRule>
  </conditionalFormatting>
  <conditionalFormatting sqref="H1">
    <cfRule type="cellIs" dxfId="595" priority="9" operator="equal">
      <formula>#N/A</formula>
    </cfRule>
  </conditionalFormatting>
  <conditionalFormatting sqref="E1">
    <cfRule type="cellIs" dxfId="594" priority="8" operator="equal">
      <formula>#N/A</formula>
    </cfRule>
  </conditionalFormatting>
  <conditionalFormatting sqref="I1">
    <cfRule type="containsText" dxfId="593" priority="6" operator="containsText" text="All Data Import Successfully">
      <formula>NOT(ISERROR(SEARCH("All Data Import Successfully",I1)))</formula>
    </cfRule>
    <cfRule type="containsText" dxfId="592" priority="7" operator="containsText" text="Difference Entry">
      <formula>NOT(ISERROR(SEARCH("Difference Entry",I1)))</formula>
    </cfRule>
  </conditionalFormatting>
  <conditionalFormatting sqref="DG2">
    <cfRule type="cellIs" dxfId="591" priority="5" operator="equal">
      <formula>#N/A</formula>
    </cfRule>
  </conditionalFormatting>
  <conditionalFormatting sqref="DH2:DI2">
    <cfRule type="cellIs" dxfId="590" priority="4" operator="equal">
      <formula>#N/A</formula>
    </cfRule>
  </conditionalFormatting>
  <conditionalFormatting sqref="E2:G2">
    <cfRule type="cellIs" dxfId="589" priority="3" operator="equal">
      <formula>#N/A</formula>
    </cfRule>
  </conditionalFormatting>
  <conditionalFormatting sqref="H2">
    <cfRule type="cellIs" dxfId="588" priority="2" operator="equal">
      <formula>#N/A</formula>
    </cfRule>
  </conditionalFormatting>
  <conditionalFormatting sqref="I2">
    <cfRule type="cellIs" dxfId="58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6">
    <tabColor theme="8" tint="0.79998168889431442"/>
  </sheetPr>
  <dimension ref="A1:DZ4"/>
  <sheetViews>
    <sheetView workbookViewId="0">
      <selection activeCell="C3" sqref="C3"/>
    </sheetView>
  </sheetViews>
  <sheetFormatPr defaultRowHeight="15"/>
  <cols>
    <col min="1" max="1" width="25.7109375" style="195" customWidth="1"/>
    <col min="2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10</v>
      </c>
      <c r="Z1" s="95">
        <v>0</v>
      </c>
      <c r="AA1" s="95" t="s">
        <v>257</v>
      </c>
      <c r="AB1" s="95" t="s">
        <v>256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64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32</v>
      </c>
      <c r="B4" s="104" t="s">
        <v>33</v>
      </c>
      <c r="C4" s="104" t="s">
        <v>34</v>
      </c>
      <c r="D4" s="104" t="s">
        <v>35</v>
      </c>
      <c r="E4" s="104" t="s">
        <v>36</v>
      </c>
      <c r="F4" s="104" t="s">
        <v>37</v>
      </c>
      <c r="G4" s="105" t="s">
        <v>38</v>
      </c>
      <c r="DA4" s="38" t="str">
        <f>+DA3</f>
        <v>HDFC Bank A/c.</v>
      </c>
    </row>
  </sheetData>
  <sheetProtection algorithmName="SHA-512" hashValue="bS3UiSNhUs79fBc4VlOBRUOK41xnW7NJomMylG28JYlOxM8tMoMcgi+ok6J8RB1AFu6nTcjZp9s0MPrW3ySzcA==" saltValue="dHBT87feQFFFkvPvkvS9e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586" priority="11" operator="equal">
      <formula>#N/A</formula>
    </cfRule>
  </conditionalFormatting>
  <conditionalFormatting sqref="DG2">
    <cfRule type="cellIs" dxfId="585" priority="10" operator="equal">
      <formula>#N/A</formula>
    </cfRule>
  </conditionalFormatting>
  <conditionalFormatting sqref="DH2:DI2">
    <cfRule type="cellIs" dxfId="584" priority="9" operator="equal">
      <formula>#N/A</formula>
    </cfRule>
  </conditionalFormatting>
  <conditionalFormatting sqref="I1:I2">
    <cfRule type="cellIs" dxfId="583" priority="8" operator="equal">
      <formula>#N/A</formula>
    </cfRule>
  </conditionalFormatting>
  <conditionalFormatting sqref="H1">
    <cfRule type="cellIs" dxfId="582" priority="7" operator="equal">
      <formula>#N/A</formula>
    </cfRule>
  </conditionalFormatting>
  <conditionalFormatting sqref="E1">
    <cfRule type="cellIs" dxfId="581" priority="6" operator="equal">
      <formula>#N/A</formula>
    </cfRule>
  </conditionalFormatting>
  <conditionalFormatting sqref="I1">
    <cfRule type="containsText" dxfId="580" priority="4" operator="containsText" text="All Data Import Successfully">
      <formula>NOT(ISERROR(SEARCH("All Data Import Successfully",I1)))</formula>
    </cfRule>
    <cfRule type="containsText" dxfId="579" priority="5" operator="containsText" text="Difference Entry">
      <formula>NOT(ISERROR(SEARCH("Difference Entry",I1)))</formula>
    </cfRule>
  </conditionalFormatting>
  <conditionalFormatting sqref="E2:G2">
    <cfRule type="cellIs" dxfId="578" priority="3" operator="equal">
      <formula>#N/A</formula>
    </cfRule>
  </conditionalFormatting>
  <conditionalFormatting sqref="H2">
    <cfRule type="cellIs" dxfId="577" priority="2" operator="equal">
      <formula>#N/A</formula>
    </cfRule>
  </conditionalFormatting>
  <conditionalFormatting sqref="I2">
    <cfRule type="cellIs" dxfId="576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5">
    <tabColor theme="8" tint="0.79998168889431442"/>
  </sheetPr>
  <dimension ref="A1:DZ4"/>
  <sheetViews>
    <sheetView workbookViewId="0">
      <selection activeCell="E23" sqref="E23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214</v>
      </c>
      <c r="T1" s="95">
        <v>7</v>
      </c>
      <c r="U1" s="95" t="s">
        <v>197</v>
      </c>
      <c r="V1" s="95" t="s">
        <v>181</v>
      </c>
      <c r="W1" s="95" t="s">
        <v>172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61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IF(OR(D3=" ", D3=""), 0, VALUE(SUBSTITUTE(D3, ",", "")))</f>
        <v>0</v>
      </c>
      <c r="DE3" s="26">
        <f>IF(OR(E3=" ", E3=""),VALUE("0"),VALUE(SUBSTITUTE((E3),",","")))</f>
        <v>0</v>
      </c>
      <c r="DF3" s="26" t="str">
        <f>IF(OR(F3=" ", F3=""),"",VALUE(SUBSTITUTE((F3),",","")))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39</v>
      </c>
      <c r="B4" s="104" t="s">
        <v>40</v>
      </c>
      <c r="C4" s="104" t="s">
        <v>41</v>
      </c>
      <c r="D4" s="104" t="s">
        <v>42</v>
      </c>
      <c r="E4" s="104" t="s">
        <v>43</v>
      </c>
      <c r="F4" s="104" t="s">
        <v>44</v>
      </c>
      <c r="G4" s="105" t="s">
        <v>45</v>
      </c>
      <c r="DA4" s="38" t="str">
        <f>+DA3</f>
        <v>Axis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575" priority="11" operator="equal">
      <formula>#N/A</formula>
    </cfRule>
  </conditionalFormatting>
  <conditionalFormatting sqref="DG2">
    <cfRule type="cellIs" dxfId="574" priority="10" operator="equal">
      <formula>#N/A</formula>
    </cfRule>
  </conditionalFormatting>
  <conditionalFormatting sqref="DH2:DI2">
    <cfRule type="cellIs" dxfId="573" priority="9" operator="equal">
      <formula>#N/A</formula>
    </cfRule>
  </conditionalFormatting>
  <conditionalFormatting sqref="I1:I2">
    <cfRule type="cellIs" dxfId="572" priority="8" operator="equal">
      <formula>#N/A</formula>
    </cfRule>
  </conditionalFormatting>
  <conditionalFormatting sqref="H1">
    <cfRule type="cellIs" dxfId="571" priority="7" operator="equal">
      <formula>#N/A</formula>
    </cfRule>
  </conditionalFormatting>
  <conditionalFormatting sqref="E1">
    <cfRule type="cellIs" dxfId="570" priority="6" operator="equal">
      <formula>#N/A</formula>
    </cfRule>
  </conditionalFormatting>
  <conditionalFormatting sqref="I1">
    <cfRule type="containsText" dxfId="569" priority="4" operator="containsText" text="All Data Import Successfully">
      <formula>NOT(ISERROR(SEARCH("All Data Import Successfully",I1)))</formula>
    </cfRule>
    <cfRule type="containsText" dxfId="568" priority="5" operator="containsText" text="Difference Entry">
      <formula>NOT(ISERROR(SEARCH("Difference Entry",I1)))</formula>
    </cfRule>
  </conditionalFormatting>
  <conditionalFormatting sqref="E2:G2">
    <cfRule type="cellIs" dxfId="567" priority="3" operator="equal">
      <formula>#N/A</formula>
    </cfRule>
  </conditionalFormatting>
  <conditionalFormatting sqref="H2">
    <cfRule type="cellIs" dxfId="566" priority="2" operator="equal">
      <formula>#N/A</formula>
    </cfRule>
  </conditionalFormatting>
  <conditionalFormatting sqref="I2">
    <cfRule type="cellIs" dxfId="56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0">
    <tabColor theme="8" tint="0.79998168889431442"/>
  </sheetPr>
  <dimension ref="A1:DZ4"/>
  <sheetViews>
    <sheetView topLeftCell="CQ1" workbookViewId="0">
      <selection activeCell="DD3" sqref="DD3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257</v>
      </c>
      <c r="AB1" s="95" t="s">
        <v>256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61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+$A$3</f>
        <v>Axis Bank A/c.</v>
      </c>
      <c r="DB3" s="168" t="e">
        <f>VALUE(A3)</f>
        <v>#VALUE!</v>
      </c>
      <c r="DC3" s="169" t="e">
        <f>+CONCATENATE(TEXT(DB3,"D"),"",TEXT(DB3,"MM"),"","/",SUBSTITUTE(DF3,",",""),"/",DK3)</f>
        <v>#VALUE!</v>
      </c>
      <c r="DD3" s="134" t="e">
        <f>IF(H3="Cr",VALUE("0"),VALUE(SUBSTITUTE((TRIM(G3)),",","")))</f>
        <v>#VALUE!</v>
      </c>
      <c r="DE3" s="134" t="e">
        <f>IF(H3="Dr",VALUE("0"),VALUE(SUBSTITUTE((TRIM(G3)),",","")))</f>
        <v>#VALUE!</v>
      </c>
      <c r="DF3" s="133" t="str">
        <f>+TRIM(I3)</f>
        <v/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71" t="e">
        <f>+DB3</f>
        <v>#VALUE!</v>
      </c>
      <c r="DI3" s="171" t="e">
        <f>+IF(DE3=0,"Suspance Payment","Suspance Receipt")</f>
        <v>#VALUE!</v>
      </c>
      <c r="DJ3" s="172">
        <f>+C3</f>
        <v>0</v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2" t="s">
        <v>304</v>
      </c>
      <c r="B4" s="213" t="s">
        <v>305</v>
      </c>
      <c r="C4" s="279" t="s">
        <v>306</v>
      </c>
      <c r="D4" s="279"/>
      <c r="E4" s="279"/>
      <c r="F4" s="213" t="s">
        <v>307</v>
      </c>
      <c r="G4" s="213" t="s">
        <v>308</v>
      </c>
      <c r="H4" s="213" t="s">
        <v>309</v>
      </c>
      <c r="I4" s="213" t="s">
        <v>310</v>
      </c>
      <c r="J4" s="214" t="s">
        <v>311</v>
      </c>
      <c r="DA4" s="38" t="str">
        <f>+DA3</f>
        <v>Axis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mergeCells count="1">
    <mergeCell ref="C4:E4"/>
  </mergeCells>
  <conditionalFormatting sqref="E3">
    <cfRule type="cellIs" dxfId="564" priority="11" operator="equal">
      <formula>#N/A</formula>
    </cfRule>
  </conditionalFormatting>
  <conditionalFormatting sqref="DG2">
    <cfRule type="cellIs" dxfId="563" priority="10" operator="equal">
      <formula>#N/A</formula>
    </cfRule>
  </conditionalFormatting>
  <conditionalFormatting sqref="DH2:DI2">
    <cfRule type="cellIs" dxfId="562" priority="9" operator="equal">
      <formula>#N/A</formula>
    </cfRule>
  </conditionalFormatting>
  <conditionalFormatting sqref="I1:I2">
    <cfRule type="cellIs" dxfId="561" priority="8" operator="equal">
      <formula>#N/A</formula>
    </cfRule>
  </conditionalFormatting>
  <conditionalFormatting sqref="H1">
    <cfRule type="cellIs" dxfId="560" priority="7" operator="equal">
      <formula>#N/A</formula>
    </cfRule>
  </conditionalFormatting>
  <conditionalFormatting sqref="E1">
    <cfRule type="cellIs" dxfId="559" priority="6" operator="equal">
      <formula>#N/A</formula>
    </cfRule>
  </conditionalFormatting>
  <conditionalFormatting sqref="I1">
    <cfRule type="containsText" dxfId="558" priority="4" operator="containsText" text="All Data Import Successfully">
      <formula>NOT(ISERROR(SEARCH("All Data Import Successfully",I1)))</formula>
    </cfRule>
    <cfRule type="containsText" dxfId="557" priority="5" operator="containsText" text="Difference Entry">
      <formula>NOT(ISERROR(SEARCH("Difference Entry",I1)))</formula>
    </cfRule>
  </conditionalFormatting>
  <conditionalFormatting sqref="E2:G2">
    <cfRule type="cellIs" dxfId="556" priority="3" operator="equal">
      <formula>#N/A</formula>
    </cfRule>
  </conditionalFormatting>
  <conditionalFormatting sqref="H2">
    <cfRule type="cellIs" dxfId="555" priority="2" operator="equal">
      <formula>#N/A</formula>
    </cfRule>
  </conditionalFormatting>
  <conditionalFormatting sqref="I2">
    <cfRule type="cellIs" dxfId="55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7">
    <tabColor theme="8" tint="0.79998168889431442"/>
  </sheetPr>
  <dimension ref="A1:DZ4"/>
  <sheetViews>
    <sheetView zoomScaleNormal="100" workbookViewId="0">
      <selection activeCell="C14" sqref="C14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201</v>
      </c>
      <c r="T1" s="95">
        <v>9</v>
      </c>
      <c r="U1" s="95" t="s">
        <v>234</v>
      </c>
      <c r="V1" s="95" t="s">
        <v>234</v>
      </c>
      <c r="W1" s="95" t="s">
        <v>235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62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42" t="str">
        <f>+$A$3</f>
        <v>IDBI Bank A/c.</v>
      </c>
      <c r="DB3" s="143" t="e">
        <f>IF(MID(LEFT(B3, 10), 5, 1) = "-", TEXT(DATE(LEFT(LEFT(B3, 10), 4), MID(LEFT(B3, 10), 6, 2), MID(LEFT(B3, 10), 9, 2)), "dd/MM/yyyy"), TEXT(DATE(RIGHT(LEFT(B3, 10), 4), MID(LEFT(B3, 10), 4, 2), LEFT(LEFT(B3, 10), 2)), "dd/MM/yyyy"))</f>
        <v>#VALUE!</v>
      </c>
      <c r="DC3" s="144" t="e">
        <f>+CONCATENATE(TEXT(DB3,"D"),"",TEXT(DB3,"MM"),"","/",SUBSTITUTE(DF3,",",""),"/",DK3)</f>
        <v>#VALUE!</v>
      </c>
      <c r="DD3" s="53" t="e">
        <f>IF(TRIM(J3)="Cr.",VALUE("0"),VALUE(SUBSTITUTE((TRIM(L3)),",","")))</f>
        <v>#VALUE!</v>
      </c>
      <c r="DE3" s="53" t="e">
        <f>IF(TRIM(J3)="Dr.",VALUE("0"),VALUE(SUBSTITUTE((TRIM(L3)),",","")))</f>
        <v>#VALUE!</v>
      </c>
      <c r="DF3" s="53" t="str">
        <f>IF(TRIM(M3)="","",VALUE(SUBSTITUTE((TRIM(M3)),",","")))</f>
        <v/>
      </c>
      <c r="DG3" s="145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46" t="e">
        <f>+DB3</f>
        <v>#VALUE!</v>
      </c>
      <c r="DI3" s="146" t="e">
        <f>+IF(DE3=0,"Suspance Payment","Suspance Receipt")</f>
        <v>#VALUE!</v>
      </c>
      <c r="DJ3" s="158" t="str">
        <f>+TRIM(F3)</f>
        <v/>
      </c>
      <c r="DK3" s="147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6" t="s">
        <v>225</v>
      </c>
      <c r="B4" s="107" t="s">
        <v>226</v>
      </c>
      <c r="C4" s="107"/>
      <c r="D4" s="107" t="s">
        <v>227</v>
      </c>
      <c r="E4" s="107"/>
      <c r="F4" s="107" t="s">
        <v>228</v>
      </c>
      <c r="G4" s="107"/>
      <c r="H4" s="107"/>
      <c r="I4" s="107" t="s">
        <v>229</v>
      </c>
      <c r="J4" s="157" t="s">
        <v>230</v>
      </c>
      <c r="K4" s="104" t="s">
        <v>231</v>
      </c>
      <c r="L4" s="104" t="s">
        <v>232</v>
      </c>
      <c r="M4" s="105" t="s">
        <v>233</v>
      </c>
      <c r="N4" s="140"/>
      <c r="DA4" s="38" t="str">
        <f>+DA3</f>
        <v>IDBI Bank A/c.</v>
      </c>
    </row>
  </sheetData>
  <sheetProtection algorithmName="SHA-512" hashValue="0R3BEEJlpJEQBsvjLo/QQMK8CM3oc0+fsKog/4gDNCdeVIza1EAVEFmimfF19ERXbR6tFlftRHP7kMwZJ+Gjww==" saltValue="g01atvlJJfIBjqVqDAGpZ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553" priority="11" operator="equal">
      <formula>#N/A</formula>
    </cfRule>
  </conditionalFormatting>
  <conditionalFormatting sqref="DG2">
    <cfRule type="cellIs" dxfId="552" priority="10" operator="equal">
      <formula>#N/A</formula>
    </cfRule>
  </conditionalFormatting>
  <conditionalFormatting sqref="DH2:DI2">
    <cfRule type="cellIs" dxfId="551" priority="9" operator="equal">
      <formula>#N/A</formula>
    </cfRule>
  </conditionalFormatting>
  <conditionalFormatting sqref="I1:I2">
    <cfRule type="cellIs" dxfId="550" priority="8" operator="equal">
      <formula>#N/A</formula>
    </cfRule>
  </conditionalFormatting>
  <conditionalFormatting sqref="H1">
    <cfRule type="cellIs" dxfId="549" priority="7" operator="equal">
      <formula>#N/A</formula>
    </cfRule>
  </conditionalFormatting>
  <conditionalFormatting sqref="E1">
    <cfRule type="cellIs" dxfId="548" priority="6" operator="equal">
      <formula>#N/A</formula>
    </cfRule>
  </conditionalFormatting>
  <conditionalFormatting sqref="I1">
    <cfRule type="containsText" dxfId="547" priority="4" operator="containsText" text="All Data Import Successfully">
      <formula>NOT(ISERROR(SEARCH("All Data Import Successfully",I1)))</formula>
    </cfRule>
    <cfRule type="containsText" dxfId="546" priority="5" operator="containsText" text="Difference Entry">
      <formula>NOT(ISERROR(SEARCH("Difference Entry",I1)))</formula>
    </cfRule>
  </conditionalFormatting>
  <conditionalFormatting sqref="E2:G2">
    <cfRule type="cellIs" dxfId="545" priority="3" operator="equal">
      <formula>#N/A</formula>
    </cfRule>
  </conditionalFormatting>
  <conditionalFormatting sqref="H2">
    <cfRule type="cellIs" dxfId="544" priority="2" operator="equal">
      <formula>#N/A</formula>
    </cfRule>
  </conditionalFormatting>
  <conditionalFormatting sqref="I2">
    <cfRule type="cellIs" dxfId="54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4">
    <tabColor theme="8" tint="0.79998168889431442"/>
  </sheetPr>
  <dimension ref="A1:DZ4"/>
  <sheetViews>
    <sheetView showRuler="0" workbookViewId="0">
      <selection activeCell="D26" sqref="D2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10</v>
      </c>
      <c r="Z1" s="95">
        <v>0</v>
      </c>
      <c r="AA1" s="95" t="s">
        <v>257</v>
      </c>
      <c r="AB1" s="95" t="s">
        <v>256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IDBI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62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IDBI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IF(G3="",VALUE("0"),VALUE(SUBSTITUTE((TRIM(G3)),",","")))</f>
        <v>0</v>
      </c>
      <c r="DE3" s="26">
        <f>IF(H3="",VALUE("0"),VALUE(SUBSTITUTE((TRIM(H3)),",","")))</f>
        <v>0</v>
      </c>
      <c r="DF3" s="26" t="str">
        <f>IF(I3="","",VALUE(SUBSTITUTE((TRIM(I3)),",","")))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86" t="s">
        <v>265</v>
      </c>
      <c r="B4" s="186" t="s">
        <v>266</v>
      </c>
      <c r="C4" s="186" t="s">
        <v>267</v>
      </c>
      <c r="D4" s="280" t="s">
        <v>268</v>
      </c>
      <c r="E4" s="281"/>
      <c r="F4" s="187" t="s">
        <v>269</v>
      </c>
      <c r="G4" s="187" t="s">
        <v>270</v>
      </c>
      <c r="H4" s="188" t="s">
        <v>271</v>
      </c>
      <c r="I4" s="188" t="s">
        <v>272</v>
      </c>
      <c r="DA4" s="38" t="str">
        <f>+DA3</f>
        <v>IDBI Bank A/c.</v>
      </c>
    </row>
  </sheetData>
  <sheetProtection algorithmName="SHA-512" hashValue="Slqqchtzqkv3wORx8gyNdRqoCpIXh6yBztLLI7YXz0Pg4XAkwawtx3q/MCAnN1em6akh8bk84/GSkHckCKjyGA==" saltValue="kKF9omMUTcA7WKxGrlf5T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mergeCells count="1">
    <mergeCell ref="D4:E4"/>
  </mergeCells>
  <conditionalFormatting sqref="E3">
    <cfRule type="cellIs" dxfId="542" priority="11" operator="equal">
      <formula>#N/A</formula>
    </cfRule>
  </conditionalFormatting>
  <conditionalFormatting sqref="DG2">
    <cfRule type="cellIs" dxfId="541" priority="10" operator="equal">
      <formula>#N/A</formula>
    </cfRule>
  </conditionalFormatting>
  <conditionalFormatting sqref="DH2:DI2">
    <cfRule type="cellIs" dxfId="540" priority="9" operator="equal">
      <formula>#N/A</formula>
    </cfRule>
  </conditionalFormatting>
  <conditionalFormatting sqref="I1:I2">
    <cfRule type="cellIs" dxfId="539" priority="8" operator="equal">
      <formula>#N/A</formula>
    </cfRule>
  </conditionalFormatting>
  <conditionalFormatting sqref="H1">
    <cfRule type="cellIs" dxfId="538" priority="7" operator="equal">
      <formula>#N/A</formula>
    </cfRule>
  </conditionalFormatting>
  <conditionalFormatting sqref="E1">
    <cfRule type="cellIs" dxfId="537" priority="6" operator="equal">
      <formula>#N/A</formula>
    </cfRule>
  </conditionalFormatting>
  <conditionalFormatting sqref="I1">
    <cfRule type="containsText" dxfId="536" priority="4" operator="containsText" text="All Data Import Successfully">
      <formula>NOT(ISERROR(SEARCH("All Data Import Successfully",I1)))</formula>
    </cfRule>
    <cfRule type="containsText" dxfId="535" priority="5" operator="containsText" text="Difference Entry">
      <formula>NOT(ISERROR(SEARCH("Difference Entry",I1)))</formula>
    </cfRule>
  </conditionalFormatting>
  <conditionalFormatting sqref="E2:G2">
    <cfRule type="cellIs" dxfId="534" priority="3" operator="equal">
      <formula>#N/A</formula>
    </cfRule>
  </conditionalFormatting>
  <conditionalFormatting sqref="H2">
    <cfRule type="cellIs" dxfId="533" priority="2" operator="equal">
      <formula>#N/A</formula>
    </cfRule>
  </conditionalFormatting>
  <conditionalFormatting sqref="I2">
    <cfRule type="cellIs" dxfId="532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8">
    <tabColor theme="8" tint="0.79998168889431442"/>
  </sheetPr>
  <dimension ref="A1:DZ4"/>
  <sheetViews>
    <sheetView showRuler="0" workbookViewId="0">
      <selection activeCell="A2" sqref="A2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203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3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123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IDFC First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IF(TRIM(E3)="",VALUE("0"),VALUE(SUBSTITUTE((TRIM(E3)),",","")))</f>
        <v>0</v>
      </c>
      <c r="DE3" s="26">
        <f>IF(TRIM(F3)="",VALUE("0"),VALUE(SUBSTITUTE((TRIM(F3)),",","")))</f>
        <v>0</v>
      </c>
      <c r="DF3" s="57" t="e">
        <f>IF(TRIM(G3)=" ","",VALUE(SUBSTITUTE((TRIM(G3)),",","")))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17</v>
      </c>
      <c r="B4" s="104" t="s">
        <v>18</v>
      </c>
      <c r="C4" s="104" t="s">
        <v>19</v>
      </c>
      <c r="D4" s="104" t="s">
        <v>20</v>
      </c>
      <c r="E4" s="104" t="s">
        <v>21</v>
      </c>
      <c r="F4" s="104" t="s">
        <v>22</v>
      </c>
      <c r="G4" s="105" t="s">
        <v>11</v>
      </c>
      <c r="DA4" s="38" t="str">
        <f>+DA3</f>
        <v>IDFC First</v>
      </c>
      <c r="DF4" s="26"/>
    </row>
  </sheetData>
  <sheetProtection algorithmName="SHA-512" hashValue="0lBKlW5CHUF9mUlfQmrQR6+Kff37BtOtmXqpGTTlLOwPZxyExJ8pu3JC44F/CQUTg0xNtN3cyQ0TYLJiOPgB6w==" saltValue="oMbH7AZANEPSP7I9SaimR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E3 DF4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F3" name="Range1_1_8_1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531" priority="11" operator="equal">
      <formula>#N/A</formula>
    </cfRule>
  </conditionalFormatting>
  <conditionalFormatting sqref="DG2">
    <cfRule type="cellIs" dxfId="530" priority="10" operator="equal">
      <formula>#N/A</formula>
    </cfRule>
  </conditionalFormatting>
  <conditionalFormatting sqref="DH2:DI2">
    <cfRule type="cellIs" dxfId="529" priority="9" operator="equal">
      <formula>#N/A</formula>
    </cfRule>
  </conditionalFormatting>
  <conditionalFormatting sqref="I1:I2">
    <cfRule type="cellIs" dxfId="528" priority="8" operator="equal">
      <formula>#N/A</formula>
    </cfRule>
  </conditionalFormatting>
  <conditionalFormatting sqref="H1">
    <cfRule type="cellIs" dxfId="527" priority="7" operator="equal">
      <formula>#N/A</formula>
    </cfRule>
  </conditionalFormatting>
  <conditionalFormatting sqref="E1">
    <cfRule type="cellIs" dxfId="526" priority="6" operator="equal">
      <formula>#N/A</formula>
    </cfRule>
  </conditionalFormatting>
  <conditionalFormatting sqref="I1">
    <cfRule type="containsText" dxfId="525" priority="4" operator="containsText" text="All Data Import Successfully">
      <formula>NOT(ISERROR(SEARCH("All Data Import Successfully",I1)))</formula>
    </cfRule>
    <cfRule type="containsText" dxfId="524" priority="5" operator="containsText" text="Difference Entry">
      <formula>NOT(ISERROR(SEARCH("Difference Entry",I1)))</formula>
    </cfRule>
  </conditionalFormatting>
  <conditionalFormatting sqref="E2:G2">
    <cfRule type="cellIs" dxfId="523" priority="3" operator="equal">
      <formula>#N/A</formula>
    </cfRule>
  </conditionalFormatting>
  <conditionalFormatting sqref="H2">
    <cfRule type="cellIs" dxfId="522" priority="2" operator="equal">
      <formula>#N/A</formula>
    </cfRule>
  </conditionalFormatting>
  <conditionalFormatting sqref="I2">
    <cfRule type="cellIs" dxfId="52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6">
    <tabColor theme="8" tint="0.79998168889431442"/>
  </sheetPr>
  <dimension ref="A1:DZ4"/>
  <sheetViews>
    <sheetView workbookViewId="0">
      <selection activeCell="C13" sqref="C13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203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3</v>
      </c>
      <c r="Z1" s="95">
        <v>0</v>
      </c>
      <c r="AA1" s="95" t="s">
        <v>256</v>
      </c>
      <c r="AB1" s="95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 xml:space="preserve">City Union Bank 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335</v>
      </c>
      <c r="B3" s="59"/>
      <c r="C3" s="58"/>
      <c r="D3" s="58"/>
      <c r="E3" s="60"/>
      <c r="F3" s="58"/>
      <c r="G3" s="2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+DA2</f>
        <v xml:space="preserve">City Union Bank </v>
      </c>
      <c r="DB3" s="168" t="e">
        <f>VALUE(A3)</f>
        <v>#VALUE!</v>
      </c>
      <c r="DC3" s="169" t="e">
        <f>+CONCATENATE(TEXT(DB3,"D"),"",TEXT(DB3,"MM"),"","/",ABS(SUBSTITUTE(DF3,",","")),"/",DK3)</f>
        <v>#VALUE!</v>
      </c>
      <c r="DD3" s="134">
        <f>IF(TRIM(D3)="",VALUE("0"),VALUE(SUBSTITUTE((TRIM(D3)),",","")))</f>
        <v>0</v>
      </c>
      <c r="DE3" s="134">
        <f>IF(E3="",VALUE("0"),VALUE(SUBSTITUTE((E3),",","")))</f>
        <v>0</v>
      </c>
      <c r="DF3" s="134" t="e">
        <f>IF(TRIM(F3)=" ","",VALUE(SUBSTITUTE((TRIM(F3)),",","")))</f>
        <v>#VALUE!</v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71" t="e">
        <f>VALUE(A3)</f>
        <v>#VALUE!</v>
      </c>
      <c r="DI3" s="171" t="str">
        <f>+IF(DE3=0,"Suspance Payment","Suspance Receipt")</f>
        <v>Suspance Payment</v>
      </c>
      <c r="DJ3" s="176">
        <f>+B3</f>
        <v>0</v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59" t="s">
        <v>32</v>
      </c>
      <c r="B4" s="160" t="s">
        <v>147</v>
      </c>
      <c r="C4" s="161" t="s">
        <v>34</v>
      </c>
      <c r="D4" s="161" t="s">
        <v>236</v>
      </c>
      <c r="E4" s="162" t="s">
        <v>155</v>
      </c>
      <c r="F4" s="162" t="s">
        <v>11</v>
      </c>
      <c r="DA4" s="38" t="str">
        <f>+DA3</f>
        <v xml:space="preserve">City Union Bank </v>
      </c>
    </row>
  </sheetData>
  <sheetProtection algorithmName="SHA-512" hashValue="8cLa5UNiSgatqHh2d/nmKSnzv3qC1ub298ncYtfiiHor0LaEplBZXG6L0iseIqdJa0xGlId80vW6IUlaqqPMbw==" saltValue="+uW6r/ybQR4Xa1dpVYM1J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520" priority="11" operator="equal">
      <formula>#N/A</formula>
    </cfRule>
  </conditionalFormatting>
  <conditionalFormatting sqref="DG2">
    <cfRule type="cellIs" dxfId="519" priority="10" operator="equal">
      <formula>#N/A</formula>
    </cfRule>
  </conditionalFormatting>
  <conditionalFormatting sqref="DH2:DI2">
    <cfRule type="cellIs" dxfId="518" priority="9" operator="equal">
      <formula>#N/A</formula>
    </cfRule>
  </conditionalFormatting>
  <conditionalFormatting sqref="I1:I2">
    <cfRule type="cellIs" dxfId="517" priority="8" operator="equal">
      <formula>#N/A</formula>
    </cfRule>
  </conditionalFormatting>
  <conditionalFormatting sqref="H1">
    <cfRule type="cellIs" dxfId="516" priority="7" operator="equal">
      <formula>#N/A</formula>
    </cfRule>
  </conditionalFormatting>
  <conditionalFormatting sqref="E1">
    <cfRule type="cellIs" dxfId="515" priority="6" operator="equal">
      <formula>#N/A</formula>
    </cfRule>
  </conditionalFormatting>
  <conditionalFormatting sqref="I1">
    <cfRule type="containsText" dxfId="514" priority="4" operator="containsText" text="All Data Import Successfully">
      <formula>NOT(ISERROR(SEARCH("All Data Import Successfully",I1)))</formula>
    </cfRule>
    <cfRule type="containsText" dxfId="513" priority="5" operator="containsText" text="Difference Entry">
      <formula>NOT(ISERROR(SEARCH("Difference Entry",I1)))</formula>
    </cfRule>
  </conditionalFormatting>
  <conditionalFormatting sqref="E2:G2">
    <cfRule type="cellIs" dxfId="512" priority="3" operator="equal">
      <formula>#N/A</formula>
    </cfRule>
  </conditionalFormatting>
  <conditionalFormatting sqref="H2">
    <cfRule type="cellIs" dxfId="511" priority="2" operator="equal">
      <formula>#N/A</formula>
    </cfRule>
  </conditionalFormatting>
  <conditionalFormatting sqref="I2">
    <cfRule type="cellIs" dxfId="51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9">
    <tabColor theme="8" tint="0.79998168889431442"/>
  </sheetPr>
  <dimension ref="A1:DZ5"/>
  <sheetViews>
    <sheetView workbookViewId="0">
      <selection activeCell="D34" sqref="D34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203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3</v>
      </c>
      <c r="Z1" s="95">
        <v>0</v>
      </c>
      <c r="AA1" s="95" t="s">
        <v>256</v>
      </c>
      <c r="AB1" s="95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Indusind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93</v>
      </c>
      <c r="B3" s="59"/>
      <c r="C3" s="58"/>
      <c r="D3" s="58"/>
      <c r="E3" s="60"/>
      <c r="F3" s="58"/>
      <c r="G3" s="2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+DA2</f>
        <v>Indusind Bank</v>
      </c>
      <c r="DB3" s="168" t="e">
        <f>VALUE(A3)</f>
        <v>#VALUE!</v>
      </c>
      <c r="DC3" s="169" t="e">
        <f>+CONCATENATE(TEXT(DB3,"D"),"",TEXT(DB3,"MM"),"","/",SUBSTITUTE(DF3,",",""),"/",DK3)</f>
        <v>#VALUE!</v>
      </c>
      <c r="DD3" s="134">
        <f>IF(TRIM(D3)="",VALUE("0"),VALUE(SUBSTITUTE((TRIM(D3)),"-","")))</f>
        <v>0</v>
      </c>
      <c r="DE3" s="134">
        <f>IF(E3="",VALUE("0"),VALUE(SUBSTITUTE((E3),"-","")))</f>
        <v>0</v>
      </c>
      <c r="DF3" s="134" t="e">
        <f>IF(TRIM(F3)=" ","",VALUE(SUBSTITUTE((TRIM(F3)),",","")))</f>
        <v>#VALUE!</v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71" t="e">
        <f>VALUE(A3)</f>
        <v>#VALUE!</v>
      </c>
      <c r="DI3" s="171" t="str">
        <f>+IF(DE3=0,"Suspance Payment","Suspance Receipt")</f>
        <v>Suspance Payment</v>
      </c>
      <c r="DJ3" s="176">
        <f>+B3</f>
        <v>0</v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59" t="s">
        <v>32</v>
      </c>
      <c r="B4" s="160" t="s">
        <v>147</v>
      </c>
      <c r="C4" s="161" t="s">
        <v>34</v>
      </c>
      <c r="D4" s="161" t="s">
        <v>236</v>
      </c>
      <c r="E4" s="162" t="s">
        <v>155</v>
      </c>
      <c r="F4" s="162" t="s">
        <v>11</v>
      </c>
      <c r="DA4" s="38" t="str">
        <f>+DA3</f>
        <v>Indusind Bank</v>
      </c>
    </row>
    <row r="5" spans="1:130">
      <c r="A5" s="177"/>
      <c r="B5" s="177"/>
      <c r="C5" s="177"/>
      <c r="D5" s="177"/>
      <c r="E5" s="177"/>
    </row>
  </sheetData>
  <sheetProtection algorithmName="SHA-512" hashValue="qX3XUJA9j/c9ari497Xp5gMYG70liYHFL9fdUmTUy8OTJlUP6s1cdMb712hb+W2Boen5R8sEqkzaNaEvl5b20g==" saltValue="cYIquifPMOXkvqWfF0eb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509" priority="26" operator="equal">
      <formula>#N/A</formula>
    </cfRule>
  </conditionalFormatting>
  <conditionalFormatting sqref="DG2">
    <cfRule type="cellIs" dxfId="508" priority="21" operator="equal">
      <formula>#N/A</formula>
    </cfRule>
  </conditionalFormatting>
  <conditionalFormatting sqref="DH2:DI2">
    <cfRule type="cellIs" dxfId="507" priority="20" operator="equal">
      <formula>#N/A</formula>
    </cfRule>
  </conditionalFormatting>
  <conditionalFormatting sqref="I1:I2">
    <cfRule type="cellIs" dxfId="506" priority="8" operator="equal">
      <formula>#N/A</formula>
    </cfRule>
  </conditionalFormatting>
  <conditionalFormatting sqref="H1">
    <cfRule type="cellIs" dxfId="505" priority="7" operator="equal">
      <formula>#N/A</formula>
    </cfRule>
  </conditionalFormatting>
  <conditionalFormatting sqref="E1">
    <cfRule type="cellIs" dxfId="504" priority="6" operator="equal">
      <formula>#N/A</formula>
    </cfRule>
  </conditionalFormatting>
  <conditionalFormatting sqref="I1">
    <cfRule type="containsText" dxfId="503" priority="4" operator="containsText" text="All Data Import Successfully">
      <formula>NOT(ISERROR(SEARCH("All Data Import Successfully",I1)))</formula>
    </cfRule>
    <cfRule type="containsText" dxfId="502" priority="5" operator="containsText" text="Difference Entry">
      <formula>NOT(ISERROR(SEARCH("Difference Entry",I1)))</formula>
    </cfRule>
  </conditionalFormatting>
  <conditionalFormatting sqref="E2:G2">
    <cfRule type="cellIs" dxfId="501" priority="3" operator="equal">
      <formula>#N/A</formula>
    </cfRule>
  </conditionalFormatting>
  <conditionalFormatting sqref="H2">
    <cfRule type="cellIs" dxfId="500" priority="2" operator="equal">
      <formula>#N/A</formula>
    </cfRule>
  </conditionalFormatting>
  <conditionalFormatting sqref="I2">
    <cfRule type="cellIs" dxfId="49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2">
    <tabColor theme="8" tint="0.79998168889431442"/>
  </sheetPr>
  <dimension ref="A1:DZ4"/>
  <sheetViews>
    <sheetView workbookViewId="0"/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10</v>
      </c>
      <c r="Z1" s="95">
        <v>0</v>
      </c>
      <c r="AA1" s="95" t="s">
        <v>256</v>
      </c>
      <c r="AB1" s="95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64</v>
      </c>
      <c r="B3" s="59"/>
      <c r="C3" s="58"/>
      <c r="D3" s="58" t="s">
        <v>182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 t="str">
        <f>+D3</f>
        <v>C:\Users\ADITYA\Desktop\Ecomm\Bank Statement\HDFC BANK.xls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250</v>
      </c>
      <c r="B4" s="104" t="s">
        <v>251</v>
      </c>
      <c r="C4" s="104" t="s">
        <v>252</v>
      </c>
      <c r="D4" s="104" t="s">
        <v>253</v>
      </c>
      <c r="E4" s="104" t="s">
        <v>254</v>
      </c>
      <c r="F4" s="104" t="s">
        <v>255</v>
      </c>
      <c r="G4" s="105" t="s">
        <v>241</v>
      </c>
      <c r="DA4" s="38" t="str">
        <f>+DA3</f>
        <v>HDFC Bank A/c.</v>
      </c>
    </row>
  </sheetData>
  <sheetProtection algorithmName="SHA-512" hashValue="aWLTkh1azkjbU3CSNCOZRf8IzAbI9voCV0aZBdoW+aP8eB6daxQbN/BofwjsI/LnI/NsfqzKucJoUoQa0eEOLQ==" saltValue="Wp7TC1yXN8BY66gLJsbOp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98" priority="11" operator="equal">
      <formula>#N/A</formula>
    </cfRule>
  </conditionalFormatting>
  <conditionalFormatting sqref="DG2">
    <cfRule type="cellIs" dxfId="497" priority="10" operator="equal">
      <formula>#N/A</formula>
    </cfRule>
  </conditionalFormatting>
  <conditionalFormatting sqref="DH2:DI2">
    <cfRule type="cellIs" dxfId="496" priority="9" operator="equal">
      <formula>#N/A</formula>
    </cfRule>
  </conditionalFormatting>
  <conditionalFormatting sqref="I1:I2">
    <cfRule type="cellIs" dxfId="495" priority="8" operator="equal">
      <formula>#N/A</formula>
    </cfRule>
  </conditionalFormatting>
  <conditionalFormatting sqref="H1">
    <cfRule type="cellIs" dxfId="494" priority="7" operator="equal">
      <formula>#N/A</formula>
    </cfRule>
  </conditionalFormatting>
  <conditionalFormatting sqref="E1">
    <cfRule type="cellIs" dxfId="493" priority="6" operator="equal">
      <formula>#N/A</formula>
    </cfRule>
  </conditionalFormatting>
  <conditionalFormatting sqref="I1">
    <cfRule type="containsText" dxfId="492" priority="4" operator="containsText" text="All Data Import Successfully">
      <formula>NOT(ISERROR(SEARCH("All Data Import Successfully",I1)))</formula>
    </cfRule>
    <cfRule type="containsText" dxfId="491" priority="5" operator="containsText" text="Difference Entry">
      <formula>NOT(ISERROR(SEARCH("Difference Entry",I1)))</formula>
    </cfRule>
  </conditionalFormatting>
  <conditionalFormatting sqref="E2:G2">
    <cfRule type="cellIs" dxfId="490" priority="3" operator="equal">
      <formula>#N/A</formula>
    </cfRule>
  </conditionalFormatting>
  <conditionalFormatting sqref="H2">
    <cfRule type="cellIs" dxfId="489" priority="2" operator="equal">
      <formula>#N/A</formula>
    </cfRule>
  </conditionalFormatting>
  <conditionalFormatting sqref="I2">
    <cfRule type="cellIs" dxfId="488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3">
    <tabColor theme="4" tint="0.79998168889431442"/>
  </sheetPr>
  <dimension ref="A1:DZ4"/>
  <sheetViews>
    <sheetView workbookViewId="0">
      <selection activeCell="C25" sqref="C25"/>
    </sheetView>
  </sheetViews>
  <sheetFormatPr defaultRowHeight="15"/>
  <cols>
    <col min="1" max="9" width="25.7109375" style="6" customWidth="1"/>
    <col min="10" max="10" width="12.5703125" style="6" customWidth="1"/>
    <col min="11" max="12" width="8" style="6" customWidth="1"/>
    <col min="13" max="13" width="22" style="6" customWidth="1"/>
    <col min="14" max="14" width="8" style="6" customWidth="1"/>
    <col min="15" max="15" width="11.28515625" style="6" customWidth="1"/>
    <col min="16" max="20" width="4" style="6" customWidth="1"/>
    <col min="21" max="22" width="8" style="6" customWidth="1"/>
    <col min="23" max="26" width="3.42578125" style="6" customWidth="1"/>
    <col min="27" max="27" width="14.42578125" style="6" customWidth="1"/>
    <col min="28" max="28" width="8" style="6" customWidth="1"/>
    <col min="29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10</v>
      </c>
      <c r="Z1" s="95">
        <v>0</v>
      </c>
      <c r="AA1" s="95" t="s">
        <v>256</v>
      </c>
      <c r="AB1" s="95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AU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162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AU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IF(F3="-",VALUE("0"),VALUE(SUBSTITUTE((F3),",","")))</f>
        <v>#VALUE!</v>
      </c>
      <c r="DE3" s="26" t="e">
        <f>IF(G3="-",VALUE("0"),VALUE(SUBSTITUTE((G3),",","")))</f>
        <v>#VALUE!</v>
      </c>
      <c r="DF3" s="26" t="e">
        <f>IF(H3=" ","",VALUE(SUBSTITUTE((SUBSTITUTE((H3),"Cr","")),",","")))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e">
        <f>+IF(DE3=0,"Suspance Payment","Suspance Receipt")</f>
        <v>#VALUE!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>
      <c r="A4" s="179" t="s">
        <v>258</v>
      </c>
      <c r="B4" s="180" t="s">
        <v>259</v>
      </c>
      <c r="C4" s="181"/>
      <c r="D4" s="182" t="s">
        <v>260</v>
      </c>
      <c r="E4" s="183" t="s">
        <v>261</v>
      </c>
      <c r="F4" s="184" t="s">
        <v>262</v>
      </c>
      <c r="G4" s="184" t="s">
        <v>263</v>
      </c>
      <c r="H4" s="185" t="s">
        <v>264</v>
      </c>
      <c r="DA4" s="38" t="str">
        <f>+DA3</f>
        <v>AU SMALL FINANCE BANK</v>
      </c>
    </row>
  </sheetData>
  <sheetProtection algorithmName="SHA-512" hashValue="PAeQ79s/zIY0xcWssHpq36y7dnnGsJcoBf572CJI6BKCwUAB1VvdVxftMnR4E37wlSysUHi98S5HXvyrPYgK0A==" saltValue="bR21JtNUWZoZf4s6x1YjY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487" priority="22" operator="equal">
      <formula>#N/A</formula>
    </cfRule>
  </conditionalFormatting>
  <conditionalFormatting sqref="DG2">
    <cfRule type="cellIs" dxfId="486" priority="17" operator="equal">
      <formula>#N/A</formula>
    </cfRule>
  </conditionalFormatting>
  <conditionalFormatting sqref="DH2:DI2">
    <cfRule type="cellIs" dxfId="485" priority="16" operator="equal">
      <formula>#N/A</formula>
    </cfRule>
  </conditionalFormatting>
  <conditionalFormatting sqref="I1">
    <cfRule type="cellIs" dxfId="484" priority="12" operator="equal">
      <formula>#N/A</formula>
    </cfRule>
  </conditionalFormatting>
  <conditionalFormatting sqref="H1">
    <cfRule type="cellIs" dxfId="483" priority="11" operator="equal">
      <formula>#N/A</formula>
    </cfRule>
  </conditionalFormatting>
  <conditionalFormatting sqref="E1">
    <cfRule type="cellIs" dxfId="482" priority="10" operator="equal">
      <formula>#N/A</formula>
    </cfRule>
  </conditionalFormatting>
  <conditionalFormatting sqref="I1">
    <cfRule type="containsText" dxfId="481" priority="8" operator="containsText" text="All Data Import Successfully">
      <formula>NOT(ISERROR(SEARCH("All Data Import Successfully",I1)))</formula>
    </cfRule>
    <cfRule type="containsText" dxfId="480" priority="9" operator="containsText" text="Difference Entry">
      <formula>NOT(ISERROR(SEARCH("Difference Entry",I1)))</formula>
    </cfRule>
  </conditionalFormatting>
  <conditionalFormatting sqref="I2">
    <cfRule type="cellIs" dxfId="479" priority="4" operator="equal">
      <formula>#N/A</formula>
    </cfRule>
  </conditionalFormatting>
  <conditionalFormatting sqref="E2:G2">
    <cfRule type="cellIs" dxfId="478" priority="3" operator="equal">
      <formula>#N/A</formula>
    </cfRule>
  </conditionalFormatting>
  <conditionalFormatting sqref="H2">
    <cfRule type="cellIs" dxfId="477" priority="2" operator="equal">
      <formula>#N/A</formula>
    </cfRule>
  </conditionalFormatting>
  <conditionalFormatting sqref="I2">
    <cfRule type="cellIs" dxfId="476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1">
    <tabColor theme="8" tint="0.79998168889431442"/>
  </sheetPr>
  <dimension ref="A1:DZ4"/>
  <sheetViews>
    <sheetView showRuler="0" topLeftCell="DB1" workbookViewId="0">
      <selection activeCell="DG4" sqref="DG4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63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+$A$3</f>
        <v>SBI Bank A/c.</v>
      </c>
      <c r="DB3" s="168" t="e">
        <f>IF(ISBLANK(H3),TEXT(DATE(RIGHT(A3,4), MONTH(DATEVALUE(MID(A3,4,3) &amp; " 1")), LEFT(A3,2)), "dd/MM/yyyy"),VALUE(A3))</f>
        <v>#VALUE!</v>
      </c>
      <c r="DC3" s="169" t="e">
        <f>+CONCATENATE(TEXT(DB3,"D"),"",TEXT(DB3,"MM"),"","/",SUBSTITUTE(DF3,",",""),"/",DK3)</f>
        <v>#VALUE!</v>
      </c>
      <c r="DD3" s="134">
        <f>IF(ISBLANK(H3),IF(E3="",VALUE("0"),VALUE(SUBSTITUTE((TRIM(E3)),",",""))),IF(F3="",VALUE("0"),VALUE(SUBSTITUTE((TRIM(F3)),",",""))))</f>
        <v>0</v>
      </c>
      <c r="DE3" s="134">
        <f>IF(ISBLANK(H3),IF(F3="",VALUE("0"),VALUE(SUBSTITUTE((TRIM(F3)),",",""))),IF(G3="",VALUE("0"),VALUE(SUBSTITUTE((TRIM(G3)),",",""))))</f>
        <v>0</v>
      </c>
      <c r="DF3" s="134">
        <f>IF(ISBLANK(H3),IF(G3="",VALUE("0"),VALUE(SUBSTITUTE((TRIM(G3)),",",""))),IF(H3="",VALUE("0"),VALUE(SUBSTITUTE((TRIM(H3)),",",""))))</f>
        <v>0</v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71" t="e">
        <f>IF(ISBLANK(H3),TEXT(DATE(RIGHT(A3,4), MONTH(DATEVALUE(MID(A3,4,3) &amp; " 1")), LEFT(A3,2)), "dd/MM/yyyy"),VALUE(A3))</f>
        <v>#VALUE!</v>
      </c>
      <c r="DI3" s="171" t="str">
        <f>+IF(DE3=0,"Suspance Payment","Suspance Receipt")</f>
        <v>Suspance Payment</v>
      </c>
      <c r="DJ3" s="176" t="str">
        <f>+CONCATENATE(C3," ", D3)</f>
        <v xml:space="preserve"> </v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74" t="s">
        <v>242</v>
      </c>
      <c r="B4" s="175" t="s">
        <v>243</v>
      </c>
      <c r="C4" s="174" t="s">
        <v>244</v>
      </c>
      <c r="D4" s="174" t="s">
        <v>245</v>
      </c>
      <c r="E4" s="174" t="s">
        <v>246</v>
      </c>
      <c r="F4" s="175" t="s">
        <v>247</v>
      </c>
      <c r="G4" s="175" t="s">
        <v>248</v>
      </c>
      <c r="H4" s="175" t="s">
        <v>249</v>
      </c>
      <c r="DA4" s="38" t="str">
        <f>+DA3</f>
        <v>SBI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475" priority="11" operator="equal">
      <formula>#N/A</formula>
    </cfRule>
  </conditionalFormatting>
  <conditionalFormatting sqref="DG2">
    <cfRule type="cellIs" dxfId="474" priority="10" operator="equal">
      <formula>#N/A</formula>
    </cfRule>
  </conditionalFormatting>
  <conditionalFormatting sqref="DH2:DI2">
    <cfRule type="cellIs" dxfId="473" priority="9" operator="equal">
      <formula>#N/A</formula>
    </cfRule>
  </conditionalFormatting>
  <conditionalFormatting sqref="I1:I2">
    <cfRule type="cellIs" dxfId="472" priority="8" operator="equal">
      <formula>#N/A</formula>
    </cfRule>
  </conditionalFormatting>
  <conditionalFormatting sqref="H1">
    <cfRule type="cellIs" dxfId="471" priority="7" operator="equal">
      <formula>#N/A</formula>
    </cfRule>
  </conditionalFormatting>
  <conditionalFormatting sqref="E1">
    <cfRule type="cellIs" dxfId="470" priority="6" operator="equal">
      <formula>#N/A</formula>
    </cfRule>
  </conditionalFormatting>
  <conditionalFormatting sqref="I1">
    <cfRule type="containsText" dxfId="469" priority="4" operator="containsText" text="All Data Import Successfully">
      <formula>NOT(ISERROR(SEARCH("All Data Import Successfully",I1)))</formula>
    </cfRule>
    <cfRule type="containsText" dxfId="468" priority="5" operator="containsText" text="Difference Entry">
      <formula>NOT(ISERROR(SEARCH("Difference Entry",I1)))</formula>
    </cfRule>
  </conditionalFormatting>
  <conditionalFormatting sqref="E2:G2">
    <cfRule type="cellIs" dxfId="467" priority="3" operator="equal">
      <formula>#N/A</formula>
    </cfRule>
  </conditionalFormatting>
  <conditionalFormatting sqref="H2">
    <cfRule type="cellIs" dxfId="466" priority="2" operator="equal">
      <formula>#N/A</formula>
    </cfRule>
  </conditionalFormatting>
  <conditionalFormatting sqref="I2">
    <cfRule type="cellIs" dxfId="46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5">
    <tabColor theme="8" tint="0.79998168889431442"/>
  </sheetPr>
  <dimension ref="A1:DZ4"/>
  <sheetViews>
    <sheetView workbookViewId="0">
      <selection activeCell="D8" sqref="D8"/>
    </sheetView>
  </sheetViews>
  <sheetFormatPr defaultRowHeight="15"/>
  <cols>
    <col min="1" max="1" width="25.7109375" style="6" customWidth="1"/>
    <col min="2" max="2" width="25.7109375" style="195" customWidth="1"/>
    <col min="3" max="9" width="25.7109375" style="6" customWidth="1"/>
    <col min="10" max="10" width="21.4257812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91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256</v>
      </c>
      <c r="AB1" s="95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192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142</v>
      </c>
      <c r="B3" s="193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Union Bank of India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IF(H3="",VALUE("0"),VALUE(SUBSTITUTE((TRIM(H3)),",","")))</f>
        <v>0</v>
      </c>
      <c r="DE3" s="26">
        <f>IF(J3="",VALUE("0"),VALUE(SUBSTITUTE((TRIM(J3)),",","")))</f>
        <v>0</v>
      </c>
      <c r="DF3" s="26" t="str">
        <f>IF(L3="","",VALUE(SUBSTITUTE(SUBSTITUTE((L3),",",""),"Cr","")))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+DB3</f>
        <v>0</v>
      </c>
      <c r="DI3" s="28" t="str">
        <f>+IF(DE3=0,"Suspance Payment","Suspance Receipt")</f>
        <v>Suspance Payment</v>
      </c>
      <c r="DJ3" s="2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" customHeight="1">
      <c r="A4" s="189" t="s">
        <v>273</v>
      </c>
      <c r="B4" s="194" t="s">
        <v>274</v>
      </c>
      <c r="C4" s="190"/>
      <c r="D4" s="190" t="s">
        <v>275</v>
      </c>
      <c r="E4" s="190"/>
      <c r="F4" s="190" t="s">
        <v>276</v>
      </c>
      <c r="G4" s="190"/>
      <c r="H4" s="190" t="s">
        <v>277</v>
      </c>
      <c r="I4" s="190"/>
      <c r="J4" s="190" t="s">
        <v>278</v>
      </c>
      <c r="K4" s="190"/>
      <c r="L4" s="189" t="s">
        <v>279</v>
      </c>
      <c r="DA4" s="38" t="str">
        <f>+DA3</f>
        <v>Union Bank of India A/c.</v>
      </c>
    </row>
  </sheetData>
  <sheetProtection algorithmName="SHA-512" hashValue="bA1j0Z3wAZvcxR1aMp4Bj0ybcJ+cN+EgOEaJYCyZWVoVy4z+F4iei61odbeNUSx0+yXJUpodr8Y2jD8nVCr6+A==" saltValue="SQmmStMTB1QelTXOV3z8M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464" priority="18" operator="equal">
      <formula>#N/A</formula>
    </cfRule>
  </conditionalFormatting>
  <conditionalFormatting sqref="DG2">
    <cfRule type="cellIs" dxfId="463" priority="13" operator="equal">
      <formula>#N/A</formula>
    </cfRule>
  </conditionalFormatting>
  <conditionalFormatting sqref="DH2:DI2">
    <cfRule type="cellIs" dxfId="462" priority="12" operator="equal">
      <formula>#N/A</formula>
    </cfRule>
  </conditionalFormatting>
  <conditionalFormatting sqref="I1:I2">
    <cfRule type="cellIs" dxfId="461" priority="8" operator="equal">
      <formula>#N/A</formula>
    </cfRule>
  </conditionalFormatting>
  <conditionalFormatting sqref="H1">
    <cfRule type="cellIs" dxfId="460" priority="7" operator="equal">
      <formula>#N/A</formula>
    </cfRule>
  </conditionalFormatting>
  <conditionalFormatting sqref="E1">
    <cfRule type="cellIs" dxfId="459" priority="6" operator="equal">
      <formula>#N/A</formula>
    </cfRule>
  </conditionalFormatting>
  <conditionalFormatting sqref="I1">
    <cfRule type="containsText" dxfId="458" priority="4" operator="containsText" text="All Data Import Successfully">
      <formula>NOT(ISERROR(SEARCH("All Data Import Successfully",I1)))</formula>
    </cfRule>
    <cfRule type="containsText" dxfId="457" priority="5" operator="containsText" text="Difference Entry">
      <formula>NOT(ISERROR(SEARCH("Difference Entry",I1)))</formula>
    </cfRule>
  </conditionalFormatting>
  <conditionalFormatting sqref="E2:G2">
    <cfRule type="cellIs" dxfId="456" priority="3" operator="equal">
      <formula>#N/A</formula>
    </cfRule>
  </conditionalFormatting>
  <conditionalFormatting sqref="H2">
    <cfRule type="cellIs" dxfId="455" priority="2" operator="equal">
      <formula>#N/A</formula>
    </cfRule>
  </conditionalFormatting>
  <conditionalFormatting sqref="I2">
    <cfRule type="cellIs" dxfId="45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5">
    <tabColor theme="8" tint="0.79998168889431442"/>
  </sheetPr>
  <dimension ref="A1:DZ22"/>
  <sheetViews>
    <sheetView showRuler="0" workbookViewId="0">
      <selection activeCell="A3" sqref="A3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257</v>
      </c>
      <c r="AB1" s="95" t="s">
        <v>256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281</v>
      </c>
      <c r="B3" s="59"/>
      <c r="C3" s="58"/>
      <c r="D3" s="58"/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+$A$3</f>
        <v xml:space="preserve">Union Bank </v>
      </c>
      <c r="DB3" s="168">
        <f>VALUE(B3)</f>
        <v>0</v>
      </c>
      <c r="DC3" s="169" t="e">
        <f>+CONCATENATE(TEXT(DB3,"D"),"",TEXT(DB3,"MM"),"","/",SUBSTITUTE(DF3,",",""),"/",DK3)</f>
        <v>#VALUE!</v>
      </c>
      <c r="DD3" s="134" t="e">
        <f>IF(RIGHT(E3,4)="(Cr)",VALUE("0"),VALUE(SUBSTITUTE(SUBSTITUTE((TRIM(E3)),",",""),"(Dr)","")))</f>
        <v>#VALUE!</v>
      </c>
      <c r="DE3" s="134" t="e">
        <f>IF(RIGHT(E3,4)="(Dr)",VALUE("0"),VALUE(SUBSTITUTE(SUBSTITUTE((E3),",",""),"(Cr)","")))</f>
        <v>#VALUE!</v>
      </c>
      <c r="DF3" s="133" t="e">
        <f>+IF(RIGHT(F3,4)="(Dr)",VALUE(SUBSTITUTE(SUBSTITUTE(SUBSTITUTE((F3),",",""),"(Cr)",""),"(Dr)",""))*-1,VALUE(SUBSTITUTE(SUBSTITUTE(SUBSTITUTE((F3),",",""),"(Cr)",""),"(Dr)","")))</f>
        <v>#VALUE!</v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71">
        <f>+DB3</f>
        <v>0</v>
      </c>
      <c r="DI3" s="171" t="e">
        <f>+IF(DE3=0,"Suspance Payment","Suspance Receipt")</f>
        <v>#VALUE!</v>
      </c>
      <c r="DJ3" s="172">
        <f>+D3</f>
        <v>0</v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96" t="s">
        <v>280</v>
      </c>
      <c r="B4" s="196" t="s">
        <v>237</v>
      </c>
      <c r="C4" s="164" t="s">
        <v>239</v>
      </c>
      <c r="D4" s="164" t="s">
        <v>238</v>
      </c>
      <c r="E4" s="164" t="s">
        <v>240</v>
      </c>
      <c r="F4" s="197" t="s">
        <v>241</v>
      </c>
      <c r="DA4" s="38" t="str">
        <f>+DA3</f>
        <v xml:space="preserve">Union Bank </v>
      </c>
    </row>
    <row r="22" ht="15" customHeight="1"/>
  </sheetData>
  <sheetProtection algorithmName="SHA-512" hashValue="xBj+I+lv1LCNpLdoJJgWJJASiW08UYc2dfusMa/VQgewxrF1x+cUGQKo4kw15kL+FR3CM4guH6Z+NHVLUN+ZxQ==" saltValue="28jhKHbA1TlX6cNVoCFz5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53" priority="11" operator="equal">
      <formula>#N/A</formula>
    </cfRule>
  </conditionalFormatting>
  <conditionalFormatting sqref="DG2">
    <cfRule type="cellIs" dxfId="452" priority="10" operator="equal">
      <formula>#N/A</formula>
    </cfRule>
  </conditionalFormatting>
  <conditionalFormatting sqref="DH2:DI2">
    <cfRule type="cellIs" dxfId="451" priority="9" operator="equal">
      <formula>#N/A</formula>
    </cfRule>
  </conditionalFormatting>
  <conditionalFormatting sqref="I1:I2">
    <cfRule type="cellIs" dxfId="450" priority="8" operator="equal">
      <formula>#N/A</formula>
    </cfRule>
  </conditionalFormatting>
  <conditionalFormatting sqref="H1">
    <cfRule type="cellIs" dxfId="449" priority="7" operator="equal">
      <formula>#N/A</formula>
    </cfRule>
  </conditionalFormatting>
  <conditionalFormatting sqref="E1">
    <cfRule type="cellIs" dxfId="448" priority="6" operator="equal">
      <formula>#N/A</formula>
    </cfRule>
  </conditionalFormatting>
  <conditionalFormatting sqref="I1">
    <cfRule type="containsText" dxfId="447" priority="4" operator="containsText" text="All Data Import Successfully">
      <formula>NOT(ISERROR(SEARCH("All Data Import Successfully",I1)))</formula>
    </cfRule>
    <cfRule type="containsText" dxfId="446" priority="5" operator="containsText" text="Difference Entry">
      <formula>NOT(ISERROR(SEARCH("Difference Entry",I1)))</formula>
    </cfRule>
  </conditionalFormatting>
  <conditionalFormatting sqref="E2:G2">
    <cfRule type="cellIs" dxfId="445" priority="3" operator="equal">
      <formula>#N/A</formula>
    </cfRule>
  </conditionalFormatting>
  <conditionalFormatting sqref="H2">
    <cfRule type="cellIs" dxfId="444" priority="2" operator="equal">
      <formula>#N/A</formula>
    </cfRule>
  </conditionalFormatting>
  <conditionalFormatting sqref="I2">
    <cfRule type="cellIs" dxfId="44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>
    <tabColor theme="8" tint="0.79998168889431442"/>
  </sheetPr>
  <dimension ref="A1:DZ21"/>
  <sheetViews>
    <sheetView showRuler="0" workbookViewId="0">
      <selection activeCell="E17" sqref="E17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257</v>
      </c>
      <c r="AB1" s="95" t="s">
        <v>256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65</v>
      </c>
      <c r="B3" s="59"/>
      <c r="C3" s="58"/>
      <c r="D3" s="58"/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+$A$3</f>
        <v>Kotak Bank A/c.</v>
      </c>
      <c r="DB3" s="168" t="e">
        <f>VALUE(A3)</f>
        <v>#VALUE!</v>
      </c>
      <c r="DC3" s="169" t="e">
        <f>+CONCATENATE(TEXT(DB3,"D"),"",TEXT(DB3,"MM"),"","/",SUBSTITUTE(DF3,",",""),"/",DK3)</f>
        <v>#VALUE!</v>
      </c>
      <c r="DD3" s="134" t="e">
        <f>IF(RIGHT(D3,4)="(Cr)",VALUE("0"),VALUE(SUBSTITUTE(SUBSTITUTE((D3),",",""),"(Dr)","")))</f>
        <v>#VALUE!</v>
      </c>
      <c r="DE3" s="134" t="e">
        <f>IF(RIGHT(D3,4)="(Dr)",VALUE("0"),VALUE(SUBSTITUTE(SUBSTITUTE((D3),",",""),"(Cr)","")))</f>
        <v>#VALUE!</v>
      </c>
      <c r="DF3" s="133" t="e">
        <f>+IF(RIGHT(E3,4)="(Dr)",VALUE(SUBSTITUTE(SUBSTITUTE(SUBSTITUTE((E3),",",""),"(Cr)",""),"(Dr)",""))*-1,VALUE(SUBSTITUTE(SUBSTITUTE(SUBSTITUTE((E3),",",""),"(Cr)",""),"(Dr)","")))</f>
        <v>#VALUE!</v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71" t="e">
        <f>+DB3</f>
        <v>#VALUE!</v>
      </c>
      <c r="DI3" s="171" t="e">
        <f>+IF(DE3=0,"Suspance Payment","Suspance Receipt")</f>
        <v>#VALUE!</v>
      </c>
      <c r="DJ3" s="172" t="str">
        <f>+TRIM(B3)</f>
        <v/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63" t="s">
        <v>237</v>
      </c>
      <c r="B4" s="164" t="s">
        <v>238</v>
      </c>
      <c r="C4" s="165" t="s">
        <v>239</v>
      </c>
      <c r="D4" s="165" t="s">
        <v>240</v>
      </c>
      <c r="E4" s="166" t="s">
        <v>241</v>
      </c>
      <c r="DA4" s="38" t="str">
        <f>+DA3</f>
        <v>Kotak Bank A/c.</v>
      </c>
    </row>
    <row r="21" ht="15" customHeight="1"/>
  </sheetData>
  <sheetProtection algorithmName="SHA-512" hashValue="5CNZXa2dZGBDnlklihUNesqeeyt2YpqHy6ZUDvb+n3CUJmAEPzCT0QXifxgLVe9FlYEY52XwIRuGGd672rJHZg==" saltValue="dlO1aoGp0b6zrJRRpTZoW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42" priority="11" operator="equal">
      <formula>#N/A</formula>
    </cfRule>
  </conditionalFormatting>
  <conditionalFormatting sqref="DG2">
    <cfRule type="cellIs" dxfId="441" priority="10" operator="equal">
      <formula>#N/A</formula>
    </cfRule>
  </conditionalFormatting>
  <conditionalFormatting sqref="DH2:DI2">
    <cfRule type="cellIs" dxfId="440" priority="9" operator="equal">
      <formula>#N/A</formula>
    </cfRule>
  </conditionalFormatting>
  <conditionalFormatting sqref="I1:I2">
    <cfRule type="cellIs" dxfId="439" priority="8" operator="equal">
      <formula>#N/A</formula>
    </cfRule>
  </conditionalFormatting>
  <conditionalFormatting sqref="H1">
    <cfRule type="cellIs" dxfId="438" priority="7" operator="equal">
      <formula>#N/A</formula>
    </cfRule>
  </conditionalFormatting>
  <conditionalFormatting sqref="E1">
    <cfRule type="cellIs" dxfId="437" priority="6" operator="equal">
      <formula>#N/A</formula>
    </cfRule>
  </conditionalFormatting>
  <conditionalFormatting sqref="I1">
    <cfRule type="containsText" dxfId="436" priority="4" operator="containsText" text="All Data Import Successfully">
      <formula>NOT(ISERROR(SEARCH("All Data Import Successfully",I1)))</formula>
    </cfRule>
    <cfRule type="containsText" dxfId="435" priority="5" operator="containsText" text="Difference Entry">
      <formula>NOT(ISERROR(SEARCH("Difference Entry",I1)))</formula>
    </cfRule>
  </conditionalFormatting>
  <conditionalFormatting sqref="E2:G2">
    <cfRule type="cellIs" dxfId="434" priority="3" operator="equal">
      <formula>#N/A</formula>
    </cfRule>
  </conditionalFormatting>
  <conditionalFormatting sqref="H2">
    <cfRule type="cellIs" dxfId="433" priority="2" operator="equal">
      <formula>#N/A</formula>
    </cfRule>
  </conditionalFormatting>
  <conditionalFormatting sqref="I2">
    <cfRule type="cellIs" dxfId="43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8">
    <tabColor theme="8" tint="0.79998168889431442"/>
  </sheetPr>
  <dimension ref="A1:DZ4"/>
  <sheetViews>
    <sheetView workbookViewId="0"/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256</v>
      </c>
      <c r="AB1" s="95" t="s">
        <v>184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65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 t="e">
        <f>+VALUE(LEFT(B3,11))</f>
        <v>#VALUE!</v>
      </c>
      <c r="DC3" s="25" t="e">
        <f>+CONCATENATE(TEXT(DB3,"D"),"",TEXT(DB3,"MM"),"","/",SUBSTITUTE(DF3,",",""),"/",DK3)</f>
        <v>#VALUE!</v>
      </c>
      <c r="DD3" s="26">
        <f>+IF(OR(G3=" ",G3=""),0,VALUE(SUBSTITUTE(SUBSTITUTE((TRIM(G3)),",",""),"-","")))</f>
        <v>0</v>
      </c>
      <c r="DE3" s="26">
        <f>+IF(OR(H3="",H3=" "),0,VALUE(SUBSTITUTE(SUBSTITUTE((TRIM(H3)),",",""),"+","")))</f>
        <v>0</v>
      </c>
      <c r="DF3" s="26" t="e">
        <f>+VALUE(SUBSTITUTE(SUBSTITUTE((TRIM(I3)),",",""),"+",""))</f>
        <v>#VALUE!</v>
      </c>
      <c r="DG3" s="27" t="str">
        <f>+TRIM(E3)</f>
        <v/>
      </c>
      <c r="DH3" s="28" t="e">
        <f>+DB3</f>
        <v>#VALUE!</v>
      </c>
      <c r="DI3" s="28" t="str">
        <f>+IF(DE3=0,"Suspance Payment","Suspance Receipt")</f>
        <v>Suspance Payment</v>
      </c>
      <c r="DJ3" s="39" t="str">
        <f>+TRIM(C3)</f>
        <v/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02" t="s">
        <v>300</v>
      </c>
      <c r="B4" s="203" t="s">
        <v>294</v>
      </c>
      <c r="C4" s="282" t="s">
        <v>295</v>
      </c>
      <c r="D4" s="282"/>
      <c r="E4" s="283" t="s">
        <v>296</v>
      </c>
      <c r="F4" s="283"/>
      <c r="G4" s="204" t="s">
        <v>297</v>
      </c>
      <c r="H4" s="205" t="s">
        <v>298</v>
      </c>
      <c r="I4" s="206" t="s">
        <v>299</v>
      </c>
      <c r="DA4" s="38" t="str">
        <f>+DA3</f>
        <v>Kotak Bank A/c.</v>
      </c>
    </row>
  </sheetData>
  <sheetProtection algorithmName="SHA-512" hashValue="UjnUyCGJgn93vWEQlq1BkRgBbInDTzBbJ8smoNl1nZjdxenYkpplPJnS04cjmuTghCEtKOc0yuHx5/x0GcdnmA==" saltValue="pw1fsLgQHToj8u4o4AP19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mergeCells count="2">
    <mergeCell ref="C4:D4"/>
    <mergeCell ref="E4:F4"/>
  </mergeCells>
  <conditionalFormatting sqref="E3">
    <cfRule type="cellIs" dxfId="431" priority="11" operator="equal">
      <formula>#N/A</formula>
    </cfRule>
  </conditionalFormatting>
  <conditionalFormatting sqref="DG2">
    <cfRule type="cellIs" dxfId="430" priority="10" operator="equal">
      <formula>#N/A</formula>
    </cfRule>
  </conditionalFormatting>
  <conditionalFormatting sqref="DH2:DI2">
    <cfRule type="cellIs" dxfId="429" priority="9" operator="equal">
      <formula>#N/A</formula>
    </cfRule>
  </conditionalFormatting>
  <conditionalFormatting sqref="I1:I2">
    <cfRule type="cellIs" dxfId="428" priority="8" operator="equal">
      <formula>#N/A</formula>
    </cfRule>
  </conditionalFormatting>
  <conditionalFormatting sqref="H1">
    <cfRule type="cellIs" dxfId="427" priority="7" operator="equal">
      <formula>#N/A</formula>
    </cfRule>
  </conditionalFormatting>
  <conditionalFormatting sqref="E1">
    <cfRule type="cellIs" dxfId="426" priority="6" operator="equal">
      <formula>#N/A</formula>
    </cfRule>
  </conditionalFormatting>
  <conditionalFormatting sqref="I1">
    <cfRule type="containsText" dxfId="425" priority="4" operator="containsText" text="All Data Import Successfully">
      <formula>NOT(ISERROR(SEARCH("All Data Import Successfully",I1)))</formula>
    </cfRule>
    <cfRule type="containsText" dxfId="424" priority="5" operator="containsText" text="Difference Entry">
      <formula>NOT(ISERROR(SEARCH("Difference Entry",I1)))</formula>
    </cfRule>
  </conditionalFormatting>
  <conditionalFormatting sqref="E2:G2">
    <cfRule type="cellIs" dxfId="423" priority="3" operator="equal">
      <formula>#N/A</formula>
    </cfRule>
  </conditionalFormatting>
  <conditionalFormatting sqref="H2">
    <cfRule type="cellIs" dxfId="422" priority="2" operator="equal">
      <formula>#N/A</formula>
    </cfRule>
  </conditionalFormatting>
  <conditionalFormatting sqref="I2">
    <cfRule type="cellIs" dxfId="42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52">
    <tabColor theme="8" tint="0.79998168889431442"/>
  </sheetPr>
  <dimension ref="A1:DZ4"/>
  <sheetViews>
    <sheetView showRuler="0" workbookViewId="0">
      <selection activeCell="F30" sqref="F30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257</v>
      </c>
      <c r="AB1" s="95" t="s">
        <v>184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65</v>
      </c>
      <c r="B3" s="59"/>
      <c r="C3" s="58"/>
      <c r="D3" s="58"/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 t="e">
        <f>+VALUE(A3)</f>
        <v>#VALUE!</v>
      </c>
      <c r="DC3" s="25" t="e">
        <f>+CONCATENATE(TEXT(DB3,"D"),"",TEXT(DB3,"MM"),"","/",SUBSTITUTE(DF3,",",""),"/",DK3)</f>
        <v>#VALUE!</v>
      </c>
      <c r="DD3" s="26">
        <f>+IF(OR(F3="",F3=" "),VALUE("0"),VALUE(SUBSTITUTE((TRIM(F3)),",","")))</f>
        <v>0</v>
      </c>
      <c r="DE3" s="26">
        <f>+IF(OR(G3="",G3=" "),VALUE("0"),VALUE(SUBSTITUTE((TRIM(G3)),",","")))</f>
        <v>0</v>
      </c>
      <c r="DF3" s="26">
        <f>+IF(OR(H3="",H3=" "),VALUE("0"),VALUE(SUBSTITUTE(SUBSTITUTE(SUBSTITUTE((TRIM(H3)),",",""),"(Cr)",""),"(Dr)","")))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9" t="s">
        <v>32</v>
      </c>
      <c r="B4" s="220"/>
      <c r="C4" s="220" t="s">
        <v>321</v>
      </c>
      <c r="D4" s="220" t="s">
        <v>322</v>
      </c>
      <c r="E4" s="220"/>
      <c r="F4" s="220" t="s">
        <v>323</v>
      </c>
      <c r="G4" s="220" t="s">
        <v>324</v>
      </c>
      <c r="H4" s="221" t="s">
        <v>249</v>
      </c>
      <c r="DA4" s="38" t="str">
        <f>+DA3</f>
        <v>Kotak Bank A/c.</v>
      </c>
    </row>
  </sheetData>
  <sheetProtection algorithmName="SHA-512" hashValue="qn3BBlbUOKWs7TKLEPsJjsFv/J81BL82onk+JRl+7TA1D4E/bg3OmjNSGJSx+ykmqOXPwUnGjDyYnTQSpwBGtQ==" saltValue="haqFUhLjrKRSz/1E95Kxg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420" priority="11" operator="equal">
      <formula>#N/A</formula>
    </cfRule>
  </conditionalFormatting>
  <conditionalFormatting sqref="DG2">
    <cfRule type="cellIs" dxfId="419" priority="10" operator="equal">
      <formula>#N/A</formula>
    </cfRule>
  </conditionalFormatting>
  <conditionalFormatting sqref="DH2:DI2">
    <cfRule type="cellIs" dxfId="418" priority="9" operator="equal">
      <formula>#N/A</formula>
    </cfRule>
  </conditionalFormatting>
  <conditionalFormatting sqref="I1:I2">
    <cfRule type="cellIs" dxfId="417" priority="8" operator="equal">
      <formula>#N/A</formula>
    </cfRule>
  </conditionalFormatting>
  <conditionalFormatting sqref="H1">
    <cfRule type="cellIs" dxfId="416" priority="7" operator="equal">
      <formula>#N/A</formula>
    </cfRule>
  </conditionalFormatting>
  <conditionalFormatting sqref="E1">
    <cfRule type="cellIs" dxfId="415" priority="6" operator="equal">
      <formula>#N/A</formula>
    </cfRule>
  </conditionalFormatting>
  <conditionalFormatting sqref="I1">
    <cfRule type="containsText" dxfId="414" priority="4" operator="containsText" text="All Data Import Successfully">
      <formula>NOT(ISERROR(SEARCH("All Data Import Successfully",I1)))</formula>
    </cfRule>
    <cfRule type="containsText" dxfId="413" priority="5" operator="containsText" text="Difference Entry">
      <formula>NOT(ISERROR(SEARCH("Difference Entry",I1)))</formula>
    </cfRule>
  </conditionalFormatting>
  <conditionalFormatting sqref="E2:G2">
    <cfRule type="cellIs" dxfId="412" priority="3" operator="equal">
      <formula>#N/A</formula>
    </cfRule>
  </conditionalFormatting>
  <conditionalFormatting sqref="H2">
    <cfRule type="cellIs" dxfId="411" priority="2" operator="equal">
      <formula>#N/A</formula>
    </cfRule>
  </conditionalFormatting>
  <conditionalFormatting sqref="I2">
    <cfRule type="cellIs" dxfId="41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1">
    <tabColor theme="8" tint="0.79998168889431442"/>
  </sheetPr>
  <dimension ref="A1:DZ4"/>
  <sheetViews>
    <sheetView showRuler="0" workbookViewId="0">
      <selection activeCell="D18" sqref="D18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312</v>
      </c>
      <c r="B3" s="59"/>
      <c r="C3" s="58"/>
      <c r="D3" s="58"/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CENTRAL BANK OF INDIA</v>
      </c>
      <c r="DB3" s="24" t="e">
        <f>+VALUE(A3)</f>
        <v>#VALUE!</v>
      </c>
      <c r="DC3" s="25" t="e">
        <f>+CONCATENATE(TEXT(DB3,"D"),"",TEXT(DB3,"MM"),"","/",SUBSTITUTE(DF3,",",""),"/",DK3)</f>
        <v>#VALUE!</v>
      </c>
      <c r="DD3" s="26">
        <f>+IF(OR(F3="",F3=" "),VALUE("0"),VALUE(SUBSTITUTE((TRIM(F3)),",","")))</f>
        <v>0</v>
      </c>
      <c r="DE3" s="26">
        <f>+IF(OR(G3="",G3=" "),VALUE("0"),VALUE(SUBSTITUTE((TRIM(G3)),",","")))</f>
        <v>0</v>
      </c>
      <c r="DF3" s="26">
        <f>+IF(OR(H3="",H3=" "),VALUE("0"),VALUE(SUBSTITUTE(SUBSTITUTE((TRIM(H3)),",",""),"CR","")))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5" t="s">
        <v>313</v>
      </c>
      <c r="B4" s="216" t="s">
        <v>314</v>
      </c>
      <c r="C4" s="216" t="s">
        <v>315</v>
      </c>
      <c r="D4" s="216" t="s">
        <v>316</v>
      </c>
      <c r="E4" s="216" t="s">
        <v>317</v>
      </c>
      <c r="F4" s="217" t="s">
        <v>318</v>
      </c>
      <c r="G4" s="216" t="s">
        <v>319</v>
      </c>
      <c r="H4" s="218" t="s">
        <v>320</v>
      </c>
      <c r="DA4" s="38" t="str">
        <f>+DA3</f>
        <v>CENTRAL BANK OF INDIA</v>
      </c>
    </row>
  </sheetData>
  <sheetProtection algorithmName="SHA-512" hashValue="Xq848Y8JaOoECmUojvs3nF9wmoqKZsAF3RFvMNfnpRmtXXrv0nRyD0JSk9b2CcjJUs26jXnArEYgt1W2LQyr1Q==" saltValue="fv3hN+1P92u5HfP4fiUId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409" priority="11" operator="equal">
      <formula>#N/A</formula>
    </cfRule>
  </conditionalFormatting>
  <conditionalFormatting sqref="DG2">
    <cfRule type="cellIs" dxfId="408" priority="10" operator="equal">
      <formula>#N/A</formula>
    </cfRule>
  </conditionalFormatting>
  <conditionalFormatting sqref="DH2:DI2">
    <cfRule type="cellIs" dxfId="407" priority="9" operator="equal">
      <formula>#N/A</formula>
    </cfRule>
  </conditionalFormatting>
  <conditionalFormatting sqref="I1:I2">
    <cfRule type="cellIs" dxfId="406" priority="8" operator="equal">
      <formula>#N/A</formula>
    </cfRule>
  </conditionalFormatting>
  <conditionalFormatting sqref="H1">
    <cfRule type="cellIs" dxfId="405" priority="7" operator="equal">
      <formula>#N/A</formula>
    </cfRule>
  </conditionalFormatting>
  <conditionalFormatting sqref="E1">
    <cfRule type="cellIs" dxfId="404" priority="6" operator="equal">
      <formula>#N/A</formula>
    </cfRule>
  </conditionalFormatting>
  <conditionalFormatting sqref="I1">
    <cfRule type="containsText" dxfId="403" priority="4" operator="containsText" text="All Data Import Successfully">
      <formula>NOT(ISERROR(SEARCH("All Data Import Successfully",I1)))</formula>
    </cfRule>
    <cfRule type="containsText" dxfId="402" priority="5" operator="containsText" text="Difference Entry">
      <formula>NOT(ISERROR(SEARCH("Difference Entry",I1)))</formula>
    </cfRule>
  </conditionalFormatting>
  <conditionalFormatting sqref="E2:G2">
    <cfRule type="cellIs" dxfId="401" priority="3" operator="equal">
      <formula>#N/A</formula>
    </cfRule>
  </conditionalFormatting>
  <conditionalFormatting sqref="H2">
    <cfRule type="cellIs" dxfId="400" priority="2" operator="equal">
      <formula>#N/A</formula>
    </cfRule>
  </conditionalFormatting>
  <conditionalFormatting sqref="I2">
    <cfRule type="cellIs" dxfId="39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7">
    <tabColor theme="8" tint="0.79998168889431442"/>
  </sheetPr>
  <dimension ref="A1:DZ4"/>
  <sheetViews>
    <sheetView showRuler="0" workbookViewId="0">
      <selection activeCell="E17" sqref="E17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214</v>
      </c>
      <c r="T1" s="95">
        <v>7</v>
      </c>
      <c r="U1" s="95" t="s">
        <v>197</v>
      </c>
      <c r="V1" s="95" t="s">
        <v>181</v>
      </c>
      <c r="W1" s="95" t="s">
        <v>172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288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 xml:space="preserve">The Varachha Co.Op.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IF(D3="",VALUE("0"),VALUE(SUBSTITUTE((D3),",","")))</f>
        <v>0</v>
      </c>
      <c r="DE3" s="26">
        <f>IF(E3="",VALUE("0"),VALUE(SUBSTITUTE((E3),",","")))</f>
        <v>0</v>
      </c>
      <c r="DF3" s="26" t="str">
        <f>IF(F3="","",VALUE(SUBSTITUTE(SUBSTITUTE((F3),",",""),"CR","")))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98" t="s">
        <v>282</v>
      </c>
      <c r="B4" s="199" t="s">
        <v>283</v>
      </c>
      <c r="C4" s="199" t="s">
        <v>284</v>
      </c>
      <c r="D4" s="199" t="s">
        <v>285</v>
      </c>
      <c r="E4" s="199" t="s">
        <v>286</v>
      </c>
      <c r="F4" s="199" t="s">
        <v>287</v>
      </c>
      <c r="DA4" s="38" t="str">
        <f>+DA3</f>
        <v xml:space="preserve">The Varachha Co.Op. Bank </v>
      </c>
    </row>
  </sheetData>
  <sheetProtection password="C282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98" priority="11" operator="equal">
      <formula>#N/A</formula>
    </cfRule>
  </conditionalFormatting>
  <conditionalFormatting sqref="DG2">
    <cfRule type="cellIs" dxfId="397" priority="10" operator="equal">
      <formula>#N/A</formula>
    </cfRule>
  </conditionalFormatting>
  <conditionalFormatting sqref="DH2:DI2">
    <cfRule type="cellIs" dxfId="396" priority="9" operator="equal">
      <formula>#N/A</formula>
    </cfRule>
  </conditionalFormatting>
  <conditionalFormatting sqref="I1:I2">
    <cfRule type="cellIs" dxfId="395" priority="8" operator="equal">
      <formula>#N/A</formula>
    </cfRule>
  </conditionalFormatting>
  <conditionalFormatting sqref="H1">
    <cfRule type="cellIs" dxfId="394" priority="7" operator="equal">
      <formula>#N/A</formula>
    </cfRule>
  </conditionalFormatting>
  <conditionalFormatting sqref="E1">
    <cfRule type="cellIs" dxfId="393" priority="6" operator="equal">
      <formula>#N/A</formula>
    </cfRule>
  </conditionalFormatting>
  <conditionalFormatting sqref="I1">
    <cfRule type="containsText" dxfId="392" priority="4" operator="containsText" text="All Data Import Successfully">
      <formula>NOT(ISERROR(SEARCH("All Data Import Successfully",I1)))</formula>
    </cfRule>
    <cfRule type="containsText" dxfId="391" priority="5" operator="containsText" text="Difference Entry">
      <formula>NOT(ISERROR(SEARCH("Difference Entry",I1)))</formula>
    </cfRule>
  </conditionalFormatting>
  <conditionalFormatting sqref="E2:G2">
    <cfRule type="cellIs" dxfId="390" priority="3" operator="equal">
      <formula>#N/A</formula>
    </cfRule>
  </conditionalFormatting>
  <conditionalFormatting sqref="H2">
    <cfRule type="cellIs" dxfId="389" priority="2" operator="equal">
      <formula>#N/A</formula>
    </cfRule>
  </conditionalFormatting>
  <conditionalFormatting sqref="I2">
    <cfRule type="cellIs" dxfId="38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D1B86-1B6F-4311-A5E9-2697BC56C6E8}">
  <sheetPr codeName="Sheet59">
    <tabColor theme="8" tint="0.79998168889431442"/>
  </sheetPr>
  <dimension ref="A1:DZ4"/>
  <sheetViews>
    <sheetView showRuler="0" workbookViewId="0">
      <selection activeCell="B37" sqref="B37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135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+$DA$2</f>
        <v>Bank Name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IF(H3="",VALUE("0"),VALUE(SUBSTITUTE((H3),",","")))</f>
        <v>0</v>
      </c>
      <c r="DF3" s="26" t="e">
        <f>+VALUE(SUBSTITUTE((SUBSTITUTE((I3),"Cr","")),",",""))</f>
        <v>#VALUE!</v>
      </c>
      <c r="DG3" s="26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VALUE(B3)</f>
        <v>0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258" t="s">
        <v>413</v>
      </c>
      <c r="B4" s="258" t="s">
        <v>243</v>
      </c>
      <c r="C4" s="259" t="s">
        <v>321</v>
      </c>
      <c r="D4" s="260"/>
      <c r="E4" s="259" t="s">
        <v>414</v>
      </c>
      <c r="F4" s="260"/>
      <c r="G4" s="258" t="s">
        <v>247</v>
      </c>
      <c r="H4" s="258" t="s">
        <v>248</v>
      </c>
      <c r="I4" s="259" t="s">
        <v>249</v>
      </c>
      <c r="DA4" s="38" t="str">
        <f>+DA3</f>
        <v>Bank Name</v>
      </c>
    </row>
  </sheetData>
  <sheetProtection algorithmName="SHA-512" hashValue="KcqYo92kl+fnTnFq5lFoDEWYDh5ogG6ixMe1/OirR7Zi6VL0LJuyAoF6mD/ROFZbMvbGTL326Er5JabcCxGLAQ==" saltValue="4GNpRm1qfkxVbkLWFFBf1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 DA5:DC728 DH5:DH728 DJ5:DJ728" name="Range1_6"/>
    <protectedRange algorithmName="SHA-512" hashValue="FeHjunJeBmEIe1Z+x4LSLD0xeXKoeHqEB4mLNgYC3pUDxBFAiT2e1scH7F48tQXpPGOh+9Z9iw2K5jb0kUxFkQ==" saltValue="Arxg+XESKZddo6Y2q+NDbg==" spinCount="100000" sqref="DD5:DF728 DD3:DG3" name="Range1_1_3"/>
    <protectedRange algorithmName="SHA-512" hashValue="FeHjunJeBmEIe1Z+x4LSLD0xeXKoeHqEB4mLNgYC3pUDxBFAiT2e1scH7F48tQXpPGOh+9Z9iw2K5jb0kUxFkQ==" saltValue="Arxg+XESKZddo6Y2q+NDbg==" spinCount="100000" sqref="DI3 DI5:DI728" name="Range1_2_3"/>
    <protectedRange algorithmName="SHA-512" hashValue="FeHjunJeBmEIe1Z+x4LSLD0xeXKoeHqEB4mLNgYC3pUDxBFAiT2e1scH7F48tQXpPGOh+9Z9iw2K5jb0kUxFkQ==" saltValue="Arxg+XESKZddo6Y2q+NDbg==" spinCount="100000" sqref="DK3 DK5:DK728" name="Range1_3_3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387" priority="10" operator="equal">
      <formula>#N/A</formula>
    </cfRule>
  </conditionalFormatting>
  <conditionalFormatting sqref="H1">
    <cfRule type="cellIs" dxfId="386" priority="9" operator="equal">
      <formula>#N/A</formula>
    </cfRule>
  </conditionalFormatting>
  <conditionalFormatting sqref="E1">
    <cfRule type="cellIs" dxfId="385" priority="8" operator="equal">
      <formula>#N/A</formula>
    </cfRule>
  </conditionalFormatting>
  <conditionalFormatting sqref="I1">
    <cfRule type="containsText" dxfId="384" priority="6" operator="containsText" text="All Data Import Successfully">
      <formula>NOT(ISERROR(SEARCH("All Data Import Successfully",I1)))</formula>
    </cfRule>
    <cfRule type="containsText" dxfId="383" priority="7" operator="containsText" text="Difference Entry">
      <formula>NOT(ISERROR(SEARCH("Difference Entry",I1)))</formula>
    </cfRule>
  </conditionalFormatting>
  <conditionalFormatting sqref="DG2">
    <cfRule type="cellIs" dxfId="382" priority="5" operator="equal">
      <formula>#N/A</formula>
    </cfRule>
  </conditionalFormatting>
  <conditionalFormatting sqref="DH2:DI2">
    <cfRule type="cellIs" dxfId="381" priority="4" operator="equal">
      <formula>#N/A</formula>
    </cfRule>
  </conditionalFormatting>
  <conditionalFormatting sqref="E2:G2">
    <cfRule type="cellIs" dxfId="380" priority="3" operator="equal">
      <formula>#N/A</formula>
    </cfRule>
  </conditionalFormatting>
  <conditionalFormatting sqref="H2">
    <cfRule type="cellIs" dxfId="379" priority="2" operator="equal">
      <formula>#N/A</formula>
    </cfRule>
  </conditionalFormatting>
  <conditionalFormatting sqref="I2">
    <cfRule type="cellIs" dxfId="378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"/>
  <dimension ref="A1:DZ4"/>
  <sheetViews>
    <sheetView workbookViewId="0">
      <selection activeCell="A5" sqref="A5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167</v>
      </c>
      <c r="T1" s="95">
        <v>10</v>
      </c>
      <c r="U1" s="95" t="s">
        <v>168</v>
      </c>
      <c r="V1" s="95" t="s">
        <v>169</v>
      </c>
      <c r="W1" s="95" t="s">
        <v>170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97" t="s">
        <v>60</v>
      </c>
      <c r="B3" s="98"/>
      <c r="C3" s="97"/>
      <c r="D3" s="97" t="s">
        <v>210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>
        <f>IF(H3="",VALUE("0"),VALUE(SUBSTITUTE((H3),",","")))</f>
        <v>0</v>
      </c>
      <c r="DE3" s="26">
        <f>IF(I3="",VALUE("0"),VALUE(SUBSTITUTE((I3),",","")))</f>
        <v>0</v>
      </c>
      <c r="DF3" s="26" t="str">
        <f>IF(J3="","",VALUE(SUBSTITUTE((J3),",","")))</f>
        <v/>
      </c>
      <c r="DG3" s="27" t="str">
        <f ca="1">(SUBSTITUTE(TRIM(IF(LEFT(G3,3)="CLG"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6)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12))),".",""))</f>
        <v/>
      </c>
      <c r="DH3" s="28">
        <f>VALUE(C3)</f>
        <v>0</v>
      </c>
      <c r="DI3" s="28" t="str">
        <f>+IF(DE3=0,"Suspance Payment","Suspance Receipt")</f>
        <v>Suspance Payment</v>
      </c>
      <c r="DJ3" s="29">
        <f>+G3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99" t="s">
        <v>23</v>
      </c>
      <c r="B4" s="99" t="s">
        <v>24</v>
      </c>
      <c r="C4" s="99" t="s">
        <v>18</v>
      </c>
      <c r="D4" s="99" t="s">
        <v>25</v>
      </c>
      <c r="E4" s="99" t="s">
        <v>26</v>
      </c>
      <c r="F4" s="99" t="s">
        <v>27</v>
      </c>
      <c r="G4" s="99" t="s">
        <v>28</v>
      </c>
      <c r="H4" s="99" t="s">
        <v>29</v>
      </c>
      <c r="I4" s="99" t="s">
        <v>30</v>
      </c>
      <c r="J4" s="99" t="s">
        <v>31</v>
      </c>
      <c r="U4" s="6" t="s">
        <v>178</v>
      </c>
      <c r="DA4" s="38" t="str">
        <f>+DA3</f>
        <v>ICICI Bank A/c.</v>
      </c>
    </row>
  </sheetData>
  <sheetProtection algorithmName="SHA-512" hashValue="gM+DRa88zyPsaFkzvuISBSAJtVKaLleOCvX05v9QwDkbzN8I2wo8zm2bCS7pXwBrrUMNMHRrH77qkrdCls/U3Q==" saltValue="5n4yCg8z7P7jRp4/KAmrP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phoneticPr fontId="44" type="noConversion"/>
  <conditionalFormatting sqref="E3 I1:I2">
    <cfRule type="cellIs" dxfId="377" priority="10" operator="equal">
      <formula>#N/A</formula>
    </cfRule>
  </conditionalFormatting>
  <conditionalFormatting sqref="H1">
    <cfRule type="cellIs" dxfId="376" priority="9" operator="equal">
      <formula>#N/A</formula>
    </cfRule>
  </conditionalFormatting>
  <conditionalFormatting sqref="E1">
    <cfRule type="cellIs" dxfId="375" priority="8" operator="equal">
      <formula>#N/A</formula>
    </cfRule>
  </conditionalFormatting>
  <conditionalFormatting sqref="I1">
    <cfRule type="containsText" dxfId="374" priority="6" operator="containsText" text="All Data Import Successfully">
      <formula>NOT(ISERROR(SEARCH("All Data Import Successfully",I1)))</formula>
    </cfRule>
    <cfRule type="containsText" dxfId="373" priority="7" operator="containsText" text="Difference Entry">
      <formula>NOT(ISERROR(SEARCH("Difference Entry",I1)))</formula>
    </cfRule>
  </conditionalFormatting>
  <conditionalFormatting sqref="DG2">
    <cfRule type="cellIs" dxfId="372" priority="5" operator="equal">
      <formula>#N/A</formula>
    </cfRule>
  </conditionalFormatting>
  <conditionalFormatting sqref="DH2:DI2">
    <cfRule type="cellIs" dxfId="371" priority="4" operator="equal">
      <formula>#N/A</formula>
    </cfRule>
  </conditionalFormatting>
  <conditionalFormatting sqref="E2:G2">
    <cfRule type="cellIs" dxfId="370" priority="3" operator="equal">
      <formula>#N/A</formula>
    </cfRule>
  </conditionalFormatting>
  <conditionalFormatting sqref="H2">
    <cfRule type="cellIs" dxfId="369" priority="2" operator="equal">
      <formula>#N/A</formula>
    </cfRule>
  </conditionalFormatting>
  <conditionalFormatting sqref="I2">
    <cfRule type="cellIs" dxfId="36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/>
  <dimension ref="A1:DZ4"/>
  <sheetViews>
    <sheetView showRuler="0" workbookViewId="0">
      <selection activeCell="D20" sqref="D20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ICICI Bank A/c. (Saving)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141</v>
      </c>
      <c r="B3" s="18"/>
      <c r="C3" s="17"/>
      <c r="D3" s="17"/>
      <c r="E3" s="19"/>
      <c r="F3" s="17"/>
      <c r="G3" s="20"/>
      <c r="H3" s="21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ICICI Bank A/c. (Saving)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8">
        <f>VALUE(C3)</f>
        <v>0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66" t="s">
        <v>136</v>
      </c>
      <c r="B4" s="66" t="s">
        <v>18</v>
      </c>
      <c r="C4" s="66" t="s">
        <v>25</v>
      </c>
      <c r="D4" s="66" t="s">
        <v>137</v>
      </c>
      <c r="E4" s="66" t="s">
        <v>28</v>
      </c>
      <c r="F4" s="66" t="s">
        <v>138</v>
      </c>
      <c r="G4" s="66" t="s">
        <v>139</v>
      </c>
      <c r="H4" s="66" t="s">
        <v>140</v>
      </c>
      <c r="I4" s="1"/>
      <c r="J4" s="1"/>
      <c r="DA4" s="38" t="str">
        <f>+DA3</f>
        <v>ICICI Bank A/c. (Saving)</v>
      </c>
    </row>
  </sheetData>
  <sheetProtection algorithmName="SHA-512" hashValue="IXnRLeTgSbLED52RuYzvBJNMLHzV2nKSrPXMjtrN1p3Wk5zskYsHlykDcMMWa20hfvwAl9uNHWeeDSfC+0/q3Q==" saltValue="tuln4wAvrdz8mK+QU6xV+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</protectedRanges>
  <conditionalFormatting sqref="E3 I1:I2">
    <cfRule type="cellIs" dxfId="367" priority="10" operator="equal">
      <formula>#N/A</formula>
    </cfRule>
  </conditionalFormatting>
  <conditionalFormatting sqref="H1">
    <cfRule type="cellIs" dxfId="366" priority="9" operator="equal">
      <formula>#N/A</formula>
    </cfRule>
  </conditionalFormatting>
  <conditionalFormatting sqref="E1">
    <cfRule type="cellIs" dxfId="365" priority="8" operator="equal">
      <formula>#N/A</formula>
    </cfRule>
  </conditionalFormatting>
  <conditionalFormatting sqref="I1">
    <cfRule type="containsText" dxfId="364" priority="6" operator="containsText" text="All Data Import Successfully">
      <formula>NOT(ISERROR(SEARCH("All Data Import Successfully",I1)))</formula>
    </cfRule>
    <cfRule type="containsText" dxfId="363" priority="7" operator="containsText" text="Difference Entry">
      <formula>NOT(ISERROR(SEARCH("Difference Entry",I1)))</formula>
    </cfRule>
  </conditionalFormatting>
  <conditionalFormatting sqref="DG2">
    <cfRule type="cellIs" dxfId="362" priority="5" operator="equal">
      <formula>#N/A</formula>
    </cfRule>
  </conditionalFormatting>
  <conditionalFormatting sqref="DH2:DI2">
    <cfRule type="cellIs" dxfId="361" priority="4" operator="equal">
      <formula>#N/A</formula>
    </cfRule>
  </conditionalFormatting>
  <conditionalFormatting sqref="E2:G2">
    <cfRule type="cellIs" dxfId="360" priority="3" operator="equal">
      <formula>#N/A</formula>
    </cfRule>
  </conditionalFormatting>
  <conditionalFormatting sqref="H2">
    <cfRule type="cellIs" dxfId="359" priority="2" operator="equal">
      <formula>#N/A</formula>
    </cfRule>
  </conditionalFormatting>
  <conditionalFormatting sqref="I2">
    <cfRule type="cellIs" dxfId="35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10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64</v>
      </c>
      <c r="B3" s="59"/>
      <c r="C3" s="58"/>
      <c r="D3" s="58" t="s">
        <v>182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32</v>
      </c>
      <c r="B4" s="104" t="s">
        <v>33</v>
      </c>
      <c r="C4" s="104" t="s">
        <v>34</v>
      </c>
      <c r="D4" s="104" t="s">
        <v>35</v>
      </c>
      <c r="E4" s="104" t="s">
        <v>36</v>
      </c>
      <c r="F4" s="104" t="s">
        <v>37</v>
      </c>
      <c r="G4" s="105" t="s">
        <v>38</v>
      </c>
      <c r="DA4" s="38" t="str">
        <f>+DA3</f>
        <v>HDFC Bank A/c.</v>
      </c>
    </row>
  </sheetData>
  <sheetProtection algorithmName="SHA-512" hashValue="vBpMGl8DQLEIEOycR5ybohKGfl33jYM9riKNXN0gqDcTfQxk/MuNU4K+KPOOXois5r8U2awNIImhv5Uyv4vIgQ==" saltValue="Xfi3TvnmCifdGiIqXyiuk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357" priority="18" operator="equal">
      <formula>#N/A</formula>
    </cfRule>
  </conditionalFormatting>
  <conditionalFormatting sqref="DG2">
    <cfRule type="cellIs" dxfId="356" priority="13" operator="equal">
      <formula>#N/A</formula>
    </cfRule>
  </conditionalFormatting>
  <conditionalFormatting sqref="DH2:DI2">
    <cfRule type="cellIs" dxfId="355" priority="12" operator="equal">
      <formula>#N/A</formula>
    </cfRule>
  </conditionalFormatting>
  <conditionalFormatting sqref="I1:I2">
    <cfRule type="cellIs" dxfId="354" priority="8" operator="equal">
      <formula>#N/A</formula>
    </cfRule>
  </conditionalFormatting>
  <conditionalFormatting sqref="H1">
    <cfRule type="cellIs" dxfId="353" priority="7" operator="equal">
      <formula>#N/A</formula>
    </cfRule>
  </conditionalFormatting>
  <conditionalFormatting sqref="E1">
    <cfRule type="cellIs" dxfId="352" priority="6" operator="equal">
      <formula>#N/A</formula>
    </cfRule>
  </conditionalFormatting>
  <conditionalFormatting sqref="I1">
    <cfRule type="containsText" dxfId="351" priority="4" operator="containsText" text="All Data Import Successfully">
      <formula>NOT(ISERROR(SEARCH("All Data Import Successfully",I1)))</formula>
    </cfRule>
    <cfRule type="containsText" dxfId="350" priority="5" operator="containsText" text="Difference Entry">
      <formula>NOT(ISERROR(SEARCH("Difference Entry",I1)))</formula>
    </cfRule>
  </conditionalFormatting>
  <conditionalFormatting sqref="E2:G2">
    <cfRule type="cellIs" dxfId="349" priority="3" operator="equal">
      <formula>#N/A</formula>
    </cfRule>
  </conditionalFormatting>
  <conditionalFormatting sqref="H2">
    <cfRule type="cellIs" dxfId="348" priority="2" operator="equal">
      <formula>#N/A</formula>
    </cfRule>
  </conditionalFormatting>
  <conditionalFormatting sqref="I2">
    <cfRule type="cellIs" dxfId="347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"/>
  <dimension ref="A1:DZ4"/>
  <sheetViews>
    <sheetView showRuler="0" workbookViewId="0">
      <selection activeCell="E26" sqref="E2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65</v>
      </c>
      <c r="B3" s="59"/>
      <c r="C3" s="58"/>
      <c r="D3" s="58" t="s">
        <v>215</v>
      </c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IF(F3="CR",VALUE("0"),VALUE(SUBSTITUTE((E3),",","")))</f>
        <v>#VALUE!</v>
      </c>
      <c r="DE3" s="26" t="e">
        <f>IF(F3="DR",VALUE("0"),VALUE(SUBSTITUTE((E3),",","")))</f>
        <v>#VALUE!</v>
      </c>
      <c r="DF3" s="26" t="str">
        <f>IF(G3="","",VALUE(SUBSTITUTE((G3),",","")))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>202406171904</v>
      </c>
      <c r="DH3" s="28">
        <f>VALUE(B3)</f>
        <v>0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78</v>
      </c>
      <c r="B4" s="104" t="s">
        <v>32</v>
      </c>
      <c r="C4" s="104" t="s">
        <v>19</v>
      </c>
      <c r="D4" s="104" t="s">
        <v>79</v>
      </c>
      <c r="E4" s="104" t="s">
        <v>80</v>
      </c>
      <c r="F4" s="104" t="s">
        <v>81</v>
      </c>
      <c r="G4" s="104" t="s">
        <v>11</v>
      </c>
      <c r="H4" s="105" t="s">
        <v>81</v>
      </c>
      <c r="DA4" s="38" t="str">
        <f>+DA3</f>
        <v>Kotak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346" priority="18" operator="equal">
      <formula>#N/A</formula>
    </cfRule>
  </conditionalFormatting>
  <conditionalFormatting sqref="DG2">
    <cfRule type="cellIs" dxfId="345" priority="13" operator="equal">
      <formula>#N/A</formula>
    </cfRule>
  </conditionalFormatting>
  <conditionalFormatting sqref="DH2:DI2">
    <cfRule type="cellIs" dxfId="344" priority="12" operator="equal">
      <formula>#N/A</formula>
    </cfRule>
  </conditionalFormatting>
  <conditionalFormatting sqref="I1:I2">
    <cfRule type="cellIs" dxfId="343" priority="8" operator="equal">
      <formula>#N/A</formula>
    </cfRule>
  </conditionalFormatting>
  <conditionalFormatting sqref="H1">
    <cfRule type="cellIs" dxfId="342" priority="7" operator="equal">
      <formula>#N/A</formula>
    </cfRule>
  </conditionalFormatting>
  <conditionalFormatting sqref="E1">
    <cfRule type="cellIs" dxfId="341" priority="6" operator="equal">
      <formula>#N/A</formula>
    </cfRule>
  </conditionalFormatting>
  <conditionalFormatting sqref="I1">
    <cfRule type="containsText" dxfId="340" priority="4" operator="containsText" text="All Data Import Successfully">
      <formula>NOT(ISERROR(SEARCH("All Data Import Successfully",I1)))</formula>
    </cfRule>
    <cfRule type="containsText" dxfId="339" priority="5" operator="containsText" text="Difference Entry">
      <formula>NOT(ISERROR(SEARCH("Difference Entry",I1)))</formula>
    </cfRule>
  </conditionalFormatting>
  <conditionalFormatting sqref="E2:G2">
    <cfRule type="cellIs" dxfId="338" priority="3" operator="equal">
      <formula>#N/A</formula>
    </cfRule>
  </conditionalFormatting>
  <conditionalFormatting sqref="H2">
    <cfRule type="cellIs" dxfId="337" priority="2" operator="equal">
      <formula>#N/A</formula>
    </cfRule>
  </conditionalFormatting>
  <conditionalFormatting sqref="I2">
    <cfRule type="cellIs" dxfId="336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0"/>
  <dimension ref="A1:DZ4"/>
  <sheetViews>
    <sheetView workbookViewId="0">
      <selection activeCell="B19" sqref="B19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16" width="9.5703125" style="6" bestFit="1" customWidth="1"/>
    <col min="117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9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Kotak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65</v>
      </c>
      <c r="B3" s="59"/>
      <c r="C3" s="58"/>
      <c r="D3" s="58" t="s">
        <v>215</v>
      </c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Kotak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IF(F3="",VALUE("0"),VALUE(SUBSTITUTE((TRIM(F3)),",","")))</f>
        <v>0</v>
      </c>
      <c r="DE3" s="26">
        <f>IF(G3="",VALUE("0"),VALUE(SUBSTITUTE((TRIM(G3)),",","")))</f>
        <v>0</v>
      </c>
      <c r="DF3" s="26" t="str">
        <f>IF(H3="","",VALUE(SUBSTITUTE((H3),",","")))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>202406171904</v>
      </c>
      <c r="DH3" s="28">
        <f>+DB3</f>
        <v>0</v>
      </c>
      <c r="DI3" s="28" t="str">
        <f>+IF(DE3=0,"Suspance Payment","Suspance Receipt")</f>
        <v>Suspance Payment</v>
      </c>
      <c r="DJ3" s="39" t="str">
        <f>+D3</f>
        <v>\\ADITYA-TECH\All Sharing\A Party Backup\PATIDAR\Report-20240617190457.xlsx</v>
      </c>
      <c r="DK3" s="30" t="e">
        <f>+DK2+1</f>
        <v>#VALUE!</v>
      </c>
      <c r="DL3" s="55"/>
      <c r="DM3" s="31"/>
      <c r="DN3" s="56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54" t="s">
        <v>78</v>
      </c>
      <c r="B4" s="54" t="s">
        <v>25</v>
      </c>
      <c r="C4" s="54" t="s">
        <v>18</v>
      </c>
      <c r="D4" s="54" t="s">
        <v>19</v>
      </c>
      <c r="E4" s="54" t="s">
        <v>122</v>
      </c>
      <c r="F4" s="54" t="s">
        <v>100</v>
      </c>
      <c r="G4" s="54" t="s">
        <v>22</v>
      </c>
      <c r="H4" s="54" t="s">
        <v>11</v>
      </c>
      <c r="I4" s="54" t="s">
        <v>81</v>
      </c>
      <c r="DA4" s="38" t="str">
        <f>+DA3</f>
        <v>Kotak Bank A/c.</v>
      </c>
      <c r="DL4" s="55">
        <f>+DD4+DE4</f>
        <v>0</v>
      </c>
    </row>
  </sheetData>
  <sheetProtection algorithmName="SHA-512" hashValue="2tjccffiKkbzTCdCOeCTdkkzIacNxhwIew0X7D8KAdbhb4A8MQObPtKi+81TMzPXDSuoSo02LZj3TQK3a+pF5Q==" saltValue="7nBZ4y4W5ArlCV7aWMF0s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D3:DE3" name="Range1_1_2"/>
  </protectedRanges>
  <conditionalFormatting sqref="DG2">
    <cfRule type="cellIs" dxfId="335" priority="22" operator="equal">
      <formula>#N/A</formula>
    </cfRule>
  </conditionalFormatting>
  <conditionalFormatting sqref="DH2:DI2">
    <cfRule type="cellIs" dxfId="334" priority="21" operator="equal">
      <formula>#N/A</formula>
    </cfRule>
  </conditionalFormatting>
  <conditionalFormatting sqref="E3">
    <cfRule type="cellIs" dxfId="333" priority="17" operator="equal">
      <formula>#N/A</formula>
    </cfRule>
  </conditionalFormatting>
  <conditionalFormatting sqref="I1:I2">
    <cfRule type="cellIs" dxfId="332" priority="8" operator="equal">
      <formula>#N/A</formula>
    </cfRule>
  </conditionalFormatting>
  <conditionalFormatting sqref="H1">
    <cfRule type="cellIs" dxfId="331" priority="7" operator="equal">
      <formula>#N/A</formula>
    </cfRule>
  </conditionalFormatting>
  <conditionalFormatting sqref="E1">
    <cfRule type="cellIs" dxfId="330" priority="6" operator="equal">
      <formula>#N/A</formula>
    </cfRule>
  </conditionalFormatting>
  <conditionalFormatting sqref="I1">
    <cfRule type="containsText" dxfId="329" priority="4" operator="containsText" text="All Data Import Successfully">
      <formula>NOT(ISERROR(SEARCH("All Data Import Successfully",I1)))</formula>
    </cfRule>
    <cfRule type="containsText" dxfId="328" priority="5" operator="containsText" text="Difference Entry">
      <formula>NOT(ISERROR(SEARCH("Difference Entry",I1)))</formula>
    </cfRule>
  </conditionalFormatting>
  <conditionalFormatting sqref="E2:G2">
    <cfRule type="cellIs" dxfId="327" priority="3" operator="equal">
      <formula>#N/A</formula>
    </cfRule>
  </conditionalFormatting>
  <conditionalFormatting sqref="H2">
    <cfRule type="cellIs" dxfId="326" priority="2" operator="equal">
      <formula>#N/A</formula>
    </cfRule>
  </conditionalFormatting>
  <conditionalFormatting sqref="I2">
    <cfRule type="cellIs" dxfId="32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214</v>
      </c>
      <c r="T1" s="95">
        <v>7</v>
      </c>
      <c r="U1" s="95" t="s">
        <v>197</v>
      </c>
      <c r="V1" s="95" t="s">
        <v>181</v>
      </c>
      <c r="W1" s="95" t="s">
        <v>172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61</v>
      </c>
      <c r="B3" s="59"/>
      <c r="C3" s="58"/>
      <c r="D3" s="58" t="s">
        <v>213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 ",VALUE("0"),VALUE(SUBSTITUTE((D3),",","")))</f>
        <v>#VALUE!</v>
      </c>
      <c r="DE3" s="26" t="e">
        <f>IF(E3=" ",VALUE("0"),VALUE(SUBSTITUTE((E3),",","")))</f>
        <v>#VALUE!</v>
      </c>
      <c r="DF3" s="26" t="e">
        <f>IF(F3=" ","",VALUE(SUBSTITUTE((F3),",","")))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39</v>
      </c>
      <c r="B4" s="104" t="s">
        <v>40</v>
      </c>
      <c r="C4" s="104" t="s">
        <v>41</v>
      </c>
      <c r="D4" s="104" t="s">
        <v>42</v>
      </c>
      <c r="E4" s="104" t="s">
        <v>43</v>
      </c>
      <c r="F4" s="104" t="s">
        <v>44</v>
      </c>
      <c r="G4" s="105" t="s">
        <v>45</v>
      </c>
      <c r="DA4" s="38" t="str">
        <f>+DA3</f>
        <v>Axis Bank A/c.</v>
      </c>
    </row>
  </sheetData>
  <sheetProtection algorithmName="SHA-512" hashValue="Rsw1N/NP/CZWClfUSLiPy8AzPNcBHgSKO2JoGfhTeVstlm/z8NUVqPWTsAPq+d6jsKBOnW5SYgM5czluD5Xq1g==" saltValue="gZHdGl6xBJ8DVDH3m7Y22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24" priority="18" operator="equal">
      <formula>#N/A</formula>
    </cfRule>
  </conditionalFormatting>
  <conditionalFormatting sqref="DG2">
    <cfRule type="cellIs" dxfId="323" priority="13" operator="equal">
      <formula>#N/A</formula>
    </cfRule>
  </conditionalFormatting>
  <conditionalFormatting sqref="DH2:DI2">
    <cfRule type="cellIs" dxfId="322" priority="12" operator="equal">
      <formula>#N/A</formula>
    </cfRule>
  </conditionalFormatting>
  <conditionalFormatting sqref="I1:I2">
    <cfRule type="cellIs" dxfId="321" priority="8" operator="equal">
      <formula>#N/A</formula>
    </cfRule>
  </conditionalFormatting>
  <conditionalFormatting sqref="H1">
    <cfRule type="cellIs" dxfId="320" priority="7" operator="equal">
      <formula>#N/A</formula>
    </cfRule>
  </conditionalFormatting>
  <conditionalFormatting sqref="E1">
    <cfRule type="cellIs" dxfId="319" priority="6" operator="equal">
      <formula>#N/A</formula>
    </cfRule>
  </conditionalFormatting>
  <conditionalFormatting sqref="I1">
    <cfRule type="containsText" dxfId="318" priority="4" operator="containsText" text="All Data Import Successfully">
      <formula>NOT(ISERROR(SEARCH("All Data Import Successfully",I1)))</formula>
    </cfRule>
    <cfRule type="containsText" dxfId="317" priority="5" operator="containsText" text="Difference Entry">
      <formula>NOT(ISERROR(SEARCH("Difference Entry",I1)))</formula>
    </cfRule>
  </conditionalFormatting>
  <conditionalFormatting sqref="E2:G2">
    <cfRule type="cellIs" dxfId="316" priority="3" operator="equal">
      <formula>#N/A</formula>
    </cfRule>
  </conditionalFormatting>
  <conditionalFormatting sqref="H2">
    <cfRule type="cellIs" dxfId="315" priority="2" operator="equal">
      <formula>#N/A</formula>
    </cfRule>
  </conditionalFormatting>
  <conditionalFormatting sqref="I2">
    <cfRule type="cellIs" dxfId="31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DZ4"/>
  <sheetViews>
    <sheetView workbookViewId="0">
      <selection activeCell="C18" sqref="C18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208</v>
      </c>
      <c r="T1" s="95">
        <v>9</v>
      </c>
      <c r="U1" s="95" t="s">
        <v>181</v>
      </c>
      <c r="V1" s="95" t="s">
        <v>172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61</v>
      </c>
      <c r="B3" s="59"/>
      <c r="C3" s="58"/>
      <c r="D3" s="58" t="s">
        <v>334</v>
      </c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IF(E3=" ",VALUE("0"),VALUE(SUBSTITUTE((E3),",","")))</f>
        <v>#VALUE!</v>
      </c>
      <c r="DE3" s="26" t="e">
        <f>IF(F3=" ",VALUE("0"),VALUE(SUBSTITUTE((F3),",","")))</f>
        <v>#VALUE!</v>
      </c>
      <c r="DF3" s="26" t="e">
        <f>IF(G3=" ","",VALUE(SUBSTITUTE((G3),",","")))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e">
        <f>+IF(DE3=0,"Suspance Payment","Suspance Receipt")</f>
        <v>#VALUE!</v>
      </c>
      <c r="DJ3" s="39" t="str">
        <f>+D3</f>
        <v>C:\Users\ADITYA\Desktop\Ecomm\Bank Statement\axis 2.xls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40" t="s">
        <v>333</v>
      </c>
      <c r="B4" s="241" t="s">
        <v>39</v>
      </c>
      <c r="C4" s="241" t="s">
        <v>40</v>
      </c>
      <c r="D4" s="241" t="s">
        <v>41</v>
      </c>
      <c r="E4" s="241" t="s">
        <v>42</v>
      </c>
      <c r="F4" s="241" t="s">
        <v>43</v>
      </c>
      <c r="G4" s="242" t="s">
        <v>44</v>
      </c>
      <c r="H4" s="223" t="s">
        <v>45</v>
      </c>
      <c r="DA4" s="38" t="str">
        <f>+DA3</f>
        <v>Axis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13" priority="11" operator="equal">
      <formula>#N/A</formula>
    </cfRule>
  </conditionalFormatting>
  <conditionalFormatting sqref="DG2">
    <cfRule type="cellIs" dxfId="312" priority="10" operator="equal">
      <formula>#N/A</formula>
    </cfRule>
  </conditionalFormatting>
  <conditionalFormatting sqref="DH2:DI2">
    <cfRule type="cellIs" dxfId="311" priority="9" operator="equal">
      <formula>#N/A</formula>
    </cfRule>
  </conditionalFormatting>
  <conditionalFormatting sqref="I1:I2">
    <cfRule type="cellIs" dxfId="310" priority="8" operator="equal">
      <formula>#N/A</formula>
    </cfRule>
  </conditionalFormatting>
  <conditionalFormatting sqref="H1">
    <cfRule type="cellIs" dxfId="309" priority="7" operator="equal">
      <formula>#N/A</formula>
    </cfRule>
  </conditionalFormatting>
  <conditionalFormatting sqref="E1">
    <cfRule type="cellIs" dxfId="308" priority="6" operator="equal">
      <formula>#N/A</formula>
    </cfRule>
  </conditionalFormatting>
  <conditionalFormatting sqref="I1">
    <cfRule type="containsText" dxfId="307" priority="4" operator="containsText" text="All Data Import Successfully">
      <formula>NOT(ISERROR(SEARCH("All Data Import Successfully",I1)))</formula>
    </cfRule>
    <cfRule type="containsText" dxfId="306" priority="5" operator="containsText" text="Difference Entry">
      <formula>NOT(ISERROR(SEARCH("Difference Entry",I1)))</formula>
    </cfRule>
  </conditionalFormatting>
  <conditionalFormatting sqref="E2:G2">
    <cfRule type="cellIs" dxfId="305" priority="3" operator="equal">
      <formula>#N/A</formula>
    </cfRule>
  </conditionalFormatting>
  <conditionalFormatting sqref="H2">
    <cfRule type="cellIs" dxfId="304" priority="2" operator="equal">
      <formula>#N/A</formula>
    </cfRule>
  </conditionalFormatting>
  <conditionalFormatting sqref="I2">
    <cfRule type="cellIs" dxfId="30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DZ4"/>
  <sheetViews>
    <sheetView workbookViewId="0">
      <selection activeCell="C36" sqref="C3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192</v>
      </c>
      <c r="T1" s="95">
        <v>8</v>
      </c>
      <c r="U1" s="95" t="s">
        <v>172</v>
      </c>
      <c r="V1" s="95" t="s">
        <v>172</v>
      </c>
      <c r="W1" s="95" t="s">
        <v>168</v>
      </c>
      <c r="X1" s="102" t="s">
        <v>6</v>
      </c>
      <c r="Y1" s="102">
        <v>5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 ht="15.75" thickBot="1">
      <c r="A3" s="58" t="s">
        <v>109</v>
      </c>
      <c r="B3" s="59"/>
      <c r="C3" s="58"/>
      <c r="D3" s="58" t="s">
        <v>213</v>
      </c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 (Cur)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IF(F3="CR",VALUE("0"),VALUE(SUBSTITUTE((E3),",","")))</f>
        <v>#VALUE!</v>
      </c>
      <c r="DE3" s="26" t="e">
        <f>IF(F3="DR",VALUE("0"),VALUE(SUBSTITUTE((E3),",","")))</f>
        <v>#VALUE!</v>
      </c>
      <c r="DF3" s="26" t="e">
        <f>IF(G3=" ","",VALUE(SUBSTITUTE((G3),",","")))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e">
        <f>+VALUE(A3)</f>
        <v>#VALUE!</v>
      </c>
      <c r="DI3" s="28" t="e">
        <f>+IF(DE3=0,"Suspance Payment","Suspance Receipt")</f>
        <v>#VALUE!</v>
      </c>
      <c r="DJ3" s="39" t="str">
        <f>+IF(ISBLANK(D3),C3,D3)</f>
        <v>C:\Users\ADITYA\Desktop\Ecomm\Bank Statement\axis bank .xls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39</v>
      </c>
      <c r="B4" s="104" t="s">
        <v>18</v>
      </c>
      <c r="C4" s="104" t="s">
        <v>40</v>
      </c>
      <c r="D4" s="104" t="s">
        <v>188</v>
      </c>
      <c r="E4" s="104" t="s">
        <v>189</v>
      </c>
      <c r="F4" s="104" t="s">
        <v>190</v>
      </c>
      <c r="G4" s="104" t="s">
        <v>108</v>
      </c>
      <c r="H4" s="105" t="s">
        <v>191</v>
      </c>
      <c r="DA4" s="23" t="str">
        <f>+DA3</f>
        <v>Axis Bank A/c. (Cur)</v>
      </c>
      <c r="DB4" s="24" t="e">
        <f>VALUE(A4)</f>
        <v>#VALUE!</v>
      </c>
      <c r="DC4" s="25" t="str">
        <f>+CONCATENATE(TEXT(A4,"D"),"",TEXT(A4,"MM"),"","/",SUBSTITUTE(F4,",",""),"/",DK4)</f>
        <v>Tran DateTran Date/DR|CR/2</v>
      </c>
      <c r="DD4" s="26" t="e">
        <f>IF(G4="CR",VALUE("0"),VALUE(SUBSTITUTE((F4),",","")))</f>
        <v>#VALUE!</v>
      </c>
      <c r="DE4" s="26" t="e">
        <f>IF(G4="DR",VALUE("0"),VALUE(SUBSTITUTE((F4),",","")))</f>
        <v>#VALUE!</v>
      </c>
      <c r="DF4" s="26" t="e">
        <f>IF(H4=" ","",VALUE(SUBSTITUTE((H4),",","")))</f>
        <v>#VALUE!</v>
      </c>
      <c r="DG4" s="27" t="str">
        <f ca="1">(SUBSTITUTE(TRIM(IF(LEFT(C4,3)="CLG"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6)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12))),".",""))</f>
        <v/>
      </c>
      <c r="DH4" s="28" t="e">
        <f>+VALUE(A4)</f>
        <v>#VALUE!</v>
      </c>
      <c r="DI4" s="28" t="e">
        <f>+IF(DE4=0,"Suspance Payment","Suspance Receipt")</f>
        <v>#VALUE!</v>
      </c>
      <c r="DJ4" s="39" t="str">
        <f>+C4</f>
        <v>CHQNO</v>
      </c>
      <c r="DK4" s="30">
        <f>+DK3+1</f>
        <v>2</v>
      </c>
    </row>
  </sheetData>
  <sheetProtection algorithmName="SHA-512" hashValue="+aKhEqtjRK/hHukcRqaeU2+v5p754nvLGwcMNCO+oGAoWZ1lV0G9wQH9epnvTF6shNBJssW/tZiWZ5AT3asBog==" saltValue="9tcxIwhYtqgLOqU3O3Ec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:DJ4 DA3:DC4 DH3:DH4" name="Range1_5"/>
    <protectedRange algorithmName="SHA-512" hashValue="FeHjunJeBmEIe1Z+x4LSLD0xeXKoeHqEB4mLNgYC3pUDxBFAiT2e1scH7F48tQXpPGOh+9Z9iw2K5jb0kUxFkQ==" saltValue="Arxg+XESKZddo6Y2q+NDbg==" spinCount="100000" sqref="DE3:DF4" name="Range1_1_2"/>
    <protectedRange algorithmName="SHA-512" hashValue="FeHjunJeBmEIe1Z+x4LSLD0xeXKoeHqEB4mLNgYC3pUDxBFAiT2e1scH7F48tQXpPGOh+9Z9iw2K5jb0kUxFkQ==" saltValue="Arxg+XESKZddo6Y2q+NDbg==" spinCount="100000" sqref="DI3:DI4" name="Range1_2_2"/>
    <protectedRange algorithmName="SHA-512" hashValue="FeHjunJeBmEIe1Z+x4LSLD0xeXKoeHqEB4mLNgYC3pUDxBFAiT2e1scH7F48tQXpPGOh+9Z9iw2K5jb0kUxFkQ==" saltValue="Arxg+XESKZddo6Y2q+NDbg==" spinCount="100000" sqref="DK3:DK4" name="Range1_3_2"/>
    <protectedRange algorithmName="SHA-512" hashValue="FeHjunJeBmEIe1Z+x4LSLD0xeXKoeHqEB4mLNgYC3pUDxBFAiT2e1scH7F48tQXpPGOh+9Z9iw2K5jb0kUxFkQ==" saltValue="Arxg+XESKZddo6Y2q+NDbg==" spinCount="100000" sqref="DD3:DD4" name="Range1_1_4"/>
  </protectedRanges>
  <conditionalFormatting sqref="E3">
    <cfRule type="cellIs" dxfId="302" priority="18" operator="equal">
      <formula>#N/A</formula>
    </cfRule>
  </conditionalFormatting>
  <conditionalFormatting sqref="DG2">
    <cfRule type="cellIs" dxfId="301" priority="13" operator="equal">
      <formula>#N/A</formula>
    </cfRule>
  </conditionalFormatting>
  <conditionalFormatting sqref="DH2:DI2">
    <cfRule type="cellIs" dxfId="300" priority="12" operator="equal">
      <formula>#N/A</formula>
    </cfRule>
  </conditionalFormatting>
  <conditionalFormatting sqref="I1:I2">
    <cfRule type="cellIs" dxfId="299" priority="8" operator="equal">
      <formula>#N/A</formula>
    </cfRule>
  </conditionalFormatting>
  <conditionalFormatting sqref="H1">
    <cfRule type="cellIs" dxfId="298" priority="7" operator="equal">
      <formula>#N/A</formula>
    </cfRule>
  </conditionalFormatting>
  <conditionalFormatting sqref="E1">
    <cfRule type="cellIs" dxfId="297" priority="6" operator="equal">
      <formula>#N/A</formula>
    </cfRule>
  </conditionalFormatting>
  <conditionalFormatting sqref="I1">
    <cfRule type="containsText" dxfId="296" priority="4" operator="containsText" text="All Data Import Successfully">
      <formula>NOT(ISERROR(SEARCH("All Data Import Successfully",I1)))</formula>
    </cfRule>
    <cfRule type="containsText" dxfId="295" priority="5" operator="containsText" text="Difference Entry">
      <formula>NOT(ISERROR(SEARCH("Difference Entry",I1)))</formula>
    </cfRule>
  </conditionalFormatting>
  <conditionalFormatting sqref="E2:G2">
    <cfRule type="cellIs" dxfId="294" priority="3" operator="equal">
      <formula>#N/A</formula>
    </cfRule>
  </conditionalFormatting>
  <conditionalFormatting sqref="H2">
    <cfRule type="cellIs" dxfId="293" priority="2" operator="equal">
      <formula>#N/A</formula>
    </cfRule>
  </conditionalFormatting>
  <conditionalFormatting sqref="I2">
    <cfRule type="cellIs" dxfId="292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9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16" width="10.5703125" style="6" bestFit="1" customWidth="1"/>
    <col min="117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203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17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 xml:space="preserve">Yesh Bank 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71</v>
      </c>
      <c r="B3" s="59"/>
      <c r="C3" s="58"/>
      <c r="D3" s="58" t="s">
        <v>204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 xml:space="preserve">Yesh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42">
        <f>+VALUE(B3)</f>
        <v>0</v>
      </c>
      <c r="DI3" s="28" t="str">
        <f>+IF(DE3=0,"Suspance Payment","Suspance Receipt")</f>
        <v>Suspance Payment</v>
      </c>
      <c r="DJ3" s="39" t="str">
        <f>+D3</f>
        <v>C:\Users\ADITYA\Desktop\Ecomm\Bank Statement\yes bank cr.xls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7" thickBot="1">
      <c r="A4" s="120" t="s">
        <v>25</v>
      </c>
      <c r="B4" s="121" t="s">
        <v>18</v>
      </c>
      <c r="C4" s="121" t="s">
        <v>67</v>
      </c>
      <c r="D4" s="121" t="s">
        <v>19</v>
      </c>
      <c r="E4" s="121" t="s">
        <v>68</v>
      </c>
      <c r="F4" s="121" t="s">
        <v>69</v>
      </c>
      <c r="G4" s="122" t="s">
        <v>70</v>
      </c>
      <c r="DA4" s="38" t="str">
        <f>+DA3</f>
        <v xml:space="preserve">Yesh Bank </v>
      </c>
    </row>
  </sheetData>
  <sheetProtection algorithmName="SHA-512" hashValue="eiy8Xgn/LFy/8wXgvs5jFKWnGjurG+Eb2EvfJ7XYjp0n4gamhLEtJkhkKyJgDFncpWps73ZnR7hS5T4DSXqbQQ==" saltValue="GEQEi8+nEJ8xFN+qNexSG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291" priority="18" operator="equal">
      <formula>#N/A</formula>
    </cfRule>
  </conditionalFormatting>
  <conditionalFormatting sqref="DG2">
    <cfRule type="cellIs" dxfId="290" priority="13" operator="equal">
      <formula>#N/A</formula>
    </cfRule>
  </conditionalFormatting>
  <conditionalFormatting sqref="DH2:DI2">
    <cfRule type="cellIs" dxfId="289" priority="12" operator="equal">
      <formula>#N/A</formula>
    </cfRule>
  </conditionalFormatting>
  <conditionalFormatting sqref="I1:I2">
    <cfRule type="cellIs" dxfId="288" priority="8" operator="equal">
      <formula>#N/A</formula>
    </cfRule>
  </conditionalFormatting>
  <conditionalFormatting sqref="H1">
    <cfRule type="cellIs" dxfId="287" priority="7" operator="equal">
      <formula>#N/A</formula>
    </cfRule>
  </conditionalFormatting>
  <conditionalFormatting sqref="E1">
    <cfRule type="cellIs" dxfId="286" priority="6" operator="equal">
      <formula>#N/A</formula>
    </cfRule>
  </conditionalFormatting>
  <conditionalFormatting sqref="I1">
    <cfRule type="containsText" dxfId="285" priority="4" operator="containsText" text="All Data Import Successfully">
      <formula>NOT(ISERROR(SEARCH("All Data Import Successfully",I1)))</formula>
    </cfRule>
    <cfRule type="containsText" dxfId="284" priority="5" operator="containsText" text="Difference Entry">
      <formula>NOT(ISERROR(SEARCH("Difference Entry",I1)))</formula>
    </cfRule>
  </conditionalFormatting>
  <conditionalFormatting sqref="E2:G2">
    <cfRule type="cellIs" dxfId="283" priority="3" operator="equal">
      <formula>#N/A</formula>
    </cfRule>
  </conditionalFormatting>
  <conditionalFormatting sqref="H2">
    <cfRule type="cellIs" dxfId="282" priority="2" operator="equal">
      <formula>#N/A</formula>
    </cfRule>
  </conditionalFormatting>
  <conditionalFormatting sqref="I2">
    <cfRule type="cellIs" dxfId="28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4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Indusind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93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Indusind Bank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IF(E3="-",VALUE("0"),VALUE(SUBSTITUTE((E3),"-","")))</f>
        <v>#VALUE!</v>
      </c>
      <c r="DE3" s="26" t="e">
        <f>IF(F3="-",VALUE("0"),VALUE(SUBSTITUTE((F3),"-","")))</f>
        <v>#VALUE!</v>
      </c>
      <c r="DF3" s="26" t="e">
        <f>IF(G3=" ","",VALUE(SUBSTITUTE((G3),",","")))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2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t="s">
        <v>94</v>
      </c>
      <c r="B4" t="s">
        <v>32</v>
      </c>
      <c r="C4" t="s">
        <v>95</v>
      </c>
      <c r="D4" t="s">
        <v>96</v>
      </c>
      <c r="E4" t="s">
        <v>97</v>
      </c>
      <c r="F4" t="s">
        <v>98</v>
      </c>
      <c r="G4" t="s">
        <v>11</v>
      </c>
      <c r="DA4" s="38" t="str">
        <f>+DA3</f>
        <v>Indusind Bank</v>
      </c>
    </row>
  </sheetData>
  <sheetProtection algorithmName="SHA-512" hashValue="ae6qWKk2g4y97MvaoaeqcDCH0Z64EEkQ7nd1tS1mdxsyxOLPhh9xLGhZi6XXXxGxYs3fJ6s87tSDU5Vb+r23eA==" saltValue="svS/aEvJ/0z4+KHRFkMW+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 I1:I2">
    <cfRule type="cellIs" dxfId="280" priority="10" operator="equal">
      <formula>#N/A</formula>
    </cfRule>
  </conditionalFormatting>
  <conditionalFormatting sqref="H1">
    <cfRule type="cellIs" dxfId="279" priority="9" operator="equal">
      <formula>#N/A</formula>
    </cfRule>
  </conditionalFormatting>
  <conditionalFormatting sqref="E1">
    <cfRule type="cellIs" dxfId="278" priority="8" operator="equal">
      <formula>#N/A</formula>
    </cfRule>
  </conditionalFormatting>
  <conditionalFormatting sqref="I1">
    <cfRule type="containsText" dxfId="277" priority="6" operator="containsText" text="All Data Import Successfully">
      <formula>NOT(ISERROR(SEARCH("All Data Import Successfully",I1)))</formula>
    </cfRule>
    <cfRule type="containsText" dxfId="276" priority="7" operator="containsText" text="Difference Entry">
      <formula>NOT(ISERROR(SEARCH("Difference Entry",I1)))</formula>
    </cfRule>
  </conditionalFormatting>
  <conditionalFormatting sqref="DG2">
    <cfRule type="cellIs" dxfId="275" priority="5" operator="equal">
      <formula>#N/A</formula>
    </cfRule>
  </conditionalFormatting>
  <conditionalFormatting sqref="DH2:DI2">
    <cfRule type="cellIs" dxfId="274" priority="4" operator="equal">
      <formula>#N/A</formula>
    </cfRule>
  </conditionalFormatting>
  <conditionalFormatting sqref="E2:G2">
    <cfRule type="cellIs" dxfId="273" priority="3" operator="equal">
      <formula>#N/A</formula>
    </cfRule>
  </conditionalFormatting>
  <conditionalFormatting sqref="H2">
    <cfRule type="cellIs" dxfId="272" priority="2" operator="equal">
      <formula>#N/A</formula>
    </cfRule>
  </conditionalFormatting>
  <conditionalFormatting sqref="I2">
    <cfRule type="cellIs" dxfId="27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5"/>
  <dimension ref="A1:DZ4"/>
  <sheetViews>
    <sheetView showRuler="0" workbookViewId="0">
      <selection activeCell="C26" sqref="C2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201</v>
      </c>
      <c r="T1" s="95">
        <v>9</v>
      </c>
      <c r="U1" s="95" t="s">
        <v>170</v>
      </c>
      <c r="V1" s="95" t="s">
        <v>170</v>
      </c>
      <c r="W1" s="95" t="s">
        <v>202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62</v>
      </c>
      <c r="B3" s="59"/>
      <c r="C3" s="58"/>
      <c r="D3" s="58" t="s">
        <v>419</v>
      </c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IDBI Bank A/c.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 t="e">
        <f>IF(F3="Cr.",VALUE("0"),VALUE(SUBSTITUTE((H3),",","")))</f>
        <v>#VALUE!</v>
      </c>
      <c r="DE3" s="26" t="e">
        <f>IF(F3="Dr.",VALUE("0"),VALUE(SUBSTITUTE((H3),",","")))</f>
        <v>#VALUE!</v>
      </c>
      <c r="DF3" s="26" t="str">
        <f>IF(I3="","",VALUE(SUBSTITUTE((I3),",","")))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>
        <f>VALUE(C3)</f>
        <v>0</v>
      </c>
      <c r="DI3" s="28" t="e">
        <f>+IF(DE3=0,"Suspance Payment","Suspance Receipt")</f>
        <v>#VALUE!</v>
      </c>
      <c r="DJ3" s="39" t="str">
        <f>+D3</f>
        <v>C:\Users\ADITYA\Desktop\Ecomm\Bank Statement\IDBI BANK - ACURA.xls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6" t="s">
        <v>46</v>
      </c>
      <c r="B4" s="107" t="s">
        <v>17</v>
      </c>
      <c r="C4" s="107" t="s">
        <v>18</v>
      </c>
      <c r="D4" s="107" t="s">
        <v>19</v>
      </c>
      <c r="E4" s="107" t="s">
        <v>47</v>
      </c>
      <c r="F4" s="107" t="s">
        <v>48</v>
      </c>
      <c r="G4" s="107" t="s">
        <v>49</v>
      </c>
      <c r="H4" s="107" t="s">
        <v>50</v>
      </c>
      <c r="I4" s="107" t="s">
        <v>31</v>
      </c>
      <c r="J4" s="56"/>
      <c r="DA4" s="38" t="str">
        <f>+DA3</f>
        <v>IDBI Bank A/c.</v>
      </c>
    </row>
  </sheetData>
  <sheetProtection algorithmName="SHA-512" hashValue="IFrFeY6rSixQpgz5KVHLGrDCivIz8Z+egAenp1upsYK/X9Jl+9CGzy/Yt4Po4LjcyzvLtSOLza1Bzun/Ts1g/w==" saltValue="rxey+RDjjtdTOmmijdJmU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270" priority="18" operator="equal">
      <formula>#N/A</formula>
    </cfRule>
  </conditionalFormatting>
  <conditionalFormatting sqref="DG2">
    <cfRule type="cellIs" dxfId="269" priority="13" operator="equal">
      <formula>#N/A</formula>
    </cfRule>
  </conditionalFormatting>
  <conditionalFormatting sqref="DH2:DI2">
    <cfRule type="cellIs" dxfId="268" priority="12" operator="equal">
      <formula>#N/A</formula>
    </cfRule>
  </conditionalFormatting>
  <conditionalFormatting sqref="I1:I2">
    <cfRule type="cellIs" dxfId="267" priority="8" operator="equal">
      <formula>#N/A</formula>
    </cfRule>
  </conditionalFormatting>
  <conditionalFormatting sqref="H1">
    <cfRule type="cellIs" dxfId="266" priority="7" operator="equal">
      <formula>#N/A</formula>
    </cfRule>
  </conditionalFormatting>
  <conditionalFormatting sqref="E1">
    <cfRule type="cellIs" dxfId="265" priority="6" operator="equal">
      <formula>#N/A</formula>
    </cfRule>
  </conditionalFormatting>
  <conditionalFormatting sqref="I1">
    <cfRule type="containsText" dxfId="264" priority="4" operator="containsText" text="All Data Import Successfully">
      <formula>NOT(ISERROR(SEARCH("All Data Import Successfully",I1)))</formula>
    </cfRule>
    <cfRule type="containsText" dxfId="263" priority="5" operator="containsText" text="Difference Entry">
      <formula>NOT(ISERROR(SEARCH("Difference Entry",I1)))</formula>
    </cfRule>
  </conditionalFormatting>
  <conditionalFormatting sqref="E2:G2">
    <cfRule type="cellIs" dxfId="262" priority="3" operator="equal">
      <formula>#N/A</formula>
    </cfRule>
  </conditionalFormatting>
  <conditionalFormatting sqref="H2">
    <cfRule type="cellIs" dxfId="261" priority="2" operator="equal">
      <formula>#N/A</formula>
    </cfRule>
  </conditionalFormatting>
  <conditionalFormatting sqref="I2">
    <cfRule type="cellIs" dxfId="26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1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Bandhan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90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Bandhan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4" t="e">
        <f>+DB3</f>
        <v>#VALUE!</v>
      </c>
      <c r="DI3" s="28" t="str">
        <f>+IF(DE3=0,"Suspance Payment","Suspance Receipt")</f>
        <v>Suspance Payment</v>
      </c>
      <c r="DJ3" s="3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46" customFormat="1" ht="21">
      <c r="A4" s="43" t="s">
        <v>82</v>
      </c>
      <c r="B4" s="43" t="s">
        <v>83</v>
      </c>
      <c r="C4" s="43" t="s">
        <v>84</v>
      </c>
      <c r="D4" s="43" t="s">
        <v>85</v>
      </c>
      <c r="E4" s="43" t="s">
        <v>86</v>
      </c>
      <c r="F4" s="44" t="s">
        <v>87</v>
      </c>
      <c r="G4" s="45" t="s">
        <v>88</v>
      </c>
      <c r="H4" s="45" t="s">
        <v>89</v>
      </c>
      <c r="DA4" s="47" t="str">
        <f>+DA3</f>
        <v>Bandhan Bank</v>
      </c>
    </row>
  </sheetData>
  <sheetProtection algorithmName="SHA-512" hashValue="sTMHvJIPETaLy764r3zP/01nMJy1Vmrj14Vh/HsTJbapyINl5kxguzekqPxUDsT/WlM/IBQzzUBOaMewg09V/A==" saltValue="LKv6AU2X8r9In3Bi35bfz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 DH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259" priority="10" operator="equal">
      <formula>#N/A</formula>
    </cfRule>
  </conditionalFormatting>
  <conditionalFormatting sqref="H1">
    <cfRule type="cellIs" dxfId="258" priority="9" operator="equal">
      <formula>#N/A</formula>
    </cfRule>
  </conditionalFormatting>
  <conditionalFormatting sqref="E1">
    <cfRule type="cellIs" dxfId="257" priority="8" operator="equal">
      <formula>#N/A</formula>
    </cfRule>
  </conditionalFormatting>
  <conditionalFormatting sqref="I1">
    <cfRule type="containsText" dxfId="256" priority="6" operator="containsText" text="All Data Import Successfully">
      <formula>NOT(ISERROR(SEARCH("All Data Import Successfully",I1)))</formula>
    </cfRule>
    <cfRule type="containsText" dxfId="255" priority="7" operator="containsText" text="Difference Entry">
      <formula>NOT(ISERROR(SEARCH("Difference Entry",I1)))</formula>
    </cfRule>
  </conditionalFormatting>
  <conditionalFormatting sqref="DG2">
    <cfRule type="cellIs" dxfId="254" priority="5" operator="equal">
      <formula>#N/A</formula>
    </cfRule>
  </conditionalFormatting>
  <conditionalFormatting sqref="DH2:DI2">
    <cfRule type="cellIs" dxfId="253" priority="4" operator="equal">
      <formula>#N/A</formula>
    </cfRule>
  </conditionalFormatting>
  <conditionalFormatting sqref="E2:G2">
    <cfRule type="cellIs" dxfId="252" priority="3" operator="equal">
      <formula>#N/A</formula>
    </cfRule>
  </conditionalFormatting>
  <conditionalFormatting sqref="H2">
    <cfRule type="cellIs" dxfId="251" priority="2" operator="equal">
      <formula>#N/A</formula>
    </cfRule>
  </conditionalFormatting>
  <conditionalFormatting sqref="I2">
    <cfRule type="cellIs" dxfId="25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0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06" width="24.7109375" style="6" customWidth="1"/>
    <col min="107" max="107" width="28.28515625" style="6" customWidth="1"/>
    <col min="108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186</v>
      </c>
      <c r="T1" s="95">
        <v>8</v>
      </c>
      <c r="U1" s="95" t="s">
        <v>172</v>
      </c>
      <c r="V1" s="95" t="s">
        <v>173</v>
      </c>
      <c r="W1" s="95" t="s">
        <v>168</v>
      </c>
      <c r="X1" s="102" t="s">
        <v>6</v>
      </c>
      <c r="Y1" s="102">
        <v>1</v>
      </c>
      <c r="Z1" s="95">
        <v>0</v>
      </c>
      <c r="AH1" s="7"/>
      <c r="AL1" s="7"/>
      <c r="BZ1" s="8"/>
      <c r="DA1" s="37"/>
      <c r="DC1" s="37"/>
      <c r="DE1" s="37"/>
      <c r="DG1" s="37"/>
      <c r="DI1" s="37"/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77</v>
      </c>
      <c r="B3" s="18"/>
      <c r="C3" s="17"/>
      <c r="D3" s="17" t="s">
        <v>187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Indian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 ",VALUE("0"),VALUE(SUBSTITUTE((F3),",","")))</f>
        <v>#VALUE!</v>
      </c>
      <c r="DE3" s="26" t="e">
        <f>IF(G3=" ",VALUE("0"),VALUE(SUBSTITUTE((G3),",","")))</f>
        <v>#VALUE!</v>
      </c>
      <c r="DF3" s="26" t="e">
        <f>IF(H3=" ","",VALUE(SUBSTITUTE((VALUE(LEFT(H3,LEN(H3)-2))),",","")))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42">
        <f>+VALUE(B3)</f>
        <v>0</v>
      </c>
      <c r="DI3" s="28" t="e">
        <f>+IF(DE3=0,"Suspance Payment","Suspance Receipt")</f>
        <v>#VALUE!</v>
      </c>
      <c r="DJ3" s="39" t="str">
        <f>+D3</f>
        <v>C:\Users\ADITYA\Desktop\Ecomm\Bank Statement\indian 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09" t="s">
        <v>18</v>
      </c>
      <c r="B4" s="109" t="s">
        <v>72</v>
      </c>
      <c r="C4" s="109" t="s">
        <v>73</v>
      </c>
      <c r="D4" s="109" t="s">
        <v>19</v>
      </c>
      <c r="E4" s="109" t="s">
        <v>74</v>
      </c>
      <c r="F4" s="109" t="s">
        <v>75</v>
      </c>
      <c r="G4" s="109" t="s">
        <v>76</v>
      </c>
      <c r="H4" s="109" t="s">
        <v>11</v>
      </c>
      <c r="DA4" s="38" t="str">
        <f>+DA3</f>
        <v>Indian Bank</v>
      </c>
    </row>
  </sheetData>
  <sheetProtection algorithmName="SHA-512" hashValue="hDjz9skR9sDIs47Ub1zA9uZw1n0ktBHPufLqNFGAb0IR+IyFEliwW1jLGP7YWpljbDjKKybvAU33Q3+bjYJfbA==" saltValue="bh/r5xV/5tFyI0orWfW8C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249" priority="18" operator="equal">
      <formula>#N/A</formula>
    </cfRule>
  </conditionalFormatting>
  <conditionalFormatting sqref="DG2">
    <cfRule type="cellIs" dxfId="248" priority="13" operator="equal">
      <formula>#N/A</formula>
    </cfRule>
  </conditionalFormatting>
  <conditionalFormatting sqref="DH2:DI2">
    <cfRule type="cellIs" dxfId="247" priority="12" operator="equal">
      <formula>#N/A</formula>
    </cfRule>
  </conditionalFormatting>
  <conditionalFormatting sqref="I1:I2">
    <cfRule type="cellIs" dxfId="246" priority="8" operator="equal">
      <formula>#N/A</formula>
    </cfRule>
  </conditionalFormatting>
  <conditionalFormatting sqref="H1">
    <cfRule type="cellIs" dxfId="245" priority="7" operator="equal">
      <formula>#N/A</formula>
    </cfRule>
  </conditionalFormatting>
  <conditionalFormatting sqref="E1">
    <cfRule type="cellIs" dxfId="244" priority="6" operator="equal">
      <formula>#N/A</formula>
    </cfRule>
  </conditionalFormatting>
  <conditionalFormatting sqref="I1">
    <cfRule type="containsText" dxfId="243" priority="4" operator="containsText" text="All Data Import Successfully">
      <formula>NOT(ISERROR(SEARCH("All Data Import Successfully",I1)))</formula>
    </cfRule>
    <cfRule type="containsText" dxfId="242" priority="5" operator="containsText" text="Difference Entry">
      <formula>NOT(ISERROR(SEARCH("Difference Entry",I1)))</formula>
    </cfRule>
  </conditionalFormatting>
  <conditionalFormatting sqref="E2:G2">
    <cfRule type="cellIs" dxfId="241" priority="3" operator="equal">
      <formula>#N/A</formula>
    </cfRule>
  </conditionalFormatting>
  <conditionalFormatting sqref="H2">
    <cfRule type="cellIs" dxfId="240" priority="2" operator="equal">
      <formula>#N/A</formula>
    </cfRule>
  </conditionalFormatting>
  <conditionalFormatting sqref="I2">
    <cfRule type="cellIs" dxfId="23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1"/>
  <dimension ref="A1:DZ4"/>
  <sheetViews>
    <sheetView showRuler="0" workbookViewId="0">
      <selection activeCell="D15" sqref="D1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203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3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123</v>
      </c>
      <c r="B3" s="59"/>
      <c r="C3" s="58"/>
      <c r="D3" s="58" t="s">
        <v>205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IDFC First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57" t="e">
        <f>IF(G3=" ","",VALUE(SUBSTITUTE((G3),",","")))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17</v>
      </c>
      <c r="B4" s="104" t="s">
        <v>18</v>
      </c>
      <c r="C4" s="104" t="s">
        <v>19</v>
      </c>
      <c r="D4" s="104" t="s">
        <v>20</v>
      </c>
      <c r="E4" s="104" t="s">
        <v>21</v>
      </c>
      <c r="F4" s="104" t="s">
        <v>22</v>
      </c>
      <c r="G4" s="105" t="s">
        <v>11</v>
      </c>
      <c r="DA4" s="38" t="str">
        <f>+DA3</f>
        <v>IDFC First</v>
      </c>
      <c r="DF4" s="26"/>
    </row>
  </sheetData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E3 DF4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F3" name="Range1_1_8_1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238" priority="18" operator="equal">
      <formula>#N/A</formula>
    </cfRule>
  </conditionalFormatting>
  <conditionalFormatting sqref="DG2">
    <cfRule type="cellIs" dxfId="237" priority="13" operator="equal">
      <formula>#N/A</formula>
    </cfRule>
  </conditionalFormatting>
  <conditionalFormatting sqref="DH2:DI2">
    <cfRule type="cellIs" dxfId="236" priority="12" operator="equal">
      <formula>#N/A</formula>
    </cfRule>
  </conditionalFormatting>
  <conditionalFormatting sqref="I1:I2">
    <cfRule type="cellIs" dxfId="235" priority="8" operator="equal">
      <formula>#N/A</formula>
    </cfRule>
  </conditionalFormatting>
  <conditionalFormatting sqref="H1">
    <cfRule type="cellIs" dxfId="234" priority="7" operator="equal">
      <formula>#N/A</formula>
    </cfRule>
  </conditionalFormatting>
  <conditionalFormatting sqref="E1">
    <cfRule type="cellIs" dxfId="233" priority="6" operator="equal">
      <formula>#N/A</formula>
    </cfRule>
  </conditionalFormatting>
  <conditionalFormatting sqref="I1">
    <cfRule type="containsText" dxfId="232" priority="4" operator="containsText" text="All Data Import Successfully">
      <formula>NOT(ISERROR(SEARCH("All Data Import Successfully",I1)))</formula>
    </cfRule>
    <cfRule type="containsText" dxfId="231" priority="5" operator="containsText" text="Difference Entry">
      <formula>NOT(ISERROR(SEARCH("Difference Entry",I1)))</formula>
    </cfRule>
  </conditionalFormatting>
  <conditionalFormatting sqref="E2:G2">
    <cfRule type="cellIs" dxfId="230" priority="3" operator="equal">
      <formula>#N/A</formula>
    </cfRule>
  </conditionalFormatting>
  <conditionalFormatting sqref="H2">
    <cfRule type="cellIs" dxfId="229" priority="2" operator="equal">
      <formula>#N/A</formula>
    </cfRule>
  </conditionalFormatting>
  <conditionalFormatting sqref="I2">
    <cfRule type="cellIs" dxfId="22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7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06" width="24.7109375" style="6" customWidth="1"/>
    <col min="107" max="107" width="28.28515625" style="6" customWidth="1"/>
    <col min="108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206</v>
      </c>
      <c r="T1" s="95">
        <v>8</v>
      </c>
      <c r="U1" s="95" t="s">
        <v>173</v>
      </c>
      <c r="V1" s="95" t="s">
        <v>173</v>
      </c>
      <c r="W1" s="95" t="s">
        <v>169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/>
      <c r="DC1" s="37"/>
      <c r="DE1" s="37"/>
      <c r="DG1" s="37"/>
      <c r="DI1" s="37"/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116</v>
      </c>
      <c r="B3" s="59"/>
      <c r="C3" s="58"/>
      <c r="D3" s="58" t="s">
        <v>207</v>
      </c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RBL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42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23" t="s">
        <v>25</v>
      </c>
      <c r="B4" s="284" t="s">
        <v>117</v>
      </c>
      <c r="C4" s="284"/>
      <c r="D4" s="124" t="s">
        <v>118</v>
      </c>
      <c r="E4" s="124" t="s">
        <v>18</v>
      </c>
      <c r="F4" s="125" t="s">
        <v>119</v>
      </c>
      <c r="G4" s="125" t="s">
        <v>120</v>
      </c>
      <c r="H4" s="126" t="s">
        <v>121</v>
      </c>
      <c r="DA4" s="38" t="str">
        <f>+DA3</f>
        <v>RBL Bank A/c.</v>
      </c>
    </row>
  </sheetData>
  <sheetProtection algorithmName="SHA-512" hashValue="Iv23BmRkeVSosz8c2Ou3p/jLyuxopF2p/fKsJVOOOqFmUhHxsGSKMQL8O8rJZmJIhP6rNqjQtycZQbAY/Ca/XA==" saltValue="mREw/x6jCMaYH5gQLtLgK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E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F3" name="Range1_1_4"/>
  </protectedRanges>
  <mergeCells count="1">
    <mergeCell ref="B4:C4"/>
  </mergeCells>
  <conditionalFormatting sqref="E3">
    <cfRule type="cellIs" dxfId="227" priority="18" operator="equal">
      <formula>#N/A</formula>
    </cfRule>
  </conditionalFormatting>
  <conditionalFormatting sqref="DG2">
    <cfRule type="cellIs" dxfId="226" priority="13" operator="equal">
      <formula>#N/A</formula>
    </cfRule>
  </conditionalFormatting>
  <conditionalFormatting sqref="DH2:DI2">
    <cfRule type="cellIs" dxfId="225" priority="12" operator="equal">
      <formula>#N/A</formula>
    </cfRule>
  </conditionalFormatting>
  <conditionalFormatting sqref="I1:I2">
    <cfRule type="cellIs" dxfId="224" priority="8" operator="equal">
      <formula>#N/A</formula>
    </cfRule>
  </conditionalFormatting>
  <conditionalFormatting sqref="H1">
    <cfRule type="cellIs" dxfId="223" priority="7" operator="equal">
      <formula>#N/A</formula>
    </cfRule>
  </conditionalFormatting>
  <conditionalFormatting sqref="E1">
    <cfRule type="cellIs" dxfId="222" priority="6" operator="equal">
      <formula>#N/A</formula>
    </cfRule>
  </conditionalFormatting>
  <conditionalFormatting sqref="I1">
    <cfRule type="containsText" dxfId="221" priority="4" operator="containsText" text="All Data Import Successfully">
      <formula>NOT(ISERROR(SEARCH("All Data Import Successfully",I1)))</formula>
    </cfRule>
    <cfRule type="containsText" dxfId="220" priority="5" operator="containsText" text="Difference Entry">
      <formula>NOT(ISERROR(SEARCH("Difference Entry",I1)))</formula>
    </cfRule>
  </conditionalFormatting>
  <conditionalFormatting sqref="E2:G2">
    <cfRule type="cellIs" dxfId="219" priority="3" operator="equal">
      <formula>#N/A</formula>
    </cfRule>
  </conditionalFormatting>
  <conditionalFormatting sqref="H2">
    <cfRule type="cellIs" dxfId="218" priority="2" operator="equal">
      <formula>#N/A</formula>
    </cfRule>
  </conditionalFormatting>
  <conditionalFormatting sqref="I2">
    <cfRule type="cellIs" dxfId="21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46"/>
  <dimension ref="A1:DZ4"/>
  <sheetViews>
    <sheetView workbookViewId="0">
      <selection activeCell="D26" sqref="D26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289</v>
      </c>
      <c r="T1" s="95">
        <v>10</v>
      </c>
      <c r="U1" s="95" t="s">
        <v>168</v>
      </c>
      <c r="V1" s="95" t="s">
        <v>169</v>
      </c>
      <c r="W1" s="95" t="s">
        <v>170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142</v>
      </c>
      <c r="B3" s="18"/>
      <c r="C3" s="17"/>
      <c r="D3" s="17" t="s">
        <v>290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Union Bank of India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IF(H3="",VALUE("0"),VALUE(SUBSTITUTE((H3),",","")))</f>
        <v>0</v>
      </c>
      <c r="DF3" s="26" t="str">
        <f>IF(I3="","",VALUE(SUBSTITUTE((I3),",","")))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200" t="s">
        <v>32</v>
      </c>
      <c r="B4" s="200" t="s">
        <v>291</v>
      </c>
      <c r="C4" s="285" t="s">
        <v>125</v>
      </c>
      <c r="D4" s="286"/>
      <c r="E4" s="200" t="s">
        <v>292</v>
      </c>
      <c r="F4" s="200" t="s">
        <v>293</v>
      </c>
      <c r="G4" s="200" t="s">
        <v>68</v>
      </c>
      <c r="H4" s="200" t="s">
        <v>69</v>
      </c>
      <c r="I4" s="201" t="s">
        <v>11</v>
      </c>
      <c r="DA4" s="38" t="str">
        <f>+DA3</f>
        <v>Union Bank of India A/c.</v>
      </c>
    </row>
  </sheetData>
  <sheetProtection algorithmName="SHA-512" hashValue="Au9tbzYfJFZ+wCLEUw13xqQ8rib+Ga1czUk48E+Xr+HHgrQRgj819GwXBEHp2a3sDewBbGC3JP8PG7OsMFFt1A==" saltValue="F3my/PJkzQnGLuNRJ8W14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_1"/>
    <protectedRange algorithmName="SHA-512" hashValue="FeHjunJeBmEIe1Z+x4LSLD0xeXKoeHqEB4mLNgYC3pUDxBFAiT2e1scH7F48tQXpPGOh+9Z9iw2K5jb0kUxFkQ==" saltValue="Arxg+XESKZddo6Y2q+NDbg==" spinCount="100000" sqref="DD3:DF3" name="Range1_1_8_1"/>
    <protectedRange algorithmName="SHA-512" hashValue="FeHjunJeBmEIe1Z+x4LSLD0xeXKoeHqEB4mLNgYC3pUDxBFAiT2e1scH7F48tQXpPGOh+9Z9iw2K5jb0kUxFkQ==" saltValue="Arxg+XESKZddo6Y2q+NDbg==" spinCount="100000" sqref="DI3" name="Range1_2_8_1"/>
    <protectedRange algorithmName="SHA-512" hashValue="FeHjunJeBmEIe1Z+x4LSLD0xeXKoeHqEB4mLNgYC3pUDxBFAiT2e1scH7F48tQXpPGOh+9Z9iw2K5jb0kUxFkQ==" saltValue="Arxg+XESKZddo6Y2q+NDbg==" spinCount="100000" sqref="DK3" name="Range1_3_7_1"/>
    <protectedRange algorithmName="SHA-512" hashValue="FeHjunJeBmEIe1Z+x4LSLD0xeXKoeHqEB4mLNgYC3pUDxBFAiT2e1scH7F48tQXpPGOh+9Z9iw2K5jb0kUxFkQ==" saltValue="Arxg+XESKZddo6Y2q+NDbg==" spinCount="100000" sqref="DB3" name="Range1_4_1_1"/>
  </protectedRanges>
  <mergeCells count="1">
    <mergeCell ref="C4:D4"/>
  </mergeCells>
  <conditionalFormatting sqref="DG2">
    <cfRule type="cellIs" dxfId="216" priority="11" operator="equal">
      <formula>#N/A</formula>
    </cfRule>
  </conditionalFormatting>
  <conditionalFormatting sqref="DH2:DI2">
    <cfRule type="cellIs" dxfId="215" priority="10" operator="equal">
      <formula>#N/A</formula>
    </cfRule>
  </conditionalFormatting>
  <conditionalFormatting sqref="I1:I2">
    <cfRule type="cellIs" dxfId="214" priority="9" operator="equal">
      <formula>#N/A</formula>
    </cfRule>
  </conditionalFormatting>
  <conditionalFormatting sqref="H1">
    <cfRule type="cellIs" dxfId="213" priority="8" operator="equal">
      <formula>#N/A</formula>
    </cfRule>
  </conditionalFormatting>
  <conditionalFormatting sqref="E1">
    <cfRule type="cellIs" dxfId="212" priority="7" operator="equal">
      <formula>#N/A</formula>
    </cfRule>
  </conditionalFormatting>
  <conditionalFormatting sqref="I1">
    <cfRule type="containsText" dxfId="211" priority="5" operator="containsText" text="All Data Import Successfully">
      <formula>NOT(ISERROR(SEARCH("All Data Import Successfully",I1)))</formula>
    </cfRule>
    <cfRule type="containsText" dxfId="210" priority="6" operator="containsText" text="Difference Entry">
      <formula>NOT(ISERROR(SEARCH("Difference Entry",I1)))</formula>
    </cfRule>
  </conditionalFormatting>
  <conditionalFormatting sqref="E2:G2">
    <cfRule type="cellIs" dxfId="209" priority="4" operator="equal">
      <formula>#N/A</formula>
    </cfRule>
  </conditionalFormatting>
  <conditionalFormatting sqref="H2">
    <cfRule type="cellIs" dxfId="208" priority="3" operator="equal">
      <formula>#N/A</formula>
    </cfRule>
  </conditionalFormatting>
  <conditionalFormatting sqref="I2">
    <cfRule type="cellIs" dxfId="207" priority="2" operator="equal">
      <formula>0</formula>
    </cfRule>
  </conditionalFormatting>
  <conditionalFormatting sqref="E3">
    <cfRule type="cellIs" dxfId="206" priority="1" operator="equal">
      <formula>#N/A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"/>
  <dimension ref="A1:DZ4"/>
  <sheetViews>
    <sheetView workbookViewId="0">
      <selection activeCell="A7" sqref="A7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63</v>
      </c>
      <c r="B3" s="59"/>
      <c r="C3" s="58"/>
      <c r="D3" s="58" t="s">
        <v>336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SBI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IF(E3=" ",VALUE("0"),VALUE(SUBSTITUTE((E3),",","")))</f>
        <v>#VALUE!</v>
      </c>
      <c r="DE3" s="26" t="e">
        <f>IF(F3=" ",VALUE("0"),VALUE(SUBSTITUTE((F3),",","")))</f>
        <v>#VALUE!</v>
      </c>
      <c r="DF3" s="26" t="e">
        <f>IF(G3=" ","",VALUE(SUBSTITUTE((G3),",","")))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29" t="str">
        <f>+TRIM(C3)</f>
        <v/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17</v>
      </c>
      <c r="B4" s="104" t="s">
        <v>18</v>
      </c>
      <c r="C4" s="104" t="s">
        <v>19</v>
      </c>
      <c r="D4" s="104" t="s">
        <v>20</v>
      </c>
      <c r="E4" s="104" t="s">
        <v>21</v>
      </c>
      <c r="F4" s="104" t="s">
        <v>22</v>
      </c>
      <c r="G4" s="105" t="s">
        <v>11</v>
      </c>
      <c r="DA4" s="38" t="str">
        <f>+DA3</f>
        <v>SBI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205" priority="18" operator="equal">
      <formula>#N/A</formula>
    </cfRule>
  </conditionalFormatting>
  <conditionalFormatting sqref="DG2">
    <cfRule type="cellIs" dxfId="204" priority="13" operator="equal">
      <formula>#N/A</formula>
    </cfRule>
  </conditionalFormatting>
  <conditionalFormatting sqref="DH2:DI2">
    <cfRule type="cellIs" dxfId="203" priority="12" operator="equal">
      <formula>#N/A</formula>
    </cfRule>
  </conditionalFormatting>
  <conditionalFormatting sqref="I1:I2">
    <cfRule type="cellIs" dxfId="202" priority="8" operator="equal">
      <formula>#N/A</formula>
    </cfRule>
  </conditionalFormatting>
  <conditionalFormatting sqref="H1">
    <cfRule type="cellIs" dxfId="201" priority="7" operator="equal">
      <formula>#N/A</formula>
    </cfRule>
  </conditionalFormatting>
  <conditionalFormatting sqref="E1">
    <cfRule type="cellIs" dxfId="200" priority="6" operator="equal">
      <formula>#N/A</formula>
    </cfRule>
  </conditionalFormatting>
  <conditionalFormatting sqref="I1">
    <cfRule type="containsText" dxfId="199" priority="4" operator="containsText" text="All Data Import Successfully">
      <formula>NOT(ISERROR(SEARCH("All Data Import Successfully",I1)))</formula>
    </cfRule>
    <cfRule type="containsText" dxfId="198" priority="5" operator="containsText" text="Difference Entry">
      <formula>NOT(ISERROR(SEARCH("Difference Entry",I1)))</formula>
    </cfRule>
  </conditionalFormatting>
  <conditionalFormatting sqref="E2:G2">
    <cfRule type="cellIs" dxfId="197" priority="3" operator="equal">
      <formula>#N/A</formula>
    </cfRule>
  </conditionalFormatting>
  <conditionalFormatting sqref="H2">
    <cfRule type="cellIs" dxfId="196" priority="2" operator="equal">
      <formula>#N/A</formula>
    </cfRule>
  </conditionalFormatting>
  <conditionalFormatting sqref="I2">
    <cfRule type="cellIs" dxfId="19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6"/>
  <dimension ref="A1:DZ4"/>
  <sheetViews>
    <sheetView showRuler="0" workbookViewId="0">
      <selection activeCell="D30" sqref="D30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208</v>
      </c>
      <c r="T1" s="95">
        <v>7</v>
      </c>
      <c r="U1" s="95" t="s">
        <v>172</v>
      </c>
      <c r="V1" s="95" t="s">
        <v>172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103</v>
      </c>
      <c r="B3" s="59"/>
      <c r="C3" s="58"/>
      <c r="D3" s="58" t="s">
        <v>209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Bank of India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IF(E3="CR",VALUE("0"),VALUE(SUBSTITUTE((F3),",","")))</f>
        <v>#VALUE!</v>
      </c>
      <c r="DE3" s="26" t="e">
        <f>IF(E3="DR",VALUE("0"),VALUE(SUBSTITUTE((F3),",","")))</f>
        <v>#VALUE!</v>
      </c>
      <c r="DF3" s="26" t="str">
        <f>IF(G3="","",VALUE(SUBSTITUTE((G3),",","")))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>
        <f>VALUE(B3)</f>
        <v>0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27" t="s">
        <v>104</v>
      </c>
      <c r="B4" s="128" t="s">
        <v>17</v>
      </c>
      <c r="C4" s="128" t="s">
        <v>19</v>
      </c>
      <c r="D4" s="128" t="s">
        <v>105</v>
      </c>
      <c r="E4" s="128" t="s">
        <v>106</v>
      </c>
      <c r="F4" s="128" t="s">
        <v>107</v>
      </c>
      <c r="G4" s="129" t="s">
        <v>108</v>
      </c>
      <c r="DA4" s="38" t="str">
        <f>+DA3</f>
        <v>Bank of India A/c.</v>
      </c>
      <c r="DD4" s="53"/>
      <c r="DE4" s="53"/>
    </row>
  </sheetData>
  <sheetProtection algorithmName="SHA-512" hashValue="NwmnLT0bY2A9yMs9pDZl3nDewMw3VRVmlcbtpEko6aEAdvwr/fZBNU/TsEZWZGPnJ5mV02Or0WlUVUVM2wVFOw==" saltValue="rOG/QyD7l/X3pOOH0SLR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 DD4:DE4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194" priority="18" operator="equal">
      <formula>#N/A</formula>
    </cfRule>
  </conditionalFormatting>
  <conditionalFormatting sqref="DG2">
    <cfRule type="cellIs" dxfId="193" priority="13" operator="equal">
      <formula>#N/A</formula>
    </cfRule>
  </conditionalFormatting>
  <conditionalFormatting sqref="DH2:DI2">
    <cfRule type="cellIs" dxfId="192" priority="12" operator="equal">
      <formula>#N/A</formula>
    </cfRule>
  </conditionalFormatting>
  <conditionalFormatting sqref="I1:I2">
    <cfRule type="cellIs" dxfId="191" priority="8" operator="equal">
      <formula>#N/A</formula>
    </cfRule>
  </conditionalFormatting>
  <conditionalFormatting sqref="H1">
    <cfRule type="cellIs" dxfId="190" priority="7" operator="equal">
      <formula>#N/A</formula>
    </cfRule>
  </conditionalFormatting>
  <conditionalFormatting sqref="E1">
    <cfRule type="cellIs" dxfId="189" priority="6" operator="equal">
      <formula>#N/A</formula>
    </cfRule>
  </conditionalFormatting>
  <conditionalFormatting sqref="I1">
    <cfRule type="containsText" dxfId="188" priority="4" operator="containsText" text="All Data Import Successfully">
      <formula>NOT(ISERROR(SEARCH("All Data Import Successfully",I1)))</formula>
    </cfRule>
    <cfRule type="containsText" dxfId="187" priority="5" operator="containsText" text="Difference Entry">
      <formula>NOT(ISERROR(SEARCH("Difference Entry",I1)))</formula>
    </cfRule>
  </conditionalFormatting>
  <conditionalFormatting sqref="E2:G2">
    <cfRule type="cellIs" dxfId="186" priority="3" operator="equal">
      <formula>#N/A</formula>
    </cfRule>
  </conditionalFormatting>
  <conditionalFormatting sqref="H2">
    <cfRule type="cellIs" dxfId="185" priority="2" operator="equal">
      <formula>#N/A</formula>
    </cfRule>
  </conditionalFormatting>
  <conditionalFormatting sqref="I2">
    <cfRule type="cellIs" dxfId="18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28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196</v>
      </c>
      <c r="T1" s="95">
        <v>6</v>
      </c>
      <c r="U1" s="95" t="s">
        <v>197</v>
      </c>
      <c r="V1" s="95" t="s">
        <v>181</v>
      </c>
      <c r="W1" s="95" t="s">
        <v>172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149</v>
      </c>
      <c r="B3" s="18"/>
      <c r="C3" s="17"/>
      <c r="D3" s="17" t="s">
        <v>198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 xml:space="preserve">UCO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 ",VALUE("0"),VALUE(SUBSTITUTE((D3),",","")))</f>
        <v>#VALUE!</v>
      </c>
      <c r="DE3" s="26" t="e">
        <f>IF(E3=" ",VALUE("0"),VALUE(SUBSTITUTE((E3),",","")))</f>
        <v>#VALUE!</v>
      </c>
      <c r="DF3" s="26" t="e">
        <f>IF(F3=" ","",VALUE(SUBSTITUTE((F3),",","")))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e">
        <f>+IF(DE3=0,"Suspance Payment","Suspance Receipt")</f>
        <v>#VALUE!</v>
      </c>
      <c r="DJ3" s="2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70" t="s">
        <v>32</v>
      </c>
      <c r="B4" s="70" t="s">
        <v>147</v>
      </c>
      <c r="C4" s="70" t="s">
        <v>148</v>
      </c>
      <c r="D4" s="70" t="s">
        <v>68</v>
      </c>
      <c r="E4" s="70" t="s">
        <v>69</v>
      </c>
      <c r="F4" s="70" t="s">
        <v>11</v>
      </c>
      <c r="DA4" s="38" t="str">
        <f>+DA3</f>
        <v xml:space="preserve">UCO Bank </v>
      </c>
    </row>
  </sheetData>
  <sheetProtection algorithmName="SHA-512" hashValue="uLunNNC2Z6cXyj4VMQRGAdf1FiRnnqPdiqoACpMb4/xbrXGf96V4s7/3kRngz3UoevRgMn8SA1Oa4kFvREQ8tw==" saltValue="3oHCOZnrOtbLO9pSbLYha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183" priority="18" operator="equal">
      <formula>#N/A</formula>
    </cfRule>
  </conditionalFormatting>
  <conditionalFormatting sqref="DG2">
    <cfRule type="cellIs" dxfId="182" priority="13" operator="equal">
      <formula>#N/A</formula>
    </cfRule>
  </conditionalFormatting>
  <conditionalFormatting sqref="DH2:DI2">
    <cfRule type="cellIs" dxfId="181" priority="12" operator="equal">
      <formula>#N/A</formula>
    </cfRule>
  </conditionalFormatting>
  <conditionalFormatting sqref="I1:I2">
    <cfRule type="cellIs" dxfId="180" priority="8" operator="equal">
      <formula>#N/A</formula>
    </cfRule>
  </conditionalFormatting>
  <conditionalFormatting sqref="H1">
    <cfRule type="cellIs" dxfId="179" priority="7" operator="equal">
      <formula>#N/A</formula>
    </cfRule>
  </conditionalFormatting>
  <conditionalFormatting sqref="E1">
    <cfRule type="cellIs" dxfId="178" priority="6" operator="equal">
      <formula>#N/A</formula>
    </cfRule>
  </conditionalFormatting>
  <conditionalFormatting sqref="I1">
    <cfRule type="containsText" dxfId="177" priority="4" operator="containsText" text="All Data Import Successfully">
      <formula>NOT(ISERROR(SEARCH("All Data Import Successfully",I1)))</formula>
    </cfRule>
    <cfRule type="containsText" dxfId="176" priority="5" operator="containsText" text="Difference Entry">
      <formula>NOT(ISERROR(SEARCH("Difference Entry",I1)))</formula>
    </cfRule>
  </conditionalFormatting>
  <conditionalFormatting sqref="E2:G2">
    <cfRule type="cellIs" dxfId="175" priority="3" operator="equal">
      <formula>#N/A</formula>
    </cfRule>
  </conditionalFormatting>
  <conditionalFormatting sqref="H2">
    <cfRule type="cellIs" dxfId="174" priority="2" operator="equal">
      <formula>#N/A</formula>
    </cfRule>
  </conditionalFormatting>
  <conditionalFormatting sqref="I2">
    <cfRule type="cellIs" dxfId="17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27"/>
  <dimension ref="A1:DZ4"/>
  <sheetViews>
    <sheetView workbookViewId="0">
      <selection activeCell="A5" sqref="A5"/>
    </sheetView>
  </sheetViews>
  <sheetFormatPr defaultRowHeight="15"/>
  <cols>
    <col min="1" max="9" width="25.42578125" style="6" customWidth="1"/>
    <col min="10" max="104" width="9.140625" style="6"/>
    <col min="105" max="111" width="24.7109375" style="6" customWidth="1"/>
    <col min="112" max="112" width="24.7109375" style="5" customWidth="1"/>
    <col min="113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5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Central Bank of India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144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Central Bank of India</v>
      </c>
      <c r="DB3" s="24">
        <f>+B3</f>
        <v>0</v>
      </c>
      <c r="DC3" s="25" t="e">
        <f>+CONCATENATE(TEXT(DB3,"D"),"",TEXT(DB3,"MM"),"","/",SUBSTITUTE(DF3,",",""),"/",DK3)</f>
        <v>#VALUE!</v>
      </c>
      <c r="DD3" s="26">
        <f>IF(F3="", 0, IFERROR(VALUE(SUBSTITUTE(F3, ",", "")), 0))</f>
        <v>0</v>
      </c>
      <c r="DE3" s="26">
        <f>IF(OR(G3="", TRIM(G3) = ""), 0, IFERROR(VALUE(SUBSTITUTE(G3, ",", "")), 0))</f>
        <v>0</v>
      </c>
      <c r="DF3" s="26" t="str">
        <f>TRIM(SUBSTITUTE(SUBSTITUTE(H3, "DR", ""), "CR", ""))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69">
        <f>+B3</f>
        <v>0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68" t="s">
        <v>72</v>
      </c>
      <c r="B4" s="68" t="s">
        <v>18</v>
      </c>
      <c r="C4" s="68" t="s">
        <v>145</v>
      </c>
      <c r="D4" s="68" t="s">
        <v>137</v>
      </c>
      <c r="E4" s="68" t="s">
        <v>146</v>
      </c>
      <c r="F4" s="68" t="s">
        <v>100</v>
      </c>
      <c r="G4" s="68" t="s">
        <v>22</v>
      </c>
      <c r="H4" s="68" t="s">
        <v>11</v>
      </c>
      <c r="DA4" s="38" t="str">
        <f>+DA3</f>
        <v>Central Bank of India</v>
      </c>
    </row>
  </sheetData>
  <sheetProtection algorithmName="SHA-512" hashValue="pTnqXcU8Nt10sZtmPpFd8LJLh3cZnpdQKUNwD1QdZoHx8e7BRCg0L77tYTWymQAb4pQoUNP/V0CU7y4lcZ4aww==" saltValue="BevIs/bczDL+kAa0IB3YE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172" priority="10" operator="equal">
      <formula>#N/A</formula>
    </cfRule>
  </conditionalFormatting>
  <conditionalFormatting sqref="H1">
    <cfRule type="cellIs" dxfId="171" priority="9" operator="equal">
      <formula>#N/A</formula>
    </cfRule>
  </conditionalFormatting>
  <conditionalFormatting sqref="E1">
    <cfRule type="cellIs" dxfId="170" priority="8" operator="equal">
      <formula>#N/A</formula>
    </cfRule>
  </conditionalFormatting>
  <conditionalFormatting sqref="I1">
    <cfRule type="containsText" dxfId="169" priority="6" operator="containsText" text="All Data Import Successfully">
      <formula>NOT(ISERROR(SEARCH("All Data Import Successfully",I1)))</formula>
    </cfRule>
    <cfRule type="containsText" dxfId="168" priority="7" operator="containsText" text="Difference Entry">
      <formula>NOT(ISERROR(SEARCH("Difference Entry",I1)))</formula>
    </cfRule>
  </conditionalFormatting>
  <conditionalFormatting sqref="DG2">
    <cfRule type="cellIs" dxfId="167" priority="5" operator="equal">
      <formula>#N/A</formula>
    </cfRule>
  </conditionalFormatting>
  <conditionalFormatting sqref="DH2:DI2">
    <cfRule type="cellIs" dxfId="166" priority="4" operator="equal">
      <formula>#N/A</formula>
    </cfRule>
  </conditionalFormatting>
  <conditionalFormatting sqref="E2:G2">
    <cfRule type="cellIs" dxfId="165" priority="3" operator="equal">
      <formula>#N/A</formula>
    </cfRule>
  </conditionalFormatting>
  <conditionalFormatting sqref="H2">
    <cfRule type="cellIs" dxfId="164" priority="2" operator="equal">
      <formula>#N/A</formula>
    </cfRule>
  </conditionalFormatting>
  <conditionalFormatting sqref="I2">
    <cfRule type="cellIs" dxfId="16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7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1" width="27.42578125" style="6" customWidth="1"/>
    <col min="12" max="16" width="9.140625" style="6"/>
    <col min="17" max="17" width="16.5703125" style="6" customWidth="1"/>
    <col min="18" max="19" width="9.140625" style="6"/>
    <col min="20" max="20" width="14.28515625" style="6" bestFit="1" customWidth="1"/>
    <col min="2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Bank of Baroda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66</v>
      </c>
      <c r="B3" s="18" t="s">
        <v>91</v>
      </c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Bank of Baroda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IF(K3="",VALUE("0"),VALUE(SUBSTITUTE((K3),",","")))</f>
        <v>0</v>
      </c>
      <c r="DE3" s="26">
        <f>IF(Q3="",VALUE("0"),VALUE(SUBSTITUTE((Q3),",","")))</f>
        <v>0</v>
      </c>
      <c r="DF3" s="26" t="e">
        <f>IF(T3=" ","",VALUE(SUBSTITUTE((SUBSTITUTE((T3),"Cr","")),",","")))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>
      <c r="A4" s="40" t="s">
        <v>51</v>
      </c>
      <c r="B4" s="48"/>
      <c r="C4" s="48" t="s">
        <v>52</v>
      </c>
      <c r="D4" s="48"/>
      <c r="E4" s="48"/>
      <c r="F4" s="48"/>
      <c r="G4" s="48"/>
      <c r="H4" s="287" t="s">
        <v>53</v>
      </c>
      <c r="I4" s="287"/>
      <c r="J4" s="48"/>
      <c r="K4" s="48" t="s">
        <v>54</v>
      </c>
      <c r="L4" s="48"/>
      <c r="M4" s="48"/>
      <c r="N4" s="48"/>
      <c r="O4" s="48"/>
      <c r="P4" s="48"/>
      <c r="Q4" s="48" t="s">
        <v>55</v>
      </c>
      <c r="R4" s="48"/>
      <c r="S4" s="48"/>
      <c r="T4" s="48" t="s">
        <v>56</v>
      </c>
      <c r="U4" s="41"/>
      <c r="V4" s="48"/>
      <c r="W4" s="48"/>
      <c r="X4" s="48"/>
      <c r="DA4" s="38" t="str">
        <f>+DA3</f>
        <v>Bank of Baroda A/c.</v>
      </c>
    </row>
  </sheetData>
  <sheetProtection algorithmName="SHA-512" hashValue="g4ucQQGb5OcAnBEYxw8jwMXPgxGA9aUDUrNcj33OfgnMA4I7GWRiFsHsyFir6PDGPf44kuTrKQmixf+7mMYGBA==" saltValue="cBvM3YSrlOL9vF+t4bXVm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mergeCells count="1">
    <mergeCell ref="H4:I4"/>
  </mergeCells>
  <conditionalFormatting sqref="E3 I1:I2">
    <cfRule type="cellIs" dxfId="162" priority="10" operator="equal">
      <formula>#N/A</formula>
    </cfRule>
  </conditionalFormatting>
  <conditionalFormatting sqref="H1">
    <cfRule type="cellIs" dxfId="161" priority="9" operator="equal">
      <formula>#N/A</formula>
    </cfRule>
  </conditionalFormatting>
  <conditionalFormatting sqref="E1">
    <cfRule type="cellIs" dxfId="160" priority="8" operator="equal">
      <formula>#N/A</formula>
    </cfRule>
  </conditionalFormatting>
  <conditionalFormatting sqref="I1">
    <cfRule type="containsText" dxfId="159" priority="6" operator="containsText" text="All Data Import Successfully">
      <formula>NOT(ISERROR(SEARCH("All Data Import Successfully",I1)))</formula>
    </cfRule>
    <cfRule type="containsText" dxfId="158" priority="7" operator="containsText" text="Difference Entry">
      <formula>NOT(ISERROR(SEARCH("Difference Entry",I1)))</formula>
    </cfRule>
  </conditionalFormatting>
  <conditionalFormatting sqref="DG2">
    <cfRule type="cellIs" dxfId="157" priority="5" operator="equal">
      <formula>#N/A</formula>
    </cfRule>
  </conditionalFormatting>
  <conditionalFormatting sqref="DH2:DI2">
    <cfRule type="cellIs" dxfId="156" priority="4" operator="equal">
      <formula>#N/A</formula>
    </cfRule>
  </conditionalFormatting>
  <conditionalFormatting sqref="E2:G2">
    <cfRule type="cellIs" dxfId="155" priority="3" operator="equal">
      <formula>#N/A</formula>
    </cfRule>
  </conditionalFormatting>
  <conditionalFormatting sqref="H2">
    <cfRule type="cellIs" dxfId="154" priority="2" operator="equal">
      <formula>#N/A</formula>
    </cfRule>
  </conditionalFormatting>
  <conditionalFormatting sqref="I2">
    <cfRule type="cellIs" dxfId="15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13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1" width="16.28515625" style="6" customWidth="1"/>
    <col min="12" max="12" width="18" style="6" customWidth="1"/>
    <col min="13" max="16" width="9.140625" style="6"/>
    <col min="17" max="17" width="16.5703125" style="6" customWidth="1"/>
    <col min="18" max="19" width="9.140625" style="6"/>
    <col min="20" max="20" width="14.28515625" style="6" bestFit="1" customWidth="1"/>
    <col min="21" max="22" width="9.140625" style="6"/>
    <col min="23" max="23" width="17.7109375" style="6" customWidth="1"/>
    <col min="24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Bank of Baroda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66</v>
      </c>
      <c r="B3" s="18" t="s">
        <v>92</v>
      </c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Bank of Baroda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IF(L3="",VALUE("0"),VALUE(SUBSTITUTE((L3),",","")))</f>
        <v>0</v>
      </c>
      <c r="DE3" s="26">
        <f>IF(Q3="",VALUE("0"),VALUE(SUBSTITUTE((Q3),",","")))</f>
        <v>0</v>
      </c>
      <c r="DF3" s="26" t="e">
        <f>IF(W3=" ","",VALUE(SUBSTITUTE((SUBSTITUTE((W3),"Cr","")),",","")))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5" customFormat="1" ht="15.75" customHeight="1">
      <c r="A4" s="49" t="s">
        <v>51</v>
      </c>
      <c r="B4" s="49"/>
      <c r="C4" s="49"/>
      <c r="D4" s="49" t="s">
        <v>52</v>
      </c>
      <c r="E4" s="49"/>
      <c r="F4" s="49"/>
      <c r="G4" s="49"/>
      <c r="H4" s="288" t="s">
        <v>53</v>
      </c>
      <c r="I4" s="288"/>
      <c r="J4" s="49"/>
      <c r="K4" s="49"/>
      <c r="L4" s="49" t="s">
        <v>54</v>
      </c>
      <c r="M4" s="49"/>
      <c r="N4" s="49"/>
      <c r="O4" s="49"/>
      <c r="P4" s="49"/>
      <c r="Q4" s="49" t="s">
        <v>55</v>
      </c>
      <c r="R4" s="49"/>
      <c r="S4" s="49"/>
      <c r="T4" s="49"/>
      <c r="U4" s="50"/>
      <c r="V4" s="49"/>
      <c r="W4" s="49" t="s">
        <v>56</v>
      </c>
      <c r="X4" s="49"/>
      <c r="DA4" s="51" t="str">
        <f>+DA3</f>
        <v>Bank of Baroda A/c.</v>
      </c>
    </row>
  </sheetData>
  <sheetProtection algorithmName="SHA-512" hashValue="C2uv7hkhUdiEMHPmjd7gBk4TLyVRUuJRSfpj2LxcHZwHOoORBpvGAdexPXPKc5ZIZMAO1wvK7ZLaFBAD/6JeAA==" saltValue="Ih98+Ro4AwppoCH4hMDbD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mergeCells count="1">
    <mergeCell ref="H4:I4"/>
  </mergeCells>
  <conditionalFormatting sqref="E3 I1:I2">
    <cfRule type="cellIs" dxfId="152" priority="10" operator="equal">
      <formula>#N/A</formula>
    </cfRule>
  </conditionalFormatting>
  <conditionalFormatting sqref="H1">
    <cfRule type="cellIs" dxfId="151" priority="9" operator="equal">
      <formula>#N/A</formula>
    </cfRule>
  </conditionalFormatting>
  <conditionalFormatting sqref="E1">
    <cfRule type="cellIs" dxfId="150" priority="8" operator="equal">
      <formula>#N/A</formula>
    </cfRule>
  </conditionalFormatting>
  <conditionalFormatting sqref="I1">
    <cfRule type="containsText" dxfId="149" priority="6" operator="containsText" text="All Data Import Successfully">
      <formula>NOT(ISERROR(SEARCH("All Data Import Successfully",I1)))</formula>
    </cfRule>
    <cfRule type="containsText" dxfId="148" priority="7" operator="containsText" text="Difference Entry">
      <formula>NOT(ISERROR(SEARCH("Difference Entry",I1)))</formula>
    </cfRule>
  </conditionalFormatting>
  <conditionalFormatting sqref="DG2">
    <cfRule type="cellIs" dxfId="147" priority="5" operator="equal">
      <formula>#N/A</formula>
    </cfRule>
  </conditionalFormatting>
  <conditionalFormatting sqref="DH2:DI2">
    <cfRule type="cellIs" dxfId="146" priority="4" operator="equal">
      <formula>#N/A</formula>
    </cfRule>
  </conditionalFormatting>
  <conditionalFormatting sqref="E2:G2">
    <cfRule type="cellIs" dxfId="145" priority="3" operator="equal">
      <formula>#N/A</formula>
    </cfRule>
  </conditionalFormatting>
  <conditionalFormatting sqref="H2">
    <cfRule type="cellIs" dxfId="144" priority="2" operator="equal">
      <formula>#N/A</formula>
    </cfRule>
  </conditionalFormatting>
  <conditionalFormatting sqref="I2">
    <cfRule type="cellIs" dxfId="14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22"/>
  <dimension ref="A1:DZ4"/>
  <sheetViews>
    <sheetView showRuler="0" workbookViewId="0">
      <selection activeCell="D38" sqref="D38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183</v>
      </c>
      <c r="T1" s="95">
        <v>6</v>
      </c>
      <c r="U1" s="95" t="s">
        <v>184</v>
      </c>
      <c r="V1" s="95" t="s">
        <v>184</v>
      </c>
      <c r="W1" s="95" t="s">
        <v>181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126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127</v>
      </c>
      <c r="B3" s="59"/>
      <c r="C3" s="58"/>
      <c r="D3" s="58" t="s">
        <v>185</v>
      </c>
      <c r="E3" s="60"/>
      <c r="F3" s="58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PNB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IF(D3="CR",VALUE("0"),VALUE(SUBSTITUTE((C3),",","")))</f>
        <v>#VALUE!</v>
      </c>
      <c r="DE3" s="26" t="e">
        <f>IF(D3="DR",VALUE("0"),VALUE(SUBSTITUTE((C3),",","")))</f>
        <v>#VALUE!</v>
      </c>
      <c r="DF3" s="26" t="str">
        <f>IF(E3="","",VALUE(SUBSTITUTE((E3),",","")))</f>
        <v/>
      </c>
      <c r="DG3" s="27" t="str">
        <f ca="1">(SUBSTITUTE(TRIM(IF(LEFT(F3,3)="CLG",LEFT(IF(SUM(LEN(F3)-LEN(SUBSTITUTE(F3,{"0","1","2","3","4","5","6","7","8","9"},"")))&gt;0,SUMPRODUCT(MID(0&amp;F3,LARGE(INDEX(ISNUMBER(--MID(F3,ROW(INDIRECT("$1:$"&amp;LEN(F3))),1))*ROW(INDIRECT("$1:$"&amp;LEN(F3))),0),ROW(INDIRECT("$1:$"&amp;LEN(F3))))+1,1)*10^ROW(INDIRECT("$1:$"&amp;LEN(F3)))/10),""),6),LEFT(IF(SUM(LEN(F3)-LEN(SUBSTITUTE(F3,{"0","1","2","3","4","5","6","7","8","9"},"")))&gt;0,SUMPRODUCT(MID(0&amp;F3,LARGE(INDEX(ISNUMBER(--MID(F3,ROW(INDIRECT("$1:$"&amp;LEN(F3))),1))*ROW(INDIRECT("$1:$"&amp;LEN(F3))),0),ROW(INDIRECT("$1:$"&amp;LEN(F3))))+1,1)*10^ROW(INDIRECT("$1:$"&amp;LEN(F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39">
        <f>+F3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6" t="s">
        <v>32</v>
      </c>
      <c r="B4" s="107" t="s">
        <v>124</v>
      </c>
      <c r="C4" s="107" t="s">
        <v>80</v>
      </c>
      <c r="D4" s="107" t="s">
        <v>95</v>
      </c>
      <c r="E4" s="107" t="s">
        <v>11</v>
      </c>
      <c r="F4" s="108" t="s">
        <v>125</v>
      </c>
      <c r="G4" s="6" t="s">
        <v>6</v>
      </c>
      <c r="H4" s="6" t="s">
        <v>6</v>
      </c>
      <c r="I4" s="6" t="s">
        <v>6</v>
      </c>
      <c r="J4" s="6" t="s">
        <v>6</v>
      </c>
      <c r="DA4" s="38" t="str">
        <f>+DA3</f>
        <v>PNB A/c.</v>
      </c>
    </row>
  </sheetData>
  <sheetProtection algorithmName="SHA-512" hashValue="FZnY6KSTtnE+DVsb4ZrZ3Pj+Natszn5t9U7b/BQ8T2JeQRmgnrQ+jP2QLTWRU7qmqFFoOu9NFCXbcpBYQ9Wr/g==" saltValue="0d7rm3SpjsrTJl8yxXKYI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142" priority="18" operator="equal">
      <formula>#N/A</formula>
    </cfRule>
  </conditionalFormatting>
  <conditionalFormatting sqref="DG2">
    <cfRule type="cellIs" dxfId="141" priority="13" operator="equal">
      <formula>#N/A</formula>
    </cfRule>
  </conditionalFormatting>
  <conditionalFormatting sqref="DH2:DI2">
    <cfRule type="cellIs" dxfId="140" priority="12" operator="equal">
      <formula>#N/A</formula>
    </cfRule>
  </conditionalFormatting>
  <conditionalFormatting sqref="I1:I2">
    <cfRule type="cellIs" dxfId="139" priority="8" operator="equal">
      <formula>#N/A</formula>
    </cfRule>
  </conditionalFormatting>
  <conditionalFormatting sqref="H1">
    <cfRule type="cellIs" dxfId="138" priority="7" operator="equal">
      <formula>#N/A</formula>
    </cfRule>
  </conditionalFormatting>
  <conditionalFormatting sqref="E1">
    <cfRule type="cellIs" dxfId="137" priority="6" operator="equal">
      <formula>#N/A</formula>
    </cfRule>
  </conditionalFormatting>
  <conditionalFormatting sqref="I1">
    <cfRule type="containsText" dxfId="136" priority="4" operator="containsText" text="All Data Import Successfully">
      <formula>NOT(ISERROR(SEARCH("All Data Import Successfully",I1)))</formula>
    </cfRule>
    <cfRule type="containsText" dxfId="135" priority="5" operator="containsText" text="Difference Entry">
      <formula>NOT(ISERROR(SEARCH("Difference Entry",I1)))</formula>
    </cfRule>
  </conditionalFormatting>
  <conditionalFormatting sqref="E2:G2">
    <cfRule type="cellIs" dxfId="134" priority="3" operator="equal">
      <formula>#N/A</formula>
    </cfRule>
  </conditionalFormatting>
  <conditionalFormatting sqref="H2">
    <cfRule type="cellIs" dxfId="133" priority="2" operator="equal">
      <formula>#N/A</formula>
    </cfRule>
  </conditionalFormatting>
  <conditionalFormatting sqref="I2">
    <cfRule type="cellIs" dxfId="13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54"/>
  <dimension ref="A1:DZ4"/>
  <sheetViews>
    <sheetView workbookViewId="0">
      <selection activeCell="E8" sqref="E8"/>
    </sheetView>
  </sheetViews>
  <sheetFormatPr defaultRowHeight="15"/>
  <cols>
    <col min="1" max="1" width="25.7109375" style="239" customWidth="1"/>
    <col min="2" max="4" width="25.7109375" style="6" customWidth="1"/>
    <col min="5" max="5" width="25.7109375" style="8" customWidth="1"/>
    <col min="6" max="6" width="25.7109375" style="6" customWidth="1"/>
    <col min="7" max="7" width="28.7109375" style="6" customWidth="1"/>
    <col min="8" max="9" width="25.7109375" style="6" customWidth="1"/>
    <col min="10" max="10" width="17.7109375" style="6" customWidth="1"/>
    <col min="11" max="12" width="9.140625" style="6"/>
    <col min="13" max="13" width="23.28515625" style="6" customWidth="1"/>
    <col min="14" max="15" width="9.140625" style="6"/>
    <col min="16" max="16" width="30.28515625" style="6" customWidth="1"/>
    <col min="17" max="104" width="9.140625" style="6"/>
    <col min="105" max="113" width="24.7109375" style="6" customWidth="1"/>
    <col min="114" max="114" width="38.42578125" style="6" customWidth="1"/>
    <col min="115" max="115" width="24.7109375" style="6" customWidth="1"/>
    <col min="116" max="16384" width="9.140625" style="6"/>
  </cols>
  <sheetData>
    <row r="1" spans="1:130" ht="45" customHeight="1">
      <c r="A1" s="235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257</v>
      </c>
      <c r="AB1" s="95" t="s">
        <v>257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23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126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37" t="s">
        <v>127</v>
      </c>
      <c r="B3" s="59"/>
      <c r="C3" s="58"/>
      <c r="D3" s="58"/>
      <c r="E3" s="207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24" t="str">
        <f>+$A$3</f>
        <v>PNB A/c.</v>
      </c>
      <c r="DB3" s="225">
        <f>VALUE(C3)</f>
        <v>0</v>
      </c>
      <c r="DC3" s="226" t="e">
        <f>+CONCATENATE(TEXT(DB3,"D"),"",TEXT(DB3,"MM"),"","/",SUBSTITUTE(DF3,",",""),"/",DK3)</f>
        <v>#VALUE!</v>
      </c>
      <c r="DD3" s="227">
        <f>IF(I3="",VALUE("0"),VALUE(SUBSTITUTE((I3),",","")))</f>
        <v>0</v>
      </c>
      <c r="DE3" s="227">
        <f>IF(J3="",VALUE("0"),VALUE(SUBSTITUTE((J3),",","")))</f>
        <v>0</v>
      </c>
      <c r="DF3" s="227" t="e">
        <f>+VALUE(SUBSTITUTE(SUBSTITUTE(SUBSTITUTE((M3),",",""),"Cr.",""),"Dr.",""))</f>
        <v>#VALUE!</v>
      </c>
      <c r="DG3" s="228" t="str">
        <f ca="1">IF(H3="",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,H3)</f>
        <v>0</v>
      </c>
      <c r="DH3" s="229">
        <f>+DB3</f>
        <v>0</v>
      </c>
      <c r="DI3" s="229" t="str">
        <f>+IF(DE3=0,"Suspance Payment","Suspance Receipt")</f>
        <v>Suspance Payment</v>
      </c>
      <c r="DJ3" s="230">
        <f>+E3</f>
        <v>0</v>
      </c>
      <c r="DK3" s="231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1" customHeight="1" thickBot="1">
      <c r="A4" s="238" t="s">
        <v>329</v>
      </c>
      <c r="B4" s="232"/>
      <c r="C4" s="232" t="s">
        <v>17</v>
      </c>
      <c r="D4" s="232"/>
      <c r="E4" s="233" t="s">
        <v>19</v>
      </c>
      <c r="F4" s="232"/>
      <c r="G4" s="232" t="s">
        <v>191</v>
      </c>
      <c r="H4" s="232" t="s">
        <v>74</v>
      </c>
      <c r="I4" s="232" t="s">
        <v>330</v>
      </c>
      <c r="J4" s="232" t="s">
        <v>331</v>
      </c>
      <c r="K4" s="232"/>
      <c r="L4" s="232"/>
      <c r="M4" s="232" t="s">
        <v>11</v>
      </c>
      <c r="N4" s="232"/>
      <c r="O4" s="232"/>
      <c r="P4" s="234" t="s">
        <v>332</v>
      </c>
      <c r="Q4" s="5"/>
      <c r="DA4" s="38" t="str">
        <f>+DA3</f>
        <v>PNB A/c.</v>
      </c>
    </row>
  </sheetData>
  <sheetProtection algorithmName="SHA-512" hashValue="Zbz0N+QtdV+bl5lEncb622Ux/tj54et+DZqdta+hRW295umJ8nuIdpbwgkWGssuMbHexvBqAsyivSFPxLThX2g==" saltValue="iu1SUxbQyKZaRxb/Osesl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131" priority="11" operator="equal">
      <formula>#N/A</formula>
    </cfRule>
  </conditionalFormatting>
  <conditionalFormatting sqref="DG2">
    <cfRule type="cellIs" dxfId="130" priority="10" operator="equal">
      <formula>#N/A</formula>
    </cfRule>
  </conditionalFormatting>
  <conditionalFormatting sqref="DH2:DI2">
    <cfRule type="cellIs" dxfId="129" priority="9" operator="equal">
      <formula>#N/A</formula>
    </cfRule>
  </conditionalFormatting>
  <conditionalFormatting sqref="I1:I2">
    <cfRule type="cellIs" dxfId="128" priority="8" operator="equal">
      <formula>#N/A</formula>
    </cfRule>
  </conditionalFormatting>
  <conditionalFormatting sqref="H1">
    <cfRule type="cellIs" dxfId="127" priority="7" operator="equal">
      <formula>#N/A</formula>
    </cfRule>
  </conditionalFormatting>
  <conditionalFormatting sqref="E1">
    <cfRule type="cellIs" dxfId="126" priority="6" operator="equal">
      <formula>#N/A</formula>
    </cfRule>
  </conditionalFormatting>
  <conditionalFormatting sqref="I1">
    <cfRule type="containsText" dxfId="125" priority="4" operator="containsText" text="All Data Import Successfully">
      <formula>NOT(ISERROR(SEARCH("All Data Import Successfully",I1)))</formula>
    </cfRule>
    <cfRule type="containsText" dxfId="124" priority="5" operator="containsText" text="Difference Entry">
      <formula>NOT(ISERROR(SEARCH("Difference Entry",I1)))</formula>
    </cfRule>
  </conditionalFormatting>
  <conditionalFormatting sqref="E2:G2">
    <cfRule type="cellIs" dxfId="123" priority="3" operator="equal">
      <formula>#N/A</formula>
    </cfRule>
  </conditionalFormatting>
  <conditionalFormatting sqref="H2">
    <cfRule type="cellIs" dxfId="122" priority="2" operator="equal">
      <formula>#N/A</formula>
    </cfRule>
  </conditionalFormatting>
  <conditionalFormatting sqref="I2">
    <cfRule type="cellIs" dxfId="12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9"/>
  <dimension ref="A1:DZ4"/>
  <sheetViews>
    <sheetView workbookViewId="0">
      <selection activeCell="A5" sqref="A5"/>
    </sheetView>
  </sheetViews>
  <sheetFormatPr defaultRowHeight="15"/>
  <cols>
    <col min="1" max="2" width="25.42578125" style="6" customWidth="1"/>
    <col min="3" max="3" width="35.7109375" style="6" customWidth="1"/>
    <col min="4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16" width="9.5703125" style="6" bestFit="1" customWidth="1"/>
    <col min="117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tr">
        <f>+A3</f>
        <v>Rajkot Nagarik Sahakari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>
      <c r="A3" s="17" t="s">
        <v>110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Rajkot Nagarik Sahakari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IF(C3="",VALUE("0"),VALUE(SUBSTITUTE((C3),",","")))</f>
        <v>0</v>
      </c>
      <c r="DE3" s="26">
        <f>IF(D3="",VALUE("0"),VALUE(SUBSTITUTE((D3),",","")))</f>
        <v>0</v>
      </c>
      <c r="DF3" s="26" t="e">
        <f>IF(E3=" ","",VALUE(SUBSTITUTE((SUBSTITUTE((E3),"Cr.","")),",","")))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>
      <c r="A4" s="6" t="s">
        <v>111</v>
      </c>
      <c r="B4" s="6" t="s">
        <v>112</v>
      </c>
      <c r="C4" s="6" t="s">
        <v>113</v>
      </c>
      <c r="D4" s="6" t="s">
        <v>114</v>
      </c>
      <c r="E4" s="6" t="s">
        <v>115</v>
      </c>
      <c r="DA4" s="38" t="str">
        <f>+DA3</f>
        <v>Rajkot Nagarik Sahakari Bank A/c.</v>
      </c>
    </row>
  </sheetData>
  <sheetProtection algorithmName="SHA-512" hashValue="rKIvMnq+uBNWMIGlP+PbaEe732k/8G9txvnoLxszYhO0yuQ8UbcN4EwM/g14Cx4rrs053ql6963zGrkYgEIbag==" saltValue="C+NL1mEeOPNCz7WaylUYo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120" priority="10" operator="equal">
      <formula>#N/A</formula>
    </cfRule>
  </conditionalFormatting>
  <conditionalFormatting sqref="H1">
    <cfRule type="cellIs" dxfId="119" priority="9" operator="equal">
      <formula>#N/A</formula>
    </cfRule>
  </conditionalFormatting>
  <conditionalFormatting sqref="E1">
    <cfRule type="cellIs" dxfId="118" priority="8" operator="equal">
      <formula>#N/A</formula>
    </cfRule>
  </conditionalFormatting>
  <conditionalFormatting sqref="I1">
    <cfRule type="containsText" dxfId="117" priority="6" operator="containsText" text="All Data Import Successfully">
      <formula>NOT(ISERROR(SEARCH("All Data Import Successfully",I1)))</formula>
    </cfRule>
    <cfRule type="containsText" dxfId="116" priority="7" operator="containsText" text="Difference Entry">
      <formula>NOT(ISERROR(SEARCH("Difference Entry",I1)))</formula>
    </cfRule>
  </conditionalFormatting>
  <conditionalFormatting sqref="DG2">
    <cfRule type="cellIs" dxfId="115" priority="5" operator="equal">
      <formula>#N/A</formula>
    </cfRule>
  </conditionalFormatting>
  <conditionalFormatting sqref="DH2:DI2">
    <cfRule type="cellIs" dxfId="114" priority="4" operator="equal">
      <formula>#N/A</formula>
    </cfRule>
  </conditionalFormatting>
  <conditionalFormatting sqref="E2:G2">
    <cfRule type="cellIs" dxfId="113" priority="3" operator="equal">
      <formula>#N/A</formula>
    </cfRule>
  </conditionalFormatting>
  <conditionalFormatting sqref="H2">
    <cfRule type="cellIs" dxfId="112" priority="2" operator="equal">
      <formula>#N/A</formula>
    </cfRule>
  </conditionalFormatting>
  <conditionalFormatting sqref="I2">
    <cfRule type="cellIs" dxfId="11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0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10</v>
      </c>
      <c r="U1" s="95" t="s">
        <v>168</v>
      </c>
      <c r="V1" s="95" t="s">
        <v>169</v>
      </c>
      <c r="W1" s="95" t="s">
        <v>170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151</v>
      </c>
      <c r="B3" s="59"/>
      <c r="C3" s="58"/>
      <c r="D3" s="58" t="s">
        <v>194</v>
      </c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Federal Bank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IF(H3="", 0, IFERROR(VALUE(SUBSTITUTE(H3, ",", "")), 0))</f>
        <v>0</v>
      </c>
      <c r="DE3" s="26">
        <f>IF(I3="", 0, IFERROR(VALUE(SUBSTITUTE(I3, ",", "")), 0))</f>
        <v>0</v>
      </c>
      <c r="DF3" s="26" t="e">
        <f>IF(J3=" ","",VALUE(SUBSTITUTE((J3),",","")))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VALUE(B3)</f>
        <v>0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3.25" thickBot="1">
      <c r="A4" s="114" t="s">
        <v>78</v>
      </c>
      <c r="B4" s="115" t="s">
        <v>39</v>
      </c>
      <c r="C4" s="289" t="s">
        <v>147</v>
      </c>
      <c r="D4" s="289"/>
      <c r="E4" s="115" t="s">
        <v>18</v>
      </c>
      <c r="F4" s="115" t="s">
        <v>152</v>
      </c>
      <c r="G4" s="115" t="s">
        <v>153</v>
      </c>
      <c r="H4" s="115" t="s">
        <v>154</v>
      </c>
      <c r="I4" s="115" t="s">
        <v>155</v>
      </c>
      <c r="J4" s="116" t="s">
        <v>156</v>
      </c>
      <c r="DA4" s="38" t="str">
        <f>+DA3</f>
        <v>Federal Bank</v>
      </c>
    </row>
  </sheetData>
  <sheetProtection algorithmName="SHA-512" hashValue="8XdXyqmHoRe1Yh5M2iAhBpcGpZt1Z9DHS/6Bid60x/n6Id3NOQpC2ou3YTj4xYgiV8eEH7KFCDAEOI4XM8+5pQ==" saltValue="HZ+LfHm5jyJMaabfZgTK/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mergeCells count="1">
    <mergeCell ref="C4:D4"/>
  </mergeCells>
  <conditionalFormatting sqref="E3">
    <cfRule type="cellIs" dxfId="110" priority="23" operator="equal">
      <formula>#N/A</formula>
    </cfRule>
  </conditionalFormatting>
  <conditionalFormatting sqref="DG2">
    <cfRule type="cellIs" dxfId="109" priority="18" operator="equal">
      <formula>#N/A</formula>
    </cfRule>
  </conditionalFormatting>
  <conditionalFormatting sqref="DH2:DI2">
    <cfRule type="cellIs" dxfId="108" priority="17" operator="equal">
      <formula>#N/A</formula>
    </cfRule>
  </conditionalFormatting>
  <conditionalFormatting sqref="I1:I2">
    <cfRule type="cellIs" dxfId="107" priority="8" operator="equal">
      <formula>#N/A</formula>
    </cfRule>
  </conditionalFormatting>
  <conditionalFormatting sqref="H1">
    <cfRule type="cellIs" dxfId="106" priority="7" operator="equal">
      <formula>#N/A</formula>
    </cfRule>
  </conditionalFormatting>
  <conditionalFormatting sqref="E1">
    <cfRule type="cellIs" dxfId="105" priority="6" operator="equal">
      <formula>#N/A</formula>
    </cfRule>
  </conditionalFormatting>
  <conditionalFormatting sqref="I1">
    <cfRule type="containsText" dxfId="104" priority="4" operator="containsText" text="All Data Import Successfully">
      <formula>NOT(ISERROR(SEARCH("All Data Import Successfully",I1)))</formula>
    </cfRule>
    <cfRule type="containsText" dxfId="103" priority="5" operator="containsText" text="Difference Entry">
      <formula>NOT(ISERROR(SEARCH("Difference Entry",I1)))</formula>
    </cfRule>
  </conditionalFormatting>
  <conditionalFormatting sqref="E2:G2">
    <cfRule type="cellIs" dxfId="102" priority="3" operator="equal">
      <formula>#N/A</formula>
    </cfRule>
  </conditionalFormatting>
  <conditionalFormatting sqref="H2">
    <cfRule type="cellIs" dxfId="101" priority="2" operator="equal">
      <formula>#N/A</formula>
    </cfRule>
  </conditionalFormatting>
  <conditionalFormatting sqref="I2">
    <cfRule type="cellIs" dxfId="10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15"/>
  <dimension ref="A1:DZ4"/>
  <sheetViews>
    <sheetView workbookViewId="0">
      <selection activeCell="D23" sqref="D23"/>
    </sheetView>
  </sheetViews>
  <sheetFormatPr defaultRowHeight="15"/>
  <cols>
    <col min="1" max="2" width="25.42578125" style="6" customWidth="1"/>
    <col min="3" max="3" width="35.7109375" style="6" customWidth="1"/>
    <col min="4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tr">
        <f>+A3</f>
        <v>The Varachha Co-op.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102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The Varachha Co-op.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IF(D3="",VALUE("0"),VALUE(SUBSTITUTE((D3),",","")))</f>
        <v>0</v>
      </c>
      <c r="DE3" s="26">
        <f>IF(E3="",VALUE("0"),VALUE(SUBSTITUTE((E3),",","")))</f>
        <v>0</v>
      </c>
      <c r="DF3" s="26" t="e">
        <f>IF(F3=" ","",VALUE(SUBSTITUTE((SUBSTITUTE((F3),"Cr.","")),",","")))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52" t="s">
        <v>32</v>
      </c>
      <c r="B4" s="52" t="s">
        <v>33</v>
      </c>
      <c r="C4" s="52" t="s">
        <v>99</v>
      </c>
      <c r="D4" s="52" t="s">
        <v>100</v>
      </c>
      <c r="E4" s="52" t="s">
        <v>22</v>
      </c>
      <c r="F4" s="52" t="s">
        <v>101</v>
      </c>
      <c r="DA4" s="38" t="str">
        <f>+DA3</f>
        <v>The Varachha Co-op. Bank A/c.</v>
      </c>
    </row>
  </sheetData>
  <sheetProtection algorithmName="SHA-512" hashValue="Zy11J5SjYs3yAxUDRQNfC8u+btBxBvxDOMm92kxbg2HwUh1K7R3Wc7Y5lrBBX8nYdP15YYLwb6desSp/6FmgXg==" saltValue="NoxHI9CHBVZkGBoPqrOIy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99" priority="10" operator="equal">
      <formula>#N/A</formula>
    </cfRule>
  </conditionalFormatting>
  <conditionalFormatting sqref="H1">
    <cfRule type="cellIs" dxfId="98" priority="9" operator="equal">
      <formula>#N/A</formula>
    </cfRule>
  </conditionalFormatting>
  <conditionalFormatting sqref="E1">
    <cfRule type="cellIs" dxfId="97" priority="8" operator="equal">
      <formula>#N/A</formula>
    </cfRule>
  </conditionalFormatting>
  <conditionalFormatting sqref="I1">
    <cfRule type="containsText" dxfId="96" priority="6" operator="containsText" text="All Data Import Successfully">
      <formula>NOT(ISERROR(SEARCH("All Data Import Successfully",I1)))</formula>
    </cfRule>
    <cfRule type="containsText" dxfId="95" priority="7" operator="containsText" text="Difference Entry">
      <formula>NOT(ISERROR(SEARCH("Difference Entry",I1)))</formula>
    </cfRule>
  </conditionalFormatting>
  <conditionalFormatting sqref="DG2">
    <cfRule type="cellIs" dxfId="94" priority="5" operator="equal">
      <formula>#N/A</formula>
    </cfRule>
  </conditionalFormatting>
  <conditionalFormatting sqref="DH2:DI2">
    <cfRule type="cellIs" dxfId="93" priority="4" operator="equal">
      <formula>#N/A</formula>
    </cfRule>
  </conditionalFormatting>
  <conditionalFormatting sqref="E2:G2">
    <cfRule type="cellIs" dxfId="92" priority="3" operator="equal">
      <formula>#N/A</formula>
    </cfRule>
  </conditionalFormatting>
  <conditionalFormatting sqref="H2">
    <cfRule type="cellIs" dxfId="91" priority="2" operator="equal">
      <formula>#N/A</formula>
    </cfRule>
  </conditionalFormatting>
  <conditionalFormatting sqref="I2">
    <cfRule type="cellIs" dxfId="9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29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179</v>
      </c>
      <c r="T1" s="95">
        <v>6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150</v>
      </c>
      <c r="B3" s="59"/>
      <c r="C3" s="58"/>
      <c r="D3" s="58" t="s">
        <v>195</v>
      </c>
      <c r="E3" s="60"/>
      <c r="F3" s="58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Surat National Co-op. Bank Ltd.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e">
        <f>IF(F3=" ","",VALUE(SUBSTITUTE((SUBSTITUTE((F3),"Cr.","")),",","")))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17" t="s">
        <v>32</v>
      </c>
      <c r="B4" s="118" t="s">
        <v>33</v>
      </c>
      <c r="C4" s="118" t="s">
        <v>99</v>
      </c>
      <c r="D4" s="118" t="s">
        <v>100</v>
      </c>
      <c r="E4" s="118" t="s">
        <v>22</v>
      </c>
      <c r="F4" s="119" t="s">
        <v>101</v>
      </c>
      <c r="DA4" s="38" t="str">
        <f>+DA3</f>
        <v>Surat National Co-op. Bank Ltd.</v>
      </c>
    </row>
  </sheetData>
  <sheetProtection algorithmName="SHA-512" hashValue="c+mSYsCBXix2kEIlLmORljL0j6Q6g/8kxiDs24A8HezzpiVuGe1lI/sZMzfdW/LMVurqpMvnVFTlHqJJ0nWZxg==" saltValue="hgAvLVnz/8HF8ynhofHj1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89" priority="18" operator="equal">
      <formula>#N/A</formula>
    </cfRule>
  </conditionalFormatting>
  <conditionalFormatting sqref="DG2">
    <cfRule type="cellIs" dxfId="88" priority="13" operator="equal">
      <formula>#N/A</formula>
    </cfRule>
  </conditionalFormatting>
  <conditionalFormatting sqref="DH2:DI2">
    <cfRule type="cellIs" dxfId="87" priority="12" operator="equal">
      <formula>#N/A</formula>
    </cfRule>
  </conditionalFormatting>
  <conditionalFormatting sqref="I1:I2">
    <cfRule type="cellIs" dxfId="86" priority="8" operator="equal">
      <formula>#N/A</formula>
    </cfRule>
  </conditionalFormatting>
  <conditionalFormatting sqref="H1">
    <cfRule type="cellIs" dxfId="85" priority="7" operator="equal">
      <formula>#N/A</formula>
    </cfRule>
  </conditionalFormatting>
  <conditionalFormatting sqref="E1">
    <cfRule type="cellIs" dxfId="84" priority="6" operator="equal">
      <formula>#N/A</formula>
    </cfRule>
  </conditionalFormatting>
  <conditionalFormatting sqref="I1">
    <cfRule type="containsText" dxfId="83" priority="4" operator="containsText" text="All Data Import Successfully">
      <formula>NOT(ISERROR(SEARCH("All Data Import Successfully",I1)))</formula>
    </cfRule>
    <cfRule type="containsText" dxfId="82" priority="5" operator="containsText" text="Difference Entry">
      <formula>NOT(ISERROR(SEARCH("Difference Entry",I1)))</formula>
    </cfRule>
  </conditionalFormatting>
  <conditionalFormatting sqref="E2:G2">
    <cfRule type="cellIs" dxfId="81" priority="3" operator="equal">
      <formula>#N/A</formula>
    </cfRule>
  </conditionalFormatting>
  <conditionalFormatting sqref="H2">
    <cfRule type="cellIs" dxfId="80" priority="2" operator="equal">
      <formula>#N/A</formula>
    </cfRule>
  </conditionalFormatting>
  <conditionalFormatting sqref="I2">
    <cfRule type="cellIs" dxfId="7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23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THE SURAT DISTRICT CO-OP. BANK LTD.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135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THE SURAT DISTRICT CO-OP. BANK LTD.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IF(I3="",VALUE("0"),VALUE(SUBSTITUTE((I3),",","")))</f>
        <v>0</v>
      </c>
      <c r="DF3" s="26" t="str">
        <f>IF(J3="","",VALUE(SUBSTITUTE((J3),",","")))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8">
        <f>VALUE(B3)</f>
        <v>0</v>
      </c>
      <c r="DI3" s="28" t="str">
        <f>+IF(DE3=0,"Suspance Payment","Suspance Receipt")</f>
        <v>Suspance Payment</v>
      </c>
      <c r="DJ3" s="3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63" t="s">
        <v>128</v>
      </c>
      <c r="B4" s="64" t="s">
        <v>129</v>
      </c>
      <c r="C4" s="64"/>
      <c r="D4" s="64"/>
      <c r="E4" s="64" t="s">
        <v>130</v>
      </c>
      <c r="F4" s="64" t="s">
        <v>131</v>
      </c>
      <c r="G4" s="64" t="s">
        <v>132</v>
      </c>
      <c r="H4" s="64"/>
      <c r="I4" s="64" t="s">
        <v>133</v>
      </c>
      <c r="J4" s="65" t="s">
        <v>134</v>
      </c>
      <c r="DA4" s="38" t="str">
        <f>+DA3</f>
        <v>THE SURAT DISTRICT CO-OP. BANK LTD.</v>
      </c>
    </row>
  </sheetData>
  <sheetProtection algorithmName="SHA-512" hashValue="11ncvo9E5smUe5PM5+IKfI/V4d02M+0gqJmHOmbCmQjW5ibb/MMqH0g9n75NMEtlm00UsvKvmQPy0bzWJ1J76Q==" saltValue="5JuTud5G7nbn6vP4Bk1B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 DA5:DC728 DH5:DH728 DJ5:DJ728" name="Range1_6"/>
    <protectedRange algorithmName="SHA-512" hashValue="FeHjunJeBmEIe1Z+x4LSLD0xeXKoeHqEB4mLNgYC3pUDxBFAiT2e1scH7F48tQXpPGOh+9Z9iw2K5jb0kUxFkQ==" saltValue="Arxg+XESKZddo6Y2q+NDbg==" spinCount="100000" sqref="DD3:DF3 DD5:DF728" name="Range1_1_3"/>
    <protectedRange algorithmName="SHA-512" hashValue="FeHjunJeBmEIe1Z+x4LSLD0xeXKoeHqEB4mLNgYC3pUDxBFAiT2e1scH7F48tQXpPGOh+9Z9iw2K5jb0kUxFkQ==" saltValue="Arxg+XESKZddo6Y2q+NDbg==" spinCount="100000" sqref="DI3 DI5:DI728" name="Range1_2_3"/>
    <protectedRange algorithmName="SHA-512" hashValue="FeHjunJeBmEIe1Z+x4LSLD0xeXKoeHqEB4mLNgYC3pUDxBFAiT2e1scH7F48tQXpPGOh+9Z9iw2K5jb0kUxFkQ==" saltValue="Arxg+XESKZddo6Y2q+NDbg==" spinCount="100000" sqref="DK3 DK5:DK728" name="Range1_3_3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78" priority="10" operator="equal">
      <formula>#N/A</formula>
    </cfRule>
  </conditionalFormatting>
  <conditionalFormatting sqref="H1">
    <cfRule type="cellIs" dxfId="77" priority="9" operator="equal">
      <formula>#N/A</formula>
    </cfRule>
  </conditionalFormatting>
  <conditionalFormatting sqref="E1">
    <cfRule type="cellIs" dxfId="76" priority="8" operator="equal">
      <formula>#N/A</formula>
    </cfRule>
  </conditionalFormatting>
  <conditionalFormatting sqref="I1">
    <cfRule type="containsText" dxfId="75" priority="6" operator="containsText" text="All Data Import Successfully">
      <formula>NOT(ISERROR(SEARCH("All Data Import Successfully",I1)))</formula>
    </cfRule>
    <cfRule type="containsText" dxfId="74" priority="7" operator="containsText" text="Difference Entry">
      <formula>NOT(ISERROR(SEARCH("Difference Entry",I1)))</formula>
    </cfRule>
  </conditionalFormatting>
  <conditionalFormatting sqref="DG2">
    <cfRule type="cellIs" dxfId="73" priority="5" operator="equal">
      <formula>#N/A</formula>
    </cfRule>
  </conditionalFormatting>
  <conditionalFormatting sqref="DH2:DI2">
    <cfRule type="cellIs" dxfId="72" priority="4" operator="equal">
      <formula>#N/A</formula>
    </cfRule>
  </conditionalFormatting>
  <conditionalFormatting sqref="E2:G2">
    <cfRule type="cellIs" dxfId="71" priority="3" operator="equal">
      <formula>#N/A</formula>
    </cfRule>
  </conditionalFormatting>
  <conditionalFormatting sqref="H2">
    <cfRule type="cellIs" dxfId="70" priority="2" operator="equal">
      <formula>#N/A</formula>
    </cfRule>
  </conditionalFormatting>
  <conditionalFormatting sqref="I2">
    <cfRule type="cellIs" dxfId="6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31"/>
  <dimension ref="A1:DZ4"/>
  <sheetViews>
    <sheetView workbookViewId="0">
      <selection activeCell="F28" sqref="F28"/>
    </sheetView>
  </sheetViews>
  <sheetFormatPr defaultRowHeight="15"/>
  <cols>
    <col min="1" max="1" width="25.42578125" style="6" customWidth="1"/>
    <col min="2" max="2" width="23" style="6" customWidth="1"/>
    <col min="3" max="3" width="25.42578125" style="6" customWidth="1"/>
    <col min="4" max="4" width="6.28515625" style="6" customWidth="1"/>
    <col min="5" max="9" width="25.42578125" style="6" customWidth="1"/>
    <col min="10" max="10" width="12.5703125" style="6" customWidth="1"/>
    <col min="11" max="12" width="8" style="6" customWidth="1"/>
    <col min="13" max="13" width="22" style="6" customWidth="1"/>
    <col min="14" max="14" width="8" style="6" customWidth="1"/>
    <col min="15" max="15" width="11.28515625" style="6" customWidth="1"/>
    <col min="16" max="20" width="4" style="6" customWidth="1"/>
    <col min="21" max="22" width="8" style="6" customWidth="1"/>
    <col min="23" max="26" width="3.42578125" style="6" customWidth="1"/>
    <col min="27" max="27" width="14.42578125" style="6" customWidth="1"/>
    <col min="28" max="28" width="8" style="6" customWidth="1"/>
    <col min="29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AU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162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AU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IF(O3="-",VALUE("0"),VALUE(SUBSTITUTE((O3),",","")))</f>
        <v>#VALUE!</v>
      </c>
      <c r="DE3" s="26" t="e">
        <f>IF(V3="-",VALUE("0"),VALUE(SUBSTITUTE((V3),",","")))</f>
        <v>#VALUE!</v>
      </c>
      <c r="DF3" s="26" t="e">
        <f>IF(AA3=" ","",VALUE(SUBSTITUTE((SUBSTITUTE((AA3),"Cr","")),",","")))</f>
        <v>#VALUE!</v>
      </c>
      <c r="DG3" s="27">
        <f>+M3</f>
        <v>0</v>
      </c>
      <c r="DH3" s="28" t="e">
        <f>VALUE(A3)</f>
        <v>#VALUE!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 thickBot="1">
      <c r="A4" s="87" t="s">
        <v>32</v>
      </c>
      <c r="B4" s="85"/>
      <c r="C4" s="85" t="s">
        <v>157</v>
      </c>
      <c r="D4" s="85"/>
      <c r="E4" s="85"/>
      <c r="F4" s="85"/>
      <c r="G4" s="85"/>
      <c r="H4" s="85"/>
      <c r="I4" s="85"/>
      <c r="J4" s="85" t="s">
        <v>158</v>
      </c>
      <c r="K4" s="85"/>
      <c r="L4" s="85"/>
      <c r="M4" s="85" t="s">
        <v>159</v>
      </c>
      <c r="N4" s="85"/>
      <c r="O4" s="85" t="s">
        <v>160</v>
      </c>
      <c r="P4" s="85"/>
      <c r="Q4" s="85"/>
      <c r="R4" s="85"/>
      <c r="S4" s="85"/>
      <c r="T4" s="85"/>
      <c r="U4" s="85"/>
      <c r="V4" s="85" t="s">
        <v>161</v>
      </c>
      <c r="W4" s="85"/>
      <c r="X4" s="85"/>
      <c r="Y4" s="85"/>
      <c r="Z4" s="85"/>
      <c r="AA4" s="85" t="s">
        <v>11</v>
      </c>
      <c r="AB4" s="86"/>
      <c r="DA4" s="38" t="str">
        <f>+DA3</f>
        <v>AU SMALL FINANCE BANK</v>
      </c>
    </row>
  </sheetData>
  <sheetProtection algorithmName="SHA-512" hashValue="tMeDJlTNqkpySPc9o2sIM+gMF3R1plGG0N+dvV2+8WQjumNkZAMjDteEcCCythMidmecye3HwYDnLu2x7vYkYQ==" saltValue="DnAOrpCbR0prHUXDI1CDJ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 I1:I2">
    <cfRule type="cellIs" dxfId="68" priority="10" operator="equal">
      <formula>#N/A</formula>
    </cfRule>
  </conditionalFormatting>
  <conditionalFormatting sqref="H1">
    <cfRule type="cellIs" dxfId="67" priority="9" operator="equal">
      <formula>#N/A</formula>
    </cfRule>
  </conditionalFormatting>
  <conditionalFormatting sqref="E1">
    <cfRule type="cellIs" dxfId="66" priority="8" operator="equal">
      <formula>#N/A</formula>
    </cfRule>
  </conditionalFormatting>
  <conditionalFormatting sqref="I1">
    <cfRule type="containsText" dxfId="65" priority="6" operator="containsText" text="All Data Import Successfully">
      <formula>NOT(ISERROR(SEARCH("All Data Import Successfully",I1)))</formula>
    </cfRule>
    <cfRule type="containsText" dxfId="64" priority="7" operator="containsText" text="Difference Entry">
      <formula>NOT(ISERROR(SEARCH("Difference Entry",I1)))</formula>
    </cfRule>
  </conditionalFormatting>
  <conditionalFormatting sqref="DG2">
    <cfRule type="cellIs" dxfId="63" priority="5" operator="equal">
      <formula>#N/A</formula>
    </cfRule>
  </conditionalFormatting>
  <conditionalFormatting sqref="DH2:DI2">
    <cfRule type="cellIs" dxfId="62" priority="4" operator="equal">
      <formula>#N/A</formula>
    </cfRule>
  </conditionalFormatting>
  <conditionalFormatting sqref="E2:G2">
    <cfRule type="cellIs" dxfId="61" priority="3" operator="equal">
      <formula>#N/A</formula>
    </cfRule>
  </conditionalFormatting>
  <conditionalFormatting sqref="H2">
    <cfRule type="cellIs" dxfId="60" priority="2" operator="equal">
      <formula>#N/A</formula>
    </cfRule>
  </conditionalFormatting>
  <conditionalFormatting sqref="I2">
    <cfRule type="cellIs" dxfId="5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26"/>
  <dimension ref="A1:DZ4"/>
  <sheetViews>
    <sheetView showRuler="0"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3" width="24.7109375" style="6" customWidth="1"/>
    <col min="114" max="114" width="69.7109375" style="6" bestFit="1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179</v>
      </c>
      <c r="T1" s="95">
        <v>7</v>
      </c>
      <c r="U1" s="95" t="s">
        <v>172</v>
      </c>
      <c r="V1" s="95" t="s">
        <v>173</v>
      </c>
      <c r="W1" s="95" t="s">
        <v>168</v>
      </c>
      <c r="X1" s="102" t="s">
        <v>6</v>
      </c>
      <c r="Y1" s="102" t="s">
        <v>6</v>
      </c>
      <c r="Z1" s="95">
        <v>1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199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143</v>
      </c>
      <c r="B3" s="18"/>
      <c r="C3" s="17"/>
      <c r="D3" s="17" t="s">
        <v>211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Prime Co-op.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 "", VALUE(SUBSTITUTE(SUBSTITUTE(SUBSTITUTE(G3, "Cr.", ""), "Dr.", ""), ",", "")))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01" t="s">
        <v>32</v>
      </c>
      <c r="B4" s="101" t="s">
        <v>18</v>
      </c>
      <c r="C4" s="101" t="s">
        <v>33</v>
      </c>
      <c r="D4" s="101" t="s">
        <v>99</v>
      </c>
      <c r="E4" s="101" t="s">
        <v>100</v>
      </c>
      <c r="F4" s="101" t="s">
        <v>22</v>
      </c>
      <c r="G4" s="101" t="s">
        <v>101</v>
      </c>
      <c r="DA4" s="38" t="str">
        <f>+DA3</f>
        <v>Prime Co-op. Bank A/c.</v>
      </c>
    </row>
  </sheetData>
  <sheetProtection algorithmName="SHA-512" hashValue="o53/PWpbOJohX0rsSw29pA9wPOk2/pOqw3iLtp+YBO6wiSF6dzt2aAjHgEWXcsAbvhWMBxnHngr9dTZknclfOQ==" saltValue="CzJz3yZYsyOWZAjZWqvs0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58" priority="22" operator="equal">
      <formula>#N/A</formula>
    </cfRule>
  </conditionalFormatting>
  <conditionalFormatting sqref="DG2">
    <cfRule type="cellIs" dxfId="57" priority="17" operator="equal">
      <formula>#N/A</formula>
    </cfRule>
  </conditionalFormatting>
  <conditionalFormatting sqref="DH2:DI2">
    <cfRule type="cellIs" dxfId="56" priority="16" operator="equal">
      <formula>#N/A</formula>
    </cfRule>
  </conditionalFormatting>
  <conditionalFormatting sqref="I1">
    <cfRule type="cellIs" dxfId="55" priority="12" operator="equal">
      <formula>#N/A</formula>
    </cfRule>
  </conditionalFormatting>
  <conditionalFormatting sqref="H1">
    <cfRule type="cellIs" dxfId="54" priority="11" operator="equal">
      <formula>#N/A</formula>
    </cfRule>
  </conditionalFormatting>
  <conditionalFormatting sqref="E1">
    <cfRule type="cellIs" dxfId="53" priority="10" operator="equal">
      <formula>#N/A</formula>
    </cfRule>
  </conditionalFormatting>
  <conditionalFormatting sqref="I1">
    <cfRule type="containsText" dxfId="52" priority="8" operator="containsText" text="All Data Import Successfully">
      <formula>NOT(ISERROR(SEARCH("All Data Import Successfully",I1)))</formula>
    </cfRule>
    <cfRule type="containsText" dxfId="51" priority="9" operator="containsText" text="Difference Entry">
      <formula>NOT(ISERROR(SEARCH("Difference Entry",I1)))</formula>
    </cfRule>
  </conditionalFormatting>
  <conditionalFormatting sqref="I2">
    <cfRule type="cellIs" dxfId="50" priority="4" operator="equal">
      <formula>#N/A</formula>
    </cfRule>
  </conditionalFormatting>
  <conditionalFormatting sqref="E2:G2">
    <cfRule type="cellIs" dxfId="49" priority="3" operator="equal">
      <formula>#N/A</formula>
    </cfRule>
  </conditionalFormatting>
  <conditionalFormatting sqref="H2">
    <cfRule type="cellIs" dxfId="48" priority="2" operator="equal">
      <formula>#N/A</formula>
    </cfRule>
  </conditionalFormatting>
  <conditionalFormatting sqref="I2">
    <cfRule type="cellIs" dxfId="47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32"/>
  <dimension ref="A1:DZ4"/>
  <sheetViews>
    <sheetView showRuler="0" workbookViewId="0">
      <selection activeCell="D12" sqref="D12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3.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166</v>
      </c>
      <c r="T1" s="95">
        <v>8</v>
      </c>
      <c r="U1" s="95" t="s">
        <v>173</v>
      </c>
      <c r="V1" s="95" t="s">
        <v>168</v>
      </c>
      <c r="W1" s="95" t="s">
        <v>169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163</v>
      </c>
      <c r="B3" s="59"/>
      <c r="C3" s="58"/>
      <c r="D3" s="58" t="s">
        <v>212</v>
      </c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DCB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e">
        <f>IF(H3=" ","",VALUE(SUBSTITUTE((SUBSTITUTE((H3),"Cr.","")),",","")))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str">
        <f>+A3</f>
        <v>DCB Bank A/c.</v>
      </c>
      <c r="DI3" s="28" t="str">
        <f>+IF(DE3=0,"Suspance Payment","Suspance Receipt")</f>
        <v>Suspance Payment</v>
      </c>
      <c r="DJ3" s="39" t="str">
        <f>+D3</f>
        <v>C:\Users\ADITYA\Desktop\Ecomm\Bank Statement\dcbbank.xls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7.25" thickBot="1">
      <c r="A4" s="110" t="s">
        <v>25</v>
      </c>
      <c r="B4" s="111" t="s">
        <v>18</v>
      </c>
      <c r="C4" s="112"/>
      <c r="D4" s="113" t="s">
        <v>125</v>
      </c>
      <c r="E4" s="113" t="s">
        <v>137</v>
      </c>
      <c r="F4" s="113" t="s">
        <v>164</v>
      </c>
      <c r="G4" s="113" t="s">
        <v>165</v>
      </c>
      <c r="H4" s="111" t="s">
        <v>31</v>
      </c>
      <c r="I4" s="88"/>
      <c r="DA4" s="38" t="str">
        <f>+DA3</f>
        <v>DCB Bank A/c.</v>
      </c>
    </row>
  </sheetData>
  <sheetProtection algorithmName="SHA-512" hashValue="gXgRBIwO92n0E9/PxVfki5X2ED/uZHmXhuJsoBYUMyiyaiGn5mTH/sfY53+3ZuRM0QChrBJgrPQIY8akGBwzdw==" saltValue="7mDAvE/6+kZAXktLtHUy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46" priority="18" operator="equal">
      <formula>#N/A</formula>
    </cfRule>
  </conditionalFormatting>
  <conditionalFormatting sqref="DG2">
    <cfRule type="cellIs" dxfId="45" priority="13" operator="equal">
      <formula>#N/A</formula>
    </cfRule>
  </conditionalFormatting>
  <conditionalFormatting sqref="DH2:DI2">
    <cfRule type="cellIs" dxfId="44" priority="12" operator="equal">
      <formula>#N/A</formula>
    </cfRule>
  </conditionalFormatting>
  <conditionalFormatting sqref="I1:I2">
    <cfRule type="cellIs" dxfId="43" priority="8" operator="equal">
      <formula>#N/A</formula>
    </cfRule>
  </conditionalFormatting>
  <conditionalFormatting sqref="H1">
    <cfRule type="cellIs" dxfId="42" priority="7" operator="equal">
      <formula>#N/A</formula>
    </cfRule>
  </conditionalFormatting>
  <conditionalFormatting sqref="E1">
    <cfRule type="cellIs" dxfId="41" priority="6" operator="equal">
      <formula>#N/A</formula>
    </cfRule>
  </conditionalFormatting>
  <conditionalFormatting sqref="I1">
    <cfRule type="containsText" dxfId="40" priority="4" operator="containsText" text="All Data Import Successfully">
      <formula>NOT(ISERROR(SEARCH("All Data Import Successfully",I1)))</formula>
    </cfRule>
    <cfRule type="containsText" dxfId="39" priority="5" operator="containsText" text="Difference Entry">
      <formula>NOT(ISERROR(SEARCH("Difference Entry",I1)))</formula>
    </cfRule>
  </conditionalFormatting>
  <conditionalFormatting sqref="E2:G2">
    <cfRule type="cellIs" dxfId="38" priority="3" operator="equal">
      <formula>#N/A</formula>
    </cfRule>
  </conditionalFormatting>
  <conditionalFormatting sqref="H2">
    <cfRule type="cellIs" dxfId="37" priority="2" operator="equal">
      <formula>#N/A</formula>
    </cfRule>
  </conditionalFormatting>
  <conditionalFormatting sqref="I2">
    <cfRule type="cellIs" dxfId="36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33"/>
  <dimension ref="A1:DZ4"/>
  <sheetViews>
    <sheetView showRuler="0" topLeftCell="DB1" workbookViewId="0">
      <selection activeCell="DG4" sqref="DG4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192</v>
      </c>
      <c r="T1" s="95">
        <v>8</v>
      </c>
      <c r="U1" s="95" t="s">
        <v>172</v>
      </c>
      <c r="V1" s="95" t="s">
        <v>172</v>
      </c>
      <c r="W1" s="95" t="s">
        <v>168</v>
      </c>
      <c r="X1" s="102" t="s">
        <v>6</v>
      </c>
      <c r="Y1" s="102">
        <v>5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/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 ht="15.75" thickBot="1">
      <c r="A3" s="58" t="s">
        <v>216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Saraswat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134" t="e">
        <f>IF(VALUE(SUBSTITUTE((TRIM(J3)),",",""))&gt;0,VALUE("0"),VALUE(SUBSTITUTE((TRIM(J3)),",","")*-1))</f>
        <v>#VALUE!</v>
      </c>
      <c r="DE3" s="26" t="e">
        <f>IF(VALUE(SUBSTITUTE((TRIM(J3)),",",""))&lt;0,VALUE("0"),VALUE(SUBSTITUTE((TRIM(J3)),",","")))</f>
        <v>#VALUE!</v>
      </c>
      <c r="DF3" s="133" t="e">
        <f>+VALUE(SUBSTITUTE((TRIM(O3)),",",""))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+VALUE(A3)</f>
        <v>#VALUE!</v>
      </c>
      <c r="DI3" s="28" t="e">
        <f>+IF(DE3=0,"Suspance Payment","Suspance Receipt")</f>
        <v>#VALUE!</v>
      </c>
      <c r="DJ3" s="39">
        <f>+B3</f>
        <v>0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5" customFormat="1" ht="15.75" thickBot="1">
      <c r="A4" s="135" t="s">
        <v>32</v>
      </c>
      <c r="B4" s="136"/>
      <c r="C4" s="136"/>
      <c r="D4" s="136"/>
      <c r="E4" s="136" t="s">
        <v>124</v>
      </c>
      <c r="F4" s="136"/>
      <c r="G4" s="136"/>
      <c r="H4" s="136"/>
      <c r="I4" s="136"/>
      <c r="J4" s="136" t="s">
        <v>80</v>
      </c>
      <c r="K4" s="136"/>
      <c r="L4" s="136"/>
      <c r="M4" s="136"/>
      <c r="N4" s="136"/>
      <c r="O4" s="137" t="s">
        <v>11</v>
      </c>
      <c r="DA4" s="25" t="str">
        <f>+DA3</f>
        <v>Saraswat Bank</v>
      </c>
      <c r="DB4" s="24" t="e">
        <f>VALUE(A4)</f>
        <v>#VALUE!</v>
      </c>
      <c r="DC4" s="25" t="str">
        <f>+CONCATENATE(TEXT(A4,"D"),"",TEXT(A4,"MM"),"","/",SUBSTITUTE(F4,",",""),"/",DK4)</f>
        <v>DateDate//2</v>
      </c>
      <c r="DD4" s="138" t="e">
        <f>IF(G4="CR",VALUE("0"),VALUE(SUBSTITUTE((F4),",","")))</f>
        <v>#VALUE!</v>
      </c>
      <c r="DE4" s="138" t="e">
        <f>IF(G4="DR",VALUE("0"),VALUE(SUBSTITUTE((F4),",","")))</f>
        <v>#VALUE!</v>
      </c>
      <c r="DF4" s="138" t="e">
        <f>IF(H4=" ","",VALUE(SUBSTITUTE((H4),",","")))</f>
        <v>#VALUE!</v>
      </c>
      <c r="DG4" s="27" t="str">
        <f ca="1">(SUBSTITUTE(TRIM(IF(LEFT(C4,3)="CLG"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6)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12))),".",""))</f>
        <v/>
      </c>
      <c r="DH4" s="69" t="e">
        <f>+VALUE(A4)</f>
        <v>#VALUE!</v>
      </c>
      <c r="DI4" s="69" t="e">
        <f>+IF(DE4=0,"Suspance Payment","Suspance Receipt")</f>
        <v>#VALUE!</v>
      </c>
      <c r="DJ4" s="25">
        <f>+C4</f>
        <v>0</v>
      </c>
      <c r="DK4" s="139">
        <f>+DK3+1</f>
        <v>2</v>
      </c>
    </row>
  </sheetData>
  <protectedRanges>
    <protectedRange algorithmName="SHA-512" hashValue="FeHjunJeBmEIe1Z+x4LSLD0xeXKoeHqEB4mLNgYC3pUDxBFAiT2e1scH7F48tQXpPGOh+9Z9iw2K5jb0kUxFkQ==" saltValue="Arxg+XESKZddo6Y2q+NDbg==" spinCount="100000" sqref="DH3:DH4 DA3:DC4 DJ3:DJ4" name="Range1_5"/>
    <protectedRange algorithmName="SHA-512" hashValue="FeHjunJeBmEIe1Z+x4LSLD0xeXKoeHqEB4mLNgYC3pUDxBFAiT2e1scH7F48tQXpPGOh+9Z9iw2K5jb0kUxFkQ==" saltValue="Arxg+XESKZddo6Y2q+NDbg==" spinCount="100000" sqref="DE3:DF4" name="Range1_1_2"/>
    <protectedRange algorithmName="SHA-512" hashValue="FeHjunJeBmEIe1Z+x4LSLD0xeXKoeHqEB4mLNgYC3pUDxBFAiT2e1scH7F48tQXpPGOh+9Z9iw2K5jb0kUxFkQ==" saltValue="Arxg+XESKZddo6Y2q+NDbg==" spinCount="100000" sqref="DI3:DI4" name="Range1_2_2"/>
    <protectedRange algorithmName="SHA-512" hashValue="FeHjunJeBmEIe1Z+x4LSLD0xeXKoeHqEB4mLNgYC3pUDxBFAiT2e1scH7F48tQXpPGOh+9Z9iw2K5jb0kUxFkQ==" saltValue="Arxg+XESKZddo6Y2q+NDbg==" spinCount="100000" sqref="DK3:DK4" name="Range1_3_2"/>
    <protectedRange algorithmName="SHA-512" hashValue="FeHjunJeBmEIe1Z+x4LSLD0xeXKoeHqEB4mLNgYC3pUDxBFAiT2e1scH7F48tQXpPGOh+9Z9iw2K5jb0kUxFkQ==" saltValue="Arxg+XESKZddo6Y2q+NDbg==" spinCount="100000" sqref="DD3:DD4" name="Range1_1_4"/>
  </protectedRanges>
  <conditionalFormatting sqref="E3">
    <cfRule type="cellIs" dxfId="35" priority="11" operator="equal">
      <formula>#N/A</formula>
    </cfRule>
  </conditionalFormatting>
  <conditionalFormatting sqref="DG2">
    <cfRule type="cellIs" dxfId="34" priority="10" operator="equal">
      <formula>#N/A</formula>
    </cfRule>
  </conditionalFormatting>
  <conditionalFormatting sqref="DH2:DI2">
    <cfRule type="cellIs" dxfId="33" priority="9" operator="equal">
      <formula>#N/A</formula>
    </cfRule>
  </conditionalFormatting>
  <conditionalFormatting sqref="I1:I2">
    <cfRule type="cellIs" dxfId="32" priority="8" operator="equal">
      <formula>#N/A</formula>
    </cfRule>
  </conditionalFormatting>
  <conditionalFormatting sqref="H1">
    <cfRule type="cellIs" dxfId="31" priority="7" operator="equal">
      <formula>#N/A</formula>
    </cfRule>
  </conditionalFormatting>
  <conditionalFormatting sqref="E1">
    <cfRule type="cellIs" dxfId="30" priority="6" operator="equal">
      <formula>#N/A</formula>
    </cfRule>
  </conditionalFormatting>
  <conditionalFormatting sqref="I1">
    <cfRule type="containsText" dxfId="29" priority="4" operator="containsText" text="All Data Import Successfully">
      <formula>NOT(ISERROR(SEARCH("All Data Import Successfully",I1)))</formula>
    </cfRule>
    <cfRule type="containsText" dxfId="28" priority="5" operator="containsText" text="Difference Entry">
      <formula>NOT(ISERROR(SEARCH("Difference Entry",I1)))</formula>
    </cfRule>
  </conditionalFormatting>
  <conditionalFormatting sqref="E2:G2">
    <cfRule type="cellIs" dxfId="27" priority="3" operator="equal">
      <formula>#N/A</formula>
    </cfRule>
  </conditionalFormatting>
  <conditionalFormatting sqref="H2">
    <cfRule type="cellIs" dxfId="26" priority="2" operator="equal">
      <formula>#N/A</formula>
    </cfRule>
  </conditionalFormatting>
  <conditionalFormatting sqref="I2">
    <cfRule type="cellIs" dxfId="2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7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341</v>
      </c>
      <c r="T1" s="95">
        <v>7</v>
      </c>
      <c r="U1" s="95" t="s">
        <v>197</v>
      </c>
      <c r="V1" s="95" t="s">
        <v>181</v>
      </c>
      <c r="W1" s="95" t="s">
        <v>172</v>
      </c>
      <c r="X1" s="102" t="s">
        <v>6</v>
      </c>
      <c r="Y1" s="102">
        <v>10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Equitas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343</v>
      </c>
      <c r="B3" s="59"/>
      <c r="C3" s="58"/>
      <c r="D3" s="58" t="s">
        <v>342</v>
      </c>
      <c r="E3" s="60"/>
      <c r="F3" s="58"/>
      <c r="G3" s="2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Equitas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str">
        <f>IF(F3="","",VALUE(SUBSTITUTE((F3),",","")))</f>
        <v/>
      </c>
      <c r="DG3" s="27">
        <f>+B3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32</v>
      </c>
      <c r="B4" s="104" t="s">
        <v>337</v>
      </c>
      <c r="C4" s="104" t="s">
        <v>33</v>
      </c>
      <c r="D4" s="104" t="s">
        <v>338</v>
      </c>
      <c r="E4" s="104" t="s">
        <v>339</v>
      </c>
      <c r="F4" s="104" t="s">
        <v>340</v>
      </c>
      <c r="DA4" s="38" t="str">
        <f>+DA3</f>
        <v>Equitas Small Finance Bank</v>
      </c>
    </row>
  </sheetData>
  <sheetProtection algorithmName="SHA-512" hashValue="gw1RUQM4RbQT6oggOIc4zRVoC+cIfqayZY1Ix9VFzLsI/Yd243tMDoQztMUdhymrtA/mljwlxJ9RS/MFqN0mpA==" saltValue="xULSpe0oKteBxbLwQlzDC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24" priority="11" operator="equal">
      <formula>#N/A</formula>
    </cfRule>
  </conditionalFormatting>
  <conditionalFormatting sqref="DG2">
    <cfRule type="cellIs" dxfId="23" priority="10" operator="equal">
      <formula>#N/A</formula>
    </cfRule>
  </conditionalFormatting>
  <conditionalFormatting sqref="DH2:DI2">
    <cfRule type="cellIs" dxfId="22" priority="9" operator="equal">
      <formula>#N/A</formula>
    </cfRule>
  </conditionalFormatting>
  <conditionalFormatting sqref="I1:I2">
    <cfRule type="cellIs" dxfId="21" priority="8" operator="equal">
      <formula>#N/A</formula>
    </cfRule>
  </conditionalFormatting>
  <conditionalFormatting sqref="H1">
    <cfRule type="cellIs" dxfId="20" priority="7" operator="equal">
      <formula>#N/A</formula>
    </cfRule>
  </conditionalFormatting>
  <conditionalFormatting sqref="E1">
    <cfRule type="cellIs" dxfId="19" priority="6" operator="equal">
      <formula>#N/A</formula>
    </cfRule>
  </conditionalFormatting>
  <conditionalFormatting sqref="I1">
    <cfRule type="containsText" dxfId="18" priority="4" operator="containsText" text="All Data Import Successfully">
      <formula>NOT(ISERROR(SEARCH("All Data Import Successfully",I1)))</formula>
    </cfRule>
    <cfRule type="containsText" dxfId="17" priority="5" operator="containsText" text="Difference Entry">
      <formula>NOT(ISERROR(SEARCH("Difference Entry",I1)))</formula>
    </cfRule>
  </conditionalFormatting>
  <conditionalFormatting sqref="E2:G2">
    <cfRule type="cellIs" dxfId="16" priority="3" operator="equal">
      <formula>#N/A</formula>
    </cfRule>
  </conditionalFormatting>
  <conditionalFormatting sqref="H2">
    <cfRule type="cellIs" dxfId="15" priority="2" operator="equal">
      <formula>#N/A</formula>
    </cfRule>
  </conditionalFormatting>
  <conditionalFormatting sqref="I2">
    <cfRule type="cellIs" dxfId="1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37D1C-CFC3-42AC-8A44-EA203F8981E6}">
  <sheetPr codeName="Sheet60"/>
  <dimension ref="A1:DZ4"/>
  <sheetViews>
    <sheetView workbookViewId="0">
      <selection activeCell="C13" sqref="C13"/>
    </sheetView>
  </sheetViews>
  <sheetFormatPr defaultRowHeight="15"/>
  <cols>
    <col min="1" max="1" width="25.7109375" style="195" customWidth="1"/>
    <col min="2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91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423</v>
      </c>
      <c r="T1" s="95">
        <v>6</v>
      </c>
      <c r="U1" s="95" t="s">
        <v>197</v>
      </c>
      <c r="V1" s="95" t="s">
        <v>181</v>
      </c>
      <c r="W1" s="95" t="s">
        <v>172</v>
      </c>
      <c r="X1" s="102" t="s">
        <v>6</v>
      </c>
      <c r="Y1" s="102">
        <v>0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92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92" t="s">
        <v>422</v>
      </c>
      <c r="B3" s="59"/>
      <c r="C3" s="58"/>
      <c r="D3" s="58" t="s">
        <v>426</v>
      </c>
      <c r="E3" s="60"/>
      <c r="F3" s="58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South Indian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e">
        <f>IF(F3=" ","",VALUE(SUBSTITUTE((SUBSTITUTE((F3),"Cr","")),",","")))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93" t="s">
        <v>32</v>
      </c>
      <c r="B4" s="118" t="s">
        <v>33</v>
      </c>
      <c r="C4" s="118" t="s">
        <v>99</v>
      </c>
      <c r="D4" s="118" t="s">
        <v>100</v>
      </c>
      <c r="E4" s="118" t="s">
        <v>22</v>
      </c>
      <c r="F4" s="119" t="s">
        <v>101</v>
      </c>
      <c r="DA4" s="38" t="str">
        <f>+DA3</f>
        <v>South Indian Bank</v>
      </c>
    </row>
  </sheetData>
  <sheetProtection algorithmName="SHA-512" hashValue="zE00+DE66JRwEIU6MzSie1cx29+Vq0p2cQYLSiaB9gg1yDti3r73svo/sjGmYvXKNZcFiQdKaXtbYnSnwKhVLw==" saltValue="3HpVlJ6l2pez6pYdKhcG/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13" priority="11" operator="equal">
      <formula>#N/A</formula>
    </cfRule>
  </conditionalFormatting>
  <conditionalFormatting sqref="DG2">
    <cfRule type="cellIs" dxfId="12" priority="10" operator="equal">
      <formula>#N/A</formula>
    </cfRule>
  </conditionalFormatting>
  <conditionalFormatting sqref="DH2:DI2">
    <cfRule type="cellIs" dxfId="11" priority="9" operator="equal">
      <formula>#N/A</formula>
    </cfRule>
  </conditionalFormatting>
  <conditionalFormatting sqref="I1:I2">
    <cfRule type="cellIs" dxfId="10" priority="8" operator="equal">
      <formula>#N/A</formula>
    </cfRule>
  </conditionalFormatting>
  <conditionalFormatting sqref="H1">
    <cfRule type="cellIs" dxfId="9" priority="7" operator="equal">
      <formula>#N/A</formula>
    </cfRule>
  </conditionalFormatting>
  <conditionalFormatting sqref="E1">
    <cfRule type="cellIs" dxfId="8" priority="6" operator="equal">
      <formula>#N/A</formula>
    </cfRule>
  </conditionalFormatting>
  <conditionalFormatting sqref="I1">
    <cfRule type="containsText" dxfId="7" priority="4" operator="containsText" text="All Data Import Successfully">
      <formula>NOT(ISERROR(SEARCH("All Data Import Successfully",I1)))</formula>
    </cfRule>
    <cfRule type="containsText" dxfId="6" priority="5" operator="containsText" text="Difference Entry">
      <formula>NOT(ISERROR(SEARCH("Difference Entry",I1)))</formula>
    </cfRule>
  </conditionalFormatting>
  <conditionalFormatting sqref="E2:G2">
    <cfRule type="cellIs" dxfId="5" priority="3" operator="equal">
      <formula>#N/A</formula>
    </cfRule>
  </conditionalFormatting>
  <conditionalFormatting sqref="H2">
    <cfRule type="cellIs" dxfId="4" priority="2" operator="equal">
      <formula>#N/A</formula>
    </cfRule>
  </conditionalFormatting>
  <conditionalFormatting sqref="I2">
    <cfRule type="cellIs" dxfId="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12">
    <tabColor theme="9" tint="0.59999389629810485"/>
  </sheetPr>
  <dimension ref="A1:EE67"/>
  <sheetViews>
    <sheetView tabSelected="1" workbookViewId="0">
      <selection activeCell="N20" sqref="N20"/>
    </sheetView>
  </sheetViews>
  <sheetFormatPr defaultRowHeight="15"/>
  <cols>
    <col min="5" max="5" width="6.85546875" customWidth="1"/>
    <col min="6" max="6" width="19" customWidth="1"/>
    <col min="7" max="7" width="6.85546875" customWidth="1"/>
    <col min="9" max="9" width="22.7109375" style="130" bestFit="1" customWidth="1"/>
    <col min="10" max="10" width="9.140625" style="130"/>
    <col min="11" max="11" width="19.85546875" style="130" bestFit="1" customWidth="1"/>
    <col min="12" max="12" width="21.140625" customWidth="1"/>
    <col min="13" max="13" width="19.28515625" customWidth="1"/>
    <col min="14" max="14" width="27.42578125" customWidth="1"/>
    <col min="15" max="15" width="27" customWidth="1"/>
  </cols>
  <sheetData>
    <row r="1" spans="1:135" ht="22.5">
      <c r="N1" s="290" t="s">
        <v>412</v>
      </c>
      <c r="O1" s="291"/>
    </row>
    <row r="2" spans="1:135">
      <c r="M2" s="178"/>
      <c r="N2" s="246"/>
      <c r="O2" s="247"/>
      <c r="BA2" t="s">
        <v>174</v>
      </c>
    </row>
    <row r="3" spans="1:135" ht="15.75" thickBot="1">
      <c r="N3" s="246"/>
      <c r="O3" s="247"/>
      <c r="BA3" t="s">
        <v>175</v>
      </c>
    </row>
    <row r="4" spans="1:135">
      <c r="E4" s="252"/>
      <c r="F4" s="253"/>
      <c r="G4" s="254"/>
      <c r="N4" s="246"/>
      <c r="O4" s="248"/>
      <c r="BA4" t="s">
        <v>176</v>
      </c>
    </row>
    <row r="5" spans="1:135">
      <c r="A5" s="6"/>
      <c r="B5" s="6"/>
      <c r="C5" s="6"/>
      <c r="D5" s="6"/>
      <c r="E5" s="255"/>
      <c r="F5" s="256"/>
      <c r="G5" s="257"/>
      <c r="H5" s="6"/>
      <c r="I5" s="5"/>
      <c r="J5" s="5"/>
      <c r="K5" s="5"/>
      <c r="L5" s="6"/>
      <c r="M5" s="6"/>
      <c r="N5" s="246"/>
      <c r="O5" s="247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 t="s">
        <v>177</v>
      </c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</row>
    <row r="6" spans="1:135">
      <c r="A6" s="6"/>
      <c r="B6" s="6"/>
      <c r="C6" s="6"/>
      <c r="D6" s="6"/>
      <c r="E6" s="255"/>
      <c r="F6" s="256"/>
      <c r="G6" s="257"/>
      <c r="H6" s="6"/>
      <c r="I6" s="5"/>
      <c r="J6" s="5"/>
      <c r="K6" s="5"/>
      <c r="L6" s="6"/>
      <c r="M6" s="6"/>
      <c r="N6" s="249" t="s">
        <v>400</v>
      </c>
      <c r="O6" s="250">
        <v>29505</v>
      </c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</row>
    <row r="7" spans="1:135">
      <c r="A7" s="6"/>
      <c r="B7" s="6"/>
      <c r="C7" s="6"/>
      <c r="D7" s="6"/>
      <c r="E7" s="255"/>
      <c r="F7" s="256"/>
      <c r="G7" s="257"/>
      <c r="H7" s="6"/>
      <c r="I7" s="5"/>
      <c r="J7" s="5"/>
      <c r="K7" s="5"/>
      <c r="L7" s="6" t="s">
        <v>398</v>
      </c>
      <c r="M7" s="6" t="b">
        <v>1</v>
      </c>
      <c r="N7" s="249" t="s">
        <v>401</v>
      </c>
      <c r="O7" s="250" t="s">
        <v>410</v>
      </c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</row>
    <row r="8" spans="1:135">
      <c r="A8" s="6"/>
      <c r="B8" s="6"/>
      <c r="C8" s="6"/>
      <c r="D8" s="6"/>
      <c r="E8" s="255"/>
      <c r="F8" s="256"/>
      <c r="G8" s="257"/>
      <c r="H8" s="6"/>
      <c r="I8" s="5"/>
      <c r="J8" s="5"/>
      <c r="K8" s="5"/>
      <c r="L8" s="6" t="s">
        <v>399</v>
      </c>
      <c r="M8" s="6" t="b">
        <v>1</v>
      </c>
      <c r="N8" s="249" t="s">
        <v>402</v>
      </c>
      <c r="O8" s="250">
        <v>9173555942</v>
      </c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</row>
    <row r="9" spans="1:135">
      <c r="A9" s="6"/>
      <c r="B9" s="6"/>
      <c r="C9" s="6"/>
      <c r="D9" s="6"/>
      <c r="E9" s="255"/>
      <c r="F9" s="256"/>
      <c r="G9" s="257"/>
      <c r="H9" s="6"/>
      <c r="I9" s="5"/>
      <c r="J9" s="5"/>
      <c r="K9" s="5"/>
      <c r="L9" s="6" t="s">
        <v>344</v>
      </c>
      <c r="M9" s="6" t="b">
        <v>0</v>
      </c>
      <c r="N9" s="249" t="s">
        <v>403</v>
      </c>
      <c r="O9" s="251" t="s">
        <v>416</v>
      </c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</row>
    <row r="10" spans="1:135">
      <c r="A10" s="6"/>
      <c r="B10" s="6"/>
      <c r="C10" s="6"/>
      <c r="D10" s="6"/>
      <c r="E10" s="255"/>
      <c r="F10" s="256"/>
      <c r="G10" s="257"/>
      <c r="H10" s="6"/>
      <c r="I10" s="5"/>
      <c r="J10" s="5"/>
      <c r="K10" s="5"/>
      <c r="L10" s="6" t="s">
        <v>345</v>
      </c>
      <c r="M10" s="6" t="b">
        <v>0</v>
      </c>
      <c r="N10" s="249" t="s">
        <v>404</v>
      </c>
      <c r="O10" s="250" t="s">
        <v>417</v>
      </c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</row>
    <row r="11" spans="1:135">
      <c r="A11" s="6"/>
      <c r="B11" s="6"/>
      <c r="C11" s="6"/>
      <c r="D11" s="6"/>
      <c r="E11" s="255"/>
      <c r="F11" s="256"/>
      <c r="G11" s="257"/>
      <c r="H11" s="6"/>
      <c r="I11" s="5"/>
      <c r="J11" s="5"/>
      <c r="K11" s="5"/>
      <c r="L11" s="6" t="s">
        <v>346</v>
      </c>
      <c r="M11" s="6" t="b">
        <v>0</v>
      </c>
      <c r="N11" s="249" t="s">
        <v>405</v>
      </c>
      <c r="O11" s="251">
        <v>45573</v>
      </c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</row>
    <row r="12" spans="1:135">
      <c r="A12" s="6"/>
      <c r="B12" s="6"/>
      <c r="C12" s="6"/>
      <c r="D12" s="6"/>
      <c r="E12" s="255"/>
      <c r="F12" s="256"/>
      <c r="G12" s="257"/>
      <c r="H12" s="6"/>
      <c r="I12" s="5"/>
      <c r="J12" s="5"/>
      <c r="K12" s="5"/>
      <c r="L12" s="6" t="s">
        <v>347</v>
      </c>
      <c r="M12" s="6" t="b">
        <v>0</v>
      </c>
      <c r="N12" s="249" t="s">
        <v>406</v>
      </c>
      <c r="O12" s="251">
        <v>45809</v>
      </c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</row>
    <row r="13" spans="1:135">
      <c r="A13" s="6"/>
      <c r="B13" s="6"/>
      <c r="C13" s="6"/>
      <c r="D13" s="6"/>
      <c r="E13" s="255"/>
      <c r="F13" s="256"/>
      <c r="G13" s="257"/>
      <c r="H13" s="6"/>
      <c r="I13" s="5"/>
      <c r="J13" s="5"/>
      <c r="K13" s="5"/>
      <c r="L13" s="6" t="s">
        <v>348</v>
      </c>
      <c r="M13" s="6" t="b">
        <v>0</v>
      </c>
      <c r="N13" s="249" t="s">
        <v>408</v>
      </c>
      <c r="O13" s="251" t="s">
        <v>411</v>
      </c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</row>
    <row r="14" spans="1:135">
      <c r="A14" s="6"/>
      <c r="B14" s="6"/>
      <c r="C14" s="6"/>
      <c r="D14" s="6"/>
      <c r="E14" s="255"/>
      <c r="F14" s="256"/>
      <c r="G14" s="257"/>
      <c r="H14" s="6"/>
      <c r="I14" s="5"/>
      <c r="J14" s="5"/>
      <c r="K14" s="5"/>
      <c r="L14" s="6" t="s">
        <v>349</v>
      </c>
      <c r="M14" s="6" t="b">
        <v>0</v>
      </c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  <c r="EA14" s="6"/>
      <c r="EB14" s="6"/>
      <c r="EC14" s="6"/>
      <c r="ED14" s="6"/>
      <c r="EE14" s="6"/>
    </row>
    <row r="15" spans="1:135">
      <c r="A15" s="6"/>
      <c r="B15" s="6"/>
      <c r="C15" s="6"/>
      <c r="D15" s="6"/>
      <c r="E15" s="255"/>
      <c r="F15" s="256"/>
      <c r="G15" s="257"/>
      <c r="H15" s="6"/>
      <c r="I15" s="5"/>
      <c r="J15" s="5"/>
      <c r="K15" s="5"/>
      <c r="L15" s="6" t="s">
        <v>350</v>
      </c>
      <c r="M15" s="6" t="b">
        <v>0</v>
      </c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  <c r="EA15" s="6"/>
      <c r="EB15" s="6"/>
      <c r="EC15" s="6"/>
      <c r="ED15" s="6"/>
      <c r="EE15" s="6"/>
    </row>
    <row r="16" spans="1:135">
      <c r="A16" s="6"/>
      <c r="B16" s="6"/>
      <c r="C16" s="6"/>
      <c r="D16" s="6"/>
      <c r="E16" s="255"/>
      <c r="F16" s="256"/>
      <c r="G16" s="257"/>
      <c r="H16" s="6"/>
      <c r="I16" s="5"/>
      <c r="J16" s="5"/>
      <c r="K16" s="5"/>
      <c r="L16" s="6" t="s">
        <v>351</v>
      </c>
      <c r="M16" s="6" t="b">
        <v>0</v>
      </c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  <c r="EA16" s="6"/>
      <c r="EB16" s="6"/>
      <c r="EC16" s="6"/>
      <c r="ED16" s="6"/>
      <c r="EE16" s="6"/>
    </row>
    <row r="17" spans="1:135">
      <c r="A17" s="6"/>
      <c r="B17" s="6"/>
      <c r="C17" s="6"/>
      <c r="D17" s="6"/>
      <c r="E17" s="255"/>
      <c r="F17" s="256"/>
      <c r="G17" s="257"/>
      <c r="H17" s="6"/>
      <c r="I17" s="5"/>
      <c r="J17" s="5"/>
      <c r="K17" s="5"/>
      <c r="L17" s="6" t="s">
        <v>352</v>
      </c>
      <c r="M17" s="6" t="b">
        <v>0</v>
      </c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</row>
    <row r="18" spans="1:135">
      <c r="A18" s="6"/>
      <c r="B18" s="6"/>
      <c r="C18" s="6"/>
      <c r="D18" s="6"/>
      <c r="E18" s="255"/>
      <c r="F18" s="256"/>
      <c r="G18" s="257"/>
      <c r="H18" s="6"/>
      <c r="I18" s="5"/>
      <c r="J18" s="5"/>
      <c r="K18" s="5"/>
      <c r="L18" s="6" t="s">
        <v>353</v>
      </c>
      <c r="M18" s="6" t="b">
        <v>0</v>
      </c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</row>
    <row r="19" spans="1:135">
      <c r="A19" s="6"/>
      <c r="B19" s="6"/>
      <c r="C19" s="6"/>
      <c r="D19" s="6"/>
      <c r="E19" s="255"/>
      <c r="F19" s="256"/>
      <c r="G19" s="257"/>
      <c r="H19" s="6"/>
      <c r="I19" s="5"/>
      <c r="J19" s="5"/>
      <c r="K19" s="5"/>
      <c r="L19" s="6" t="s">
        <v>354</v>
      </c>
      <c r="M19" s="6" t="b">
        <v>0</v>
      </c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  <c r="EA19" s="6"/>
      <c r="EB19" s="6"/>
      <c r="EC19" s="6"/>
      <c r="ED19" s="6"/>
      <c r="EE19" s="6"/>
    </row>
    <row r="20" spans="1:135">
      <c r="A20" s="6"/>
      <c r="B20" s="6"/>
      <c r="C20" s="6"/>
      <c r="D20" s="6"/>
      <c r="E20" s="255"/>
      <c r="F20" s="256"/>
      <c r="G20" s="257"/>
      <c r="H20" s="6"/>
      <c r="I20" s="5"/>
      <c r="J20" s="5"/>
      <c r="K20" s="5"/>
      <c r="L20" s="6" t="s">
        <v>355</v>
      </c>
      <c r="M20" s="6" t="b">
        <v>0</v>
      </c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  <c r="EA20" s="6"/>
      <c r="EB20" s="6"/>
      <c r="EC20" s="6"/>
      <c r="ED20" s="6"/>
      <c r="EE20" s="6"/>
    </row>
    <row r="21" spans="1:135">
      <c r="A21" s="6"/>
      <c r="B21" s="6"/>
      <c r="C21" s="6"/>
      <c r="D21" s="6"/>
      <c r="E21" s="255"/>
      <c r="F21" s="256"/>
      <c r="G21" s="257"/>
      <c r="H21" s="6"/>
      <c r="I21" s="5"/>
      <c r="J21" s="5"/>
      <c r="K21" s="5"/>
      <c r="L21" s="6" t="s">
        <v>356</v>
      </c>
      <c r="M21" s="6" t="b">
        <v>0</v>
      </c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  <c r="EA21" s="6"/>
      <c r="EB21" s="6"/>
      <c r="EC21" s="6"/>
      <c r="ED21" s="6"/>
      <c r="EE21" s="6"/>
    </row>
    <row r="22" spans="1:135">
      <c r="A22" s="6"/>
      <c r="B22" s="6"/>
      <c r="C22" s="6"/>
      <c r="D22" s="6"/>
      <c r="E22" s="255"/>
      <c r="F22" s="256"/>
      <c r="G22" s="257"/>
      <c r="H22" s="6"/>
      <c r="I22" s="5"/>
      <c r="J22" s="5"/>
      <c r="K22" s="5"/>
      <c r="L22" s="6" t="s">
        <v>357</v>
      </c>
      <c r="M22" s="6" t="b">
        <v>0</v>
      </c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</row>
    <row r="23" spans="1:135">
      <c r="A23" s="6"/>
      <c r="B23" s="6"/>
      <c r="C23" s="6"/>
      <c r="D23" s="6"/>
      <c r="E23" s="255"/>
      <c r="F23" s="256"/>
      <c r="G23" s="257"/>
      <c r="H23" s="6"/>
      <c r="I23" s="5"/>
      <c r="J23" s="5"/>
      <c r="K23" s="5"/>
      <c r="L23" s="6" t="s">
        <v>358</v>
      </c>
      <c r="M23" s="6" t="b">
        <v>0</v>
      </c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</row>
    <row r="24" spans="1:135">
      <c r="A24" s="6"/>
      <c r="B24" s="6"/>
      <c r="C24" s="6"/>
      <c r="D24" s="6"/>
      <c r="E24" s="255"/>
      <c r="F24" s="256"/>
      <c r="G24" s="257"/>
      <c r="H24" s="6"/>
      <c r="I24" s="5"/>
      <c r="J24" s="5"/>
      <c r="K24" s="5"/>
      <c r="L24" s="6" t="s">
        <v>359</v>
      </c>
      <c r="M24" s="6" t="b">
        <v>0</v>
      </c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</row>
    <row r="25" spans="1:135">
      <c r="A25" s="6"/>
      <c r="B25" s="6"/>
      <c r="C25" s="6"/>
      <c r="D25" s="6"/>
      <c r="E25" s="255"/>
      <c r="F25" s="256"/>
      <c r="G25" s="257"/>
      <c r="H25" s="6"/>
      <c r="I25" s="5"/>
      <c r="J25" s="5"/>
      <c r="K25" s="5"/>
      <c r="L25" s="6" t="s">
        <v>361</v>
      </c>
      <c r="M25" s="6" t="b">
        <v>0</v>
      </c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</row>
    <row r="26" spans="1:135">
      <c r="A26" s="6"/>
      <c r="B26" s="6"/>
      <c r="C26" s="6"/>
      <c r="D26" s="6"/>
      <c r="E26" s="255"/>
      <c r="F26" s="256"/>
      <c r="G26" s="257"/>
      <c r="H26" s="6"/>
      <c r="I26" s="5"/>
      <c r="J26" s="5"/>
      <c r="K26" s="5"/>
      <c r="L26" s="6" t="s">
        <v>362</v>
      </c>
      <c r="M26" s="6" t="b">
        <v>0</v>
      </c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</row>
    <row r="27" spans="1:135">
      <c r="A27" s="6"/>
      <c r="B27" s="6"/>
      <c r="C27" s="6"/>
      <c r="D27" s="6"/>
      <c r="E27" s="255"/>
      <c r="F27" s="256"/>
      <c r="G27" s="257"/>
      <c r="H27" s="6"/>
      <c r="I27" s="5"/>
      <c r="J27" s="5"/>
      <c r="K27" s="5"/>
      <c r="L27" s="6" t="s">
        <v>363</v>
      </c>
      <c r="M27" s="6" t="b">
        <v>0</v>
      </c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</row>
    <row r="28" spans="1:135">
      <c r="A28" s="6"/>
      <c r="B28" s="6"/>
      <c r="C28" s="6"/>
      <c r="D28" s="6"/>
      <c r="E28" s="255"/>
      <c r="F28" s="256"/>
      <c r="G28" s="257"/>
      <c r="H28" s="6"/>
      <c r="I28" s="5"/>
      <c r="J28" s="5"/>
      <c r="K28" s="5"/>
      <c r="L28" s="6" t="s">
        <v>364</v>
      </c>
      <c r="M28" s="6" t="b">
        <v>0</v>
      </c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</row>
    <row r="29" spans="1:135">
      <c r="A29" s="6"/>
      <c r="B29" s="6"/>
      <c r="C29" s="6"/>
      <c r="D29" s="6"/>
      <c r="E29" s="255"/>
      <c r="F29" s="256"/>
      <c r="G29" s="257"/>
      <c r="H29" s="6"/>
      <c r="I29" s="5"/>
      <c r="J29" s="5"/>
      <c r="K29" s="5"/>
      <c r="L29" s="6" t="s">
        <v>360</v>
      </c>
      <c r="M29" s="6" t="b">
        <v>0</v>
      </c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</row>
    <row r="30" spans="1:135">
      <c r="A30" s="6"/>
      <c r="B30" s="6"/>
      <c r="C30" s="6"/>
      <c r="D30" s="6"/>
      <c r="E30" s="255"/>
      <c r="F30" s="256"/>
      <c r="G30" s="257"/>
      <c r="H30" s="6"/>
      <c r="I30" s="5"/>
      <c r="J30" s="5"/>
      <c r="K30" s="5"/>
      <c r="L30" s="6" t="s">
        <v>415</v>
      </c>
      <c r="M30" s="6" t="b">
        <v>0</v>
      </c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  <c r="EA30" s="6"/>
      <c r="EB30" s="6"/>
      <c r="EC30" s="6"/>
      <c r="ED30" s="6"/>
      <c r="EE30" s="6"/>
    </row>
    <row r="31" spans="1:135">
      <c r="A31" s="6"/>
      <c r="B31" s="6"/>
      <c r="C31" s="6"/>
      <c r="D31" s="6"/>
      <c r="E31" s="255"/>
      <c r="F31" s="256"/>
      <c r="G31" s="257"/>
      <c r="H31" s="6"/>
      <c r="I31" s="5"/>
      <c r="J31" s="5"/>
      <c r="K31" s="5"/>
      <c r="L31" s="6" t="s">
        <v>365</v>
      </c>
      <c r="M31" s="6" t="b">
        <v>1</v>
      </c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</row>
    <row r="32" spans="1:135">
      <c r="A32" s="6"/>
      <c r="B32" s="6"/>
      <c r="C32" s="6"/>
      <c r="D32" s="6"/>
      <c r="E32" s="255"/>
      <c r="F32" s="256"/>
      <c r="G32" s="257"/>
      <c r="H32" s="6"/>
      <c r="I32" s="5"/>
      <c r="J32" s="5"/>
      <c r="K32" s="5"/>
      <c r="L32" s="6" t="s">
        <v>366</v>
      </c>
      <c r="M32" s="6" t="b">
        <v>0</v>
      </c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</row>
    <row r="33" spans="1:135">
      <c r="A33" s="6"/>
      <c r="B33" s="6"/>
      <c r="C33" s="6"/>
      <c r="D33" s="6"/>
      <c r="E33" s="255"/>
      <c r="F33" s="256"/>
      <c r="G33" s="257"/>
      <c r="H33" s="6"/>
      <c r="I33" s="5"/>
      <c r="J33" s="5"/>
      <c r="K33" s="5"/>
      <c r="L33" s="6" t="s">
        <v>367</v>
      </c>
      <c r="M33" s="6" t="b">
        <v>0</v>
      </c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</row>
    <row r="34" spans="1:135">
      <c r="A34" s="6"/>
      <c r="B34" s="6"/>
      <c r="C34" s="6"/>
      <c r="D34" s="6"/>
      <c r="E34" s="255"/>
      <c r="F34" s="256"/>
      <c r="G34" s="257"/>
      <c r="H34" s="6"/>
      <c r="I34" s="5"/>
      <c r="J34" s="5"/>
      <c r="K34" s="5"/>
      <c r="L34" s="6" t="s">
        <v>368</v>
      </c>
      <c r="M34" s="6" t="b">
        <v>0</v>
      </c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  <c r="EA34" s="6"/>
      <c r="EB34" s="6"/>
      <c r="EC34" s="6"/>
      <c r="ED34" s="6"/>
      <c r="EE34" s="6"/>
    </row>
    <row r="35" spans="1:135">
      <c r="A35" s="6"/>
      <c r="B35" s="6"/>
      <c r="C35" s="6"/>
      <c r="D35" s="6"/>
      <c r="E35" s="255"/>
      <c r="F35" s="256"/>
      <c r="G35" s="257"/>
      <c r="H35" s="6"/>
      <c r="I35" s="5"/>
      <c r="J35" s="5"/>
      <c r="K35" s="5"/>
      <c r="L35" s="6" t="s">
        <v>369</v>
      </c>
      <c r="M35" s="6" t="b">
        <v>0</v>
      </c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  <c r="EA35" s="6"/>
      <c r="EB35" s="6"/>
      <c r="EC35" s="6"/>
      <c r="ED35" s="6"/>
      <c r="EE35" s="6"/>
    </row>
    <row r="36" spans="1:135">
      <c r="A36" s="6"/>
      <c r="B36" s="6"/>
      <c r="C36" s="6"/>
      <c r="D36" s="6"/>
      <c r="E36" s="255"/>
      <c r="F36" s="256"/>
      <c r="G36" s="257"/>
      <c r="H36" s="6"/>
      <c r="I36" s="5"/>
      <c r="J36" s="5"/>
      <c r="K36" s="5"/>
      <c r="L36" s="6" t="s">
        <v>370</v>
      </c>
      <c r="M36" s="6" t="b">
        <v>0</v>
      </c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</row>
    <row r="37" spans="1:135">
      <c r="A37" s="6"/>
      <c r="B37" s="6"/>
      <c r="C37" s="6"/>
      <c r="D37" s="6"/>
      <c r="E37" s="255"/>
      <c r="F37" s="256"/>
      <c r="G37" s="257"/>
      <c r="H37" s="6"/>
      <c r="I37" s="5"/>
      <c r="J37" s="5"/>
      <c r="K37" s="5"/>
      <c r="L37" s="6" t="s">
        <v>371</v>
      </c>
      <c r="M37" s="6" t="b">
        <v>0</v>
      </c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  <c r="EA37" s="6"/>
      <c r="EB37" s="6"/>
      <c r="EC37" s="6"/>
      <c r="ED37" s="6"/>
      <c r="EE37" s="6"/>
    </row>
    <row r="38" spans="1:135">
      <c r="A38" s="6"/>
      <c r="B38" s="6"/>
      <c r="C38" s="6"/>
      <c r="D38" s="6"/>
      <c r="E38" s="255"/>
      <c r="F38" s="256"/>
      <c r="G38" s="257"/>
      <c r="H38" s="6"/>
      <c r="I38" s="5"/>
      <c r="J38" s="5"/>
      <c r="K38" s="5"/>
      <c r="L38" s="6" t="s">
        <v>372</v>
      </c>
      <c r="M38" s="6" t="b">
        <v>1</v>
      </c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  <c r="EA38" s="6"/>
      <c r="EB38" s="6"/>
      <c r="EC38" s="6"/>
      <c r="ED38" s="6"/>
      <c r="EE38" s="6"/>
    </row>
    <row r="39" spans="1:135">
      <c r="A39" s="6"/>
      <c r="B39" s="6"/>
      <c r="C39" s="6"/>
      <c r="D39" s="6"/>
      <c r="E39" s="255"/>
      <c r="F39" s="256"/>
      <c r="G39" s="257"/>
      <c r="H39" s="6"/>
      <c r="I39" s="5"/>
      <c r="J39" s="5"/>
      <c r="K39" s="5"/>
      <c r="L39" s="6" t="s">
        <v>373</v>
      </c>
      <c r="M39" s="6" t="b">
        <v>0</v>
      </c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  <c r="EA39" s="6"/>
      <c r="EB39" s="6"/>
      <c r="EC39" s="6"/>
      <c r="ED39" s="6"/>
      <c r="EE39" s="6"/>
    </row>
    <row r="40" spans="1:135">
      <c r="A40" s="6"/>
      <c r="B40" s="6"/>
      <c r="C40" s="6"/>
      <c r="D40" s="6"/>
      <c r="E40" s="255"/>
      <c r="F40" s="256"/>
      <c r="G40" s="257"/>
      <c r="H40" s="6"/>
      <c r="I40" s="5"/>
      <c r="J40" s="5"/>
      <c r="K40" s="5"/>
      <c r="L40" s="6" t="s">
        <v>374</v>
      </c>
      <c r="M40" s="6" t="b">
        <v>0</v>
      </c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  <c r="EA40" s="6"/>
      <c r="EB40" s="6"/>
      <c r="EC40" s="6"/>
      <c r="ED40" s="6"/>
      <c r="EE40" s="6"/>
    </row>
    <row r="41" spans="1:135">
      <c r="A41" s="6"/>
      <c r="B41" s="6"/>
      <c r="C41" s="6"/>
      <c r="D41" s="6"/>
      <c r="E41" s="255"/>
      <c r="F41" s="256"/>
      <c r="G41" s="257"/>
      <c r="H41" s="6"/>
      <c r="I41" s="5"/>
      <c r="J41" s="5"/>
      <c r="K41" s="5"/>
      <c r="L41" s="6" t="s">
        <v>375</v>
      </c>
      <c r="M41" s="6" t="b">
        <v>1</v>
      </c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  <c r="EA41" s="6"/>
      <c r="EB41" s="6"/>
      <c r="EC41" s="6"/>
      <c r="ED41" s="6"/>
      <c r="EE41" s="6"/>
    </row>
    <row r="42" spans="1:135">
      <c r="A42" s="6"/>
      <c r="B42" s="6"/>
      <c r="C42" s="6"/>
      <c r="D42" s="6"/>
      <c r="E42" s="255"/>
      <c r="F42" s="256"/>
      <c r="G42" s="257"/>
      <c r="H42" s="6"/>
      <c r="I42" s="5"/>
      <c r="J42" s="5"/>
      <c r="K42" s="5"/>
      <c r="L42" s="6" t="s">
        <v>376</v>
      </c>
      <c r="M42" s="6" t="b">
        <v>0</v>
      </c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</row>
    <row r="43" spans="1:135">
      <c r="A43" s="6"/>
      <c r="B43" s="6"/>
      <c r="C43" s="6"/>
      <c r="D43" s="6"/>
      <c r="E43" s="255"/>
      <c r="F43" s="256"/>
      <c r="G43" s="257"/>
      <c r="H43" s="6"/>
      <c r="I43" s="5"/>
      <c r="J43" s="5"/>
      <c r="K43" s="5"/>
      <c r="L43" s="6" t="s">
        <v>377</v>
      </c>
      <c r="M43" s="6" t="b">
        <v>0</v>
      </c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</row>
    <row r="44" spans="1:135">
      <c r="A44" s="6"/>
      <c r="B44" s="6"/>
      <c r="C44" s="6"/>
      <c r="D44" s="6"/>
      <c r="E44" s="255"/>
      <c r="F44" s="256"/>
      <c r="G44" s="257"/>
      <c r="H44" s="6"/>
      <c r="I44" s="5"/>
      <c r="J44" s="5"/>
      <c r="K44" s="5"/>
      <c r="L44" s="6" t="s">
        <v>378</v>
      </c>
      <c r="M44" s="6" t="b">
        <v>0</v>
      </c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  <c r="EA44" s="6"/>
      <c r="EB44" s="6"/>
      <c r="EC44" s="6"/>
      <c r="ED44" s="6"/>
      <c r="EE44" s="6"/>
    </row>
    <row r="45" spans="1:135">
      <c r="A45" s="6"/>
      <c r="B45" s="6"/>
      <c r="C45" s="6"/>
      <c r="D45" s="6"/>
      <c r="E45" s="255"/>
      <c r="F45" s="256"/>
      <c r="G45" s="257"/>
      <c r="H45" s="6"/>
      <c r="I45" s="5"/>
      <c r="J45" s="5"/>
      <c r="K45" s="5"/>
      <c r="L45" s="6" t="s">
        <v>379</v>
      </c>
      <c r="M45" s="6" t="b">
        <v>0</v>
      </c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  <c r="EA45" s="6"/>
      <c r="EB45" s="6"/>
      <c r="EC45" s="6"/>
      <c r="ED45" s="6"/>
      <c r="EE45" s="6"/>
    </row>
    <row r="46" spans="1:135">
      <c r="A46" s="6"/>
      <c r="B46" s="6"/>
      <c r="C46" s="6"/>
      <c r="D46" s="6"/>
      <c r="E46" s="255"/>
      <c r="F46" s="256"/>
      <c r="G46" s="257"/>
      <c r="H46" s="6"/>
      <c r="I46" s="5"/>
      <c r="J46" s="5"/>
      <c r="K46" s="5"/>
      <c r="L46" s="6" t="s">
        <v>380</v>
      </c>
      <c r="M46" s="6" t="b">
        <v>0</v>
      </c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  <c r="EA46" s="6"/>
      <c r="EB46" s="6"/>
      <c r="EC46" s="6"/>
      <c r="ED46" s="6"/>
      <c r="EE46" s="6"/>
    </row>
    <row r="47" spans="1:135">
      <c r="A47" s="6"/>
      <c r="B47" s="6"/>
      <c r="C47" s="6"/>
      <c r="D47" s="6"/>
      <c r="E47" s="255"/>
      <c r="F47" s="256"/>
      <c r="G47" s="257"/>
      <c r="H47" s="6"/>
      <c r="I47" s="5"/>
      <c r="J47" s="5"/>
      <c r="K47" s="5"/>
      <c r="L47" s="6" t="s">
        <v>381</v>
      </c>
      <c r="M47" s="6" t="b">
        <v>0</v>
      </c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  <c r="EA47" s="6"/>
      <c r="EB47" s="6"/>
      <c r="EC47" s="6"/>
      <c r="ED47" s="6"/>
      <c r="EE47" s="6"/>
    </row>
    <row r="48" spans="1:135">
      <c r="A48" s="6"/>
      <c r="B48" s="6"/>
      <c r="C48" s="6"/>
      <c r="D48" s="6"/>
      <c r="E48" s="255"/>
      <c r="F48" s="256"/>
      <c r="G48" s="257"/>
      <c r="H48" s="6"/>
      <c r="I48" s="5"/>
      <c r="J48" s="5"/>
      <c r="K48" s="5"/>
      <c r="L48" s="6" t="s">
        <v>382</v>
      </c>
      <c r="M48" s="6" t="b">
        <v>0</v>
      </c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</row>
    <row r="49" spans="1:135">
      <c r="A49" s="6"/>
      <c r="B49" s="6"/>
      <c r="C49" s="6"/>
      <c r="D49" s="6"/>
      <c r="E49" s="255"/>
      <c r="F49" s="256"/>
      <c r="G49" s="257"/>
      <c r="H49" s="6"/>
      <c r="I49" s="5"/>
      <c r="J49" s="5"/>
      <c r="K49" s="5"/>
      <c r="L49" s="6" t="s">
        <v>383</v>
      </c>
      <c r="M49" s="6" t="b">
        <v>0</v>
      </c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6"/>
      <c r="ED49" s="6"/>
      <c r="EE49" s="6"/>
    </row>
    <row r="50" spans="1:135">
      <c r="A50" s="6"/>
      <c r="B50" s="6"/>
      <c r="C50" s="6"/>
      <c r="D50" s="6"/>
      <c r="E50" s="255"/>
      <c r="F50" s="256"/>
      <c r="G50" s="257"/>
      <c r="H50" s="6"/>
      <c r="I50" s="5"/>
      <c r="J50" s="5"/>
      <c r="K50" s="5"/>
      <c r="L50" s="6" t="s">
        <v>384</v>
      </c>
      <c r="M50" s="6" t="b">
        <v>0</v>
      </c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</row>
    <row r="51" spans="1:135">
      <c r="A51" s="6"/>
      <c r="B51" s="6"/>
      <c r="C51" s="6"/>
      <c r="D51" s="6"/>
      <c r="E51" s="255"/>
      <c r="F51" s="256"/>
      <c r="G51" s="257"/>
      <c r="H51" s="6"/>
      <c r="I51" s="5"/>
      <c r="J51" s="5"/>
      <c r="K51" s="5"/>
      <c r="L51" s="6" t="s">
        <v>385</v>
      </c>
      <c r="M51" s="6" t="b">
        <v>0</v>
      </c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  <c r="EA51" s="6"/>
      <c r="EB51" s="6"/>
      <c r="EC51" s="6"/>
      <c r="ED51" s="6"/>
      <c r="EE51" s="6"/>
    </row>
    <row r="52" spans="1:135">
      <c r="A52" s="6"/>
      <c r="B52" s="6"/>
      <c r="C52" s="6"/>
      <c r="D52" s="6"/>
      <c r="E52" s="255"/>
      <c r="F52" s="256"/>
      <c r="G52" s="257"/>
      <c r="H52" s="6"/>
      <c r="I52" s="5"/>
      <c r="J52" s="5"/>
      <c r="K52" s="5"/>
      <c r="L52" s="6" t="s">
        <v>386</v>
      </c>
      <c r="M52" s="6" t="b">
        <v>0</v>
      </c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  <c r="EA52" s="6"/>
      <c r="EB52" s="6"/>
      <c r="EC52" s="6"/>
      <c r="ED52" s="6"/>
      <c r="EE52" s="6"/>
    </row>
    <row r="53" spans="1:135">
      <c r="A53" s="6"/>
      <c r="B53" s="6"/>
      <c r="C53" s="6"/>
      <c r="D53" s="6"/>
      <c r="E53" s="255"/>
      <c r="F53" s="256"/>
      <c r="G53" s="257"/>
      <c r="H53" s="6"/>
      <c r="I53" s="5"/>
      <c r="J53" s="5"/>
      <c r="K53" s="5"/>
      <c r="L53" s="6" t="s">
        <v>387</v>
      </c>
      <c r="M53" s="6" t="b">
        <v>0</v>
      </c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  <c r="EC53" s="6"/>
      <c r="ED53" s="6"/>
      <c r="EE53" s="6"/>
    </row>
    <row r="54" spans="1:135">
      <c r="A54" s="6"/>
      <c r="B54" s="6"/>
      <c r="C54" s="6"/>
      <c r="D54" s="6"/>
      <c r="E54" s="255"/>
      <c r="F54" s="256"/>
      <c r="G54" s="257"/>
      <c r="H54" s="6"/>
      <c r="I54" s="5"/>
      <c r="J54" s="5"/>
      <c r="K54" s="5"/>
      <c r="L54" s="6" t="s">
        <v>388</v>
      </c>
      <c r="M54" s="6" t="b">
        <v>0</v>
      </c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  <c r="EC54" s="6"/>
      <c r="ED54" s="6"/>
      <c r="EE54" s="6"/>
    </row>
    <row r="55" spans="1:135">
      <c r="A55" s="6"/>
      <c r="B55" s="6"/>
      <c r="C55" s="6"/>
      <c r="D55" s="6"/>
      <c r="E55" s="255"/>
      <c r="F55" s="256"/>
      <c r="G55" s="257"/>
      <c r="H55" s="6"/>
      <c r="I55" s="5"/>
      <c r="J55" s="5"/>
      <c r="K55" s="5"/>
      <c r="L55" s="6" t="s">
        <v>389</v>
      </c>
      <c r="M55" s="6" t="b">
        <v>0</v>
      </c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  <c r="EA55" s="6"/>
      <c r="EB55" s="6"/>
      <c r="EC55" s="6"/>
      <c r="ED55" s="6"/>
      <c r="EE55" s="6"/>
    </row>
    <row r="56" spans="1:135">
      <c r="A56" s="6"/>
      <c r="B56" s="6"/>
      <c r="C56" s="6"/>
      <c r="D56" s="6"/>
      <c r="E56" s="255"/>
      <c r="F56" s="256"/>
      <c r="G56" s="257"/>
      <c r="H56" s="6"/>
      <c r="I56" s="5"/>
      <c r="J56" s="5"/>
      <c r="K56" s="5"/>
      <c r="L56" s="6" t="s">
        <v>390</v>
      </c>
      <c r="M56" s="6" t="b">
        <v>0</v>
      </c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  <c r="EA56" s="6"/>
      <c r="EB56" s="6"/>
      <c r="EC56" s="6"/>
      <c r="ED56" s="6"/>
      <c r="EE56" s="6"/>
    </row>
    <row r="57" spans="1:135">
      <c r="A57" s="6"/>
      <c r="B57" s="6"/>
      <c r="C57" s="6"/>
      <c r="D57" s="6"/>
      <c r="E57" s="255"/>
      <c r="F57" s="256"/>
      <c r="G57" s="257"/>
      <c r="H57" s="6"/>
      <c r="I57" s="5"/>
      <c r="J57" s="5"/>
      <c r="K57" s="5"/>
      <c r="L57" s="6" t="s">
        <v>391</v>
      </c>
      <c r="M57" s="6" t="b">
        <v>0</v>
      </c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  <c r="DH57" s="6"/>
      <c r="DI57" s="6"/>
      <c r="DJ57" s="6"/>
      <c r="DK57" s="6"/>
      <c r="DL57" s="6"/>
      <c r="DM57" s="6"/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  <c r="EC57" s="6"/>
      <c r="ED57" s="6"/>
      <c r="EE57" s="6"/>
    </row>
    <row r="58" spans="1:135">
      <c r="A58" s="6"/>
      <c r="B58" s="6"/>
      <c r="C58" s="6"/>
      <c r="D58" s="6"/>
      <c r="E58" s="255"/>
      <c r="F58" s="256"/>
      <c r="G58" s="257"/>
      <c r="H58" s="6"/>
      <c r="I58" s="5"/>
      <c r="J58" s="5"/>
      <c r="K58" s="5"/>
      <c r="L58" s="6" t="s">
        <v>392</v>
      </c>
      <c r="M58" s="6" t="b">
        <v>0</v>
      </c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  <c r="DG58" s="6"/>
      <c r="DH58" s="6"/>
      <c r="DI58" s="6"/>
      <c r="DJ58" s="6"/>
      <c r="DK58" s="6"/>
      <c r="DL58" s="6"/>
      <c r="DM58" s="6"/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  <c r="EC58" s="6"/>
      <c r="ED58" s="6"/>
      <c r="EE58" s="6"/>
    </row>
    <row r="59" spans="1:135">
      <c r="A59" s="6"/>
      <c r="B59" s="6"/>
      <c r="C59" s="6"/>
      <c r="D59" s="6"/>
      <c r="E59" s="255"/>
      <c r="F59" s="256"/>
      <c r="G59" s="257"/>
      <c r="H59" s="6"/>
      <c r="I59" s="5"/>
      <c r="J59" s="5"/>
      <c r="K59" s="5"/>
      <c r="L59" s="6" t="s">
        <v>393</v>
      </c>
      <c r="M59" s="6" t="b">
        <v>0</v>
      </c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6"/>
      <c r="CV59" s="6"/>
      <c r="CW59" s="6"/>
      <c r="CX59" s="6"/>
      <c r="CY59" s="6"/>
      <c r="CZ59" s="6"/>
      <c r="DA59" s="6"/>
      <c r="DB59" s="6"/>
      <c r="DC59" s="6"/>
      <c r="DD59" s="6"/>
      <c r="DE59" s="6"/>
      <c r="DF59" s="6"/>
      <c r="DG59" s="6"/>
      <c r="DH59" s="6"/>
      <c r="DI59" s="6"/>
      <c r="DJ59" s="6"/>
      <c r="DK59" s="6"/>
      <c r="DL59" s="6"/>
      <c r="DM59" s="6"/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  <c r="EC59" s="6"/>
      <c r="ED59" s="6"/>
      <c r="EE59" s="6"/>
    </row>
    <row r="60" spans="1:135">
      <c r="A60" s="6"/>
      <c r="B60" s="6"/>
      <c r="C60" s="6"/>
      <c r="D60" s="6"/>
      <c r="E60" s="255"/>
      <c r="F60" s="256"/>
      <c r="G60" s="257"/>
      <c r="H60" s="6"/>
      <c r="I60" s="5"/>
      <c r="J60" s="5"/>
      <c r="K60" s="5"/>
      <c r="L60" s="6" t="s">
        <v>394</v>
      </c>
      <c r="M60" s="6" t="b">
        <v>0</v>
      </c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6"/>
      <c r="CV60" s="6"/>
      <c r="CW60" s="6"/>
      <c r="CX60" s="6"/>
      <c r="CY60" s="6"/>
      <c r="CZ60" s="6"/>
      <c r="DA60" s="6"/>
      <c r="DB60" s="6"/>
      <c r="DC60" s="6"/>
      <c r="DD60" s="6"/>
      <c r="DE60" s="6"/>
      <c r="DF60" s="6"/>
      <c r="DG60" s="6"/>
      <c r="DH60" s="6"/>
      <c r="DI60" s="6"/>
      <c r="DJ60" s="6"/>
      <c r="DK60" s="6"/>
      <c r="DL60" s="6"/>
      <c r="DM60" s="6"/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  <c r="EC60" s="6"/>
      <c r="ED60" s="6"/>
      <c r="EE60" s="6"/>
    </row>
    <row r="61" spans="1:135">
      <c r="A61" s="6"/>
      <c r="B61" s="6"/>
      <c r="C61" s="6"/>
      <c r="D61" s="6"/>
      <c r="E61" s="255"/>
      <c r="F61" s="256"/>
      <c r="G61" s="257"/>
      <c r="H61" s="6"/>
      <c r="I61" s="5"/>
      <c r="J61" s="5"/>
      <c r="K61" s="5"/>
      <c r="L61" s="6" t="s">
        <v>395</v>
      </c>
      <c r="M61" s="6" t="b">
        <v>0</v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6"/>
      <c r="CV61" s="6"/>
      <c r="CW61" s="6"/>
      <c r="CX61" s="6"/>
      <c r="CY61" s="6"/>
      <c r="CZ61" s="6"/>
      <c r="DA61" s="6"/>
      <c r="DB61" s="6"/>
      <c r="DC61" s="6"/>
      <c r="DD61" s="6"/>
      <c r="DE61" s="6"/>
      <c r="DF61" s="6"/>
      <c r="DG61" s="6"/>
      <c r="DH61" s="6"/>
      <c r="DI61" s="6"/>
      <c r="DJ61" s="6"/>
      <c r="DK61" s="6"/>
      <c r="DL61" s="6"/>
      <c r="DM61" s="6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  <c r="EC61" s="6"/>
      <c r="ED61" s="6"/>
      <c r="EE61" s="6"/>
    </row>
    <row r="62" spans="1:135">
      <c r="A62" s="6"/>
      <c r="B62" s="6"/>
      <c r="C62" s="6"/>
      <c r="D62" s="6"/>
      <c r="E62" s="255"/>
      <c r="F62" s="256"/>
      <c r="G62" s="257"/>
      <c r="H62" s="6"/>
      <c r="I62" s="5"/>
      <c r="J62" s="5"/>
      <c r="K62" s="5"/>
      <c r="L62" s="6" t="s">
        <v>396</v>
      </c>
      <c r="M62" s="6" t="b">
        <v>0</v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  <c r="DC62" s="6"/>
      <c r="DD62" s="6"/>
      <c r="DE62" s="6"/>
      <c r="DF62" s="6"/>
      <c r="DG62" s="6"/>
      <c r="DH62" s="6"/>
      <c r="DI62" s="6"/>
      <c r="DJ62" s="6"/>
      <c r="DK62" s="6"/>
      <c r="DL62" s="6"/>
      <c r="DM62" s="6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  <c r="EC62" s="6"/>
      <c r="ED62" s="6"/>
      <c r="EE62" s="6"/>
    </row>
    <row r="63" spans="1:135">
      <c r="A63" s="6"/>
      <c r="B63" s="6"/>
      <c r="C63" s="6"/>
      <c r="D63" s="6"/>
      <c r="E63" s="255"/>
      <c r="F63" s="256"/>
      <c r="G63" s="257"/>
      <c r="H63" s="6"/>
      <c r="I63" s="5"/>
      <c r="J63" s="5"/>
      <c r="K63" s="5"/>
      <c r="L63" s="6" t="s">
        <v>397</v>
      </c>
      <c r="M63" s="6" t="b">
        <v>0</v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6"/>
      <c r="DQ63" s="6"/>
      <c r="DR63" s="6"/>
      <c r="DS63" s="6"/>
      <c r="DT63" s="6"/>
      <c r="DU63" s="6"/>
      <c r="DV63" s="6"/>
      <c r="DW63" s="6"/>
      <c r="DX63" s="6"/>
      <c r="DY63" s="6"/>
      <c r="DZ63" s="6"/>
      <c r="EA63" s="6"/>
      <c r="EB63" s="6"/>
      <c r="EC63" s="6"/>
      <c r="ED63" s="6"/>
      <c r="EE63" s="6"/>
    </row>
    <row r="64" spans="1:135">
      <c r="A64" s="6"/>
      <c r="B64" s="6"/>
      <c r="C64" s="6"/>
      <c r="D64" s="6"/>
      <c r="E64" s="255"/>
      <c r="F64" s="256"/>
      <c r="G64" s="257"/>
      <c r="H64" s="6"/>
      <c r="I64" s="5"/>
      <c r="J64" s="5"/>
      <c r="K64" s="5"/>
      <c r="L64" s="6" t="s">
        <v>409</v>
      </c>
      <c r="M64" s="6" t="b">
        <v>0</v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</row>
    <row r="65" spans="1:135">
      <c r="A65" s="6"/>
      <c r="B65" s="6"/>
      <c r="C65" s="6"/>
      <c r="D65" s="6"/>
      <c r="E65" s="255"/>
      <c r="F65" s="256"/>
      <c r="G65" s="257"/>
      <c r="H65" s="6"/>
      <c r="I65" s="5"/>
      <c r="J65" s="5"/>
      <c r="K65" s="5" t="s">
        <v>422</v>
      </c>
      <c r="L65" s="6" t="s">
        <v>425</v>
      </c>
      <c r="M65" s="6" t="b">
        <v>1</v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6"/>
      <c r="DQ65" s="6"/>
      <c r="DR65" s="6"/>
      <c r="DS65" s="6"/>
      <c r="DT65" s="6"/>
      <c r="DU65" s="6"/>
      <c r="DV65" s="6"/>
      <c r="DW65" s="6"/>
      <c r="DX65" s="6"/>
      <c r="DY65" s="6"/>
      <c r="DZ65" s="6"/>
      <c r="EA65" s="6"/>
      <c r="EB65" s="6"/>
      <c r="EC65" s="6"/>
      <c r="ED65" s="6"/>
      <c r="EE65" s="6"/>
    </row>
    <row r="66" spans="1:135">
      <c r="A66" s="6"/>
      <c r="B66" s="6"/>
      <c r="C66" s="6"/>
      <c r="D66" s="6"/>
      <c r="E66" s="255"/>
      <c r="F66" s="256"/>
      <c r="G66" s="257"/>
      <c r="H66" s="6"/>
      <c r="I66" s="5"/>
      <c r="J66" s="5"/>
      <c r="K66" s="5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  <c r="DG66" s="6"/>
      <c r="DH66" s="6"/>
      <c r="DI66" s="6"/>
      <c r="DJ66" s="6"/>
      <c r="DK66" s="6"/>
      <c r="DL66" s="6"/>
      <c r="DM66" s="6"/>
      <c r="DN66" s="6"/>
      <c r="DO66" s="6"/>
      <c r="DP66" s="6"/>
      <c r="DQ66" s="6"/>
      <c r="DR66" s="6"/>
      <c r="DS66" s="6"/>
      <c r="DT66" s="6"/>
      <c r="DU66" s="6"/>
      <c r="DV66" s="6"/>
      <c r="DW66" s="6"/>
      <c r="DX66" s="6"/>
      <c r="DY66" s="6"/>
      <c r="DZ66" s="6"/>
      <c r="EA66" s="6"/>
      <c r="EB66" s="6"/>
      <c r="EC66" s="6"/>
      <c r="ED66" s="6"/>
      <c r="EE66" s="6"/>
    </row>
    <row r="67" spans="1:135" ht="15.75" thickBot="1">
      <c r="A67" s="6"/>
      <c r="B67" s="6"/>
      <c r="C67" s="6"/>
      <c r="D67" s="6"/>
      <c r="E67" s="270"/>
      <c r="F67" s="271"/>
      <c r="G67" s="272"/>
      <c r="H67" s="6"/>
      <c r="I67" s="5"/>
      <c r="J67" s="5"/>
      <c r="K67" s="5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  <c r="DI67" s="6"/>
      <c r="DJ67" s="6"/>
      <c r="DK67" s="6"/>
      <c r="DL67" s="6"/>
      <c r="DM67" s="6"/>
      <c r="DN67" s="6"/>
      <c r="DO67" s="6"/>
      <c r="DP67" s="6"/>
      <c r="DQ67" s="6"/>
      <c r="DR67" s="6"/>
      <c r="DS67" s="6"/>
      <c r="DT67" s="6"/>
      <c r="DU67" s="6"/>
      <c r="DV67" s="6"/>
      <c r="DW67" s="6"/>
      <c r="DX67" s="6"/>
      <c r="DY67" s="6"/>
      <c r="DZ67" s="6"/>
      <c r="EA67" s="6"/>
      <c r="EB67" s="6"/>
      <c r="EC67" s="6"/>
      <c r="ED67" s="6"/>
      <c r="EE67" s="6"/>
    </row>
  </sheetData>
  <protectedRanges>
    <protectedRange sqref="N6:N13" name="Range1_1_1"/>
  </protectedRanges>
  <mergeCells count="1">
    <mergeCell ref="N1:O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982" r:id="rId4" name="ICICI(C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3" r:id="rId5" name="ICICI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4" r:id="rId6" name="ICICI(C)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5" r:id="rId7" name="HDFC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6" r:id="rId8" name="Axis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7" r:id="rId9" name="Axis(C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8" r:id="rId10" name="ID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9" r:id="rId11" name="IDBI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0" r:id="rId12" name="IDFC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1" r:id="rId13" name="CityUn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2" r:id="rId14" name="indusind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3" r:id="rId15" name="Kalupur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4" r:id="rId16" name="AU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5" r:id="rId17" name="S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6</xdr:col>
                    <xdr:colOff>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6" r:id="rId18" name="Union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7" r:id="rId19" name="Union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8" r:id="rId20" name="Kotak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9" r:id="rId21" name="Kotak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0" r:id="rId22" name="Kotak3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1" r:id="rId23" name="C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2" r:id="rId24" name="Varachha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3" r:id="rId25" name="SDCB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4" r:id="rId26" name="ICICI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5" r:id="rId27" name="ICICI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6" r:id="rId28" name="HDFC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32</xdr:row>
                    <xdr:rowOff>0</xdr:rowOff>
                  </from>
                  <to>
                    <xdr:col>6</xdr:col>
                    <xdr:colOff>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7" r:id="rId29" name="Kotak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8" r:id="rId30" name="Kotak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9" r:id="rId31" name="Axis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0" r:id="rId32" name="Axis(S) (2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36</xdr:row>
                    <xdr:rowOff>0</xdr:rowOff>
                  </from>
                  <to>
                    <xdr:col>6</xdr:col>
                    <xdr:colOff>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1" r:id="rId33" name="Axis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2" r:id="rId34" name="Yes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3" r:id="rId35" name="indusind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39</xdr:row>
                    <xdr:rowOff>0</xdr:rowOff>
                  </from>
                  <to>
                    <xdr:col>6</xdr:col>
                    <xdr:colOff>0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4" r:id="rId36" name="ID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40</xdr:row>
                    <xdr:rowOff>0</xdr:rowOff>
                  </from>
                  <to>
                    <xdr:col>6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5" r:id="rId37" name="Bandha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41</xdr:row>
                    <xdr:rowOff>0</xdr:rowOff>
                  </from>
                  <to>
                    <xdr:col>6</xdr:col>
                    <xdr:colOff>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6" r:id="rId38" name="India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42</xdr:row>
                    <xdr:rowOff>0</xdr:rowOff>
                  </from>
                  <to>
                    <xdr:col>6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7" r:id="rId39" name="IDFC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43</xdr:row>
                    <xdr:rowOff>0</xdr:rowOff>
                  </from>
                  <to>
                    <xdr:col>6</xdr:col>
                    <xdr:colOff>0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8" r:id="rId40" name="RBL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44</xdr:row>
                    <xdr:rowOff>0</xdr:rowOff>
                  </from>
                  <to>
                    <xdr:col>6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9" r:id="rId41" name="Unio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45</xdr:row>
                    <xdr:rowOff>0</xdr:rowOff>
                  </from>
                  <to>
                    <xdr:col>6</xdr:col>
                    <xdr:colOff>0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0" r:id="rId42" name="S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46</xdr:row>
                    <xdr:rowOff>0</xdr:rowOff>
                  </from>
                  <to>
                    <xdr:col>6</xdr:col>
                    <xdr:colOff>0</xdr:colOff>
                    <xdr:row>47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1" r:id="rId43" name="BO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47</xdr:row>
                    <xdr:rowOff>0</xdr:rowOff>
                  </from>
                  <to>
                    <xdr:col>6</xdr:col>
                    <xdr:colOff>0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2" r:id="rId44" name="UCO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48</xdr:row>
                    <xdr:rowOff>0</xdr:rowOff>
                  </from>
                  <to>
                    <xdr:col>6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3" r:id="rId45" name="C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49</xdr:row>
                    <xdr:rowOff>0</xdr:rowOff>
                  </from>
                  <to>
                    <xdr:col>6</xdr:col>
                    <xdr:colOff>0</xdr:colOff>
                    <xdr:row>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4" r:id="rId46" name="BOB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50</xdr:row>
                    <xdr:rowOff>0</xdr:rowOff>
                  </from>
                  <to>
                    <xdr:col>6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5" r:id="rId47" name="BOB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51</xdr:row>
                    <xdr:rowOff>0</xdr:rowOff>
                  </from>
                  <to>
                    <xdr:col>6</xdr:col>
                    <xdr:colOff>0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6" r:id="rId48" name="PN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52</xdr:row>
                    <xdr:rowOff>0</xdr:rowOff>
                  </from>
                  <to>
                    <xdr:col>6</xdr:col>
                    <xdr:colOff>0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7" r:id="rId49" name="PNB (2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53</xdr:row>
                    <xdr:rowOff>0</xdr:rowOff>
                  </from>
                  <to>
                    <xdr:col>6</xdr:col>
                    <xdr:colOff>0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8" r:id="rId50" name="RNSBE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54</xdr:row>
                    <xdr:rowOff>0</xdr:rowOff>
                  </from>
                  <to>
                    <xdr:col>6</xdr:col>
                    <xdr:colOff>0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9" r:id="rId51" name="Federal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55</xdr:row>
                    <xdr:rowOff>0</xdr:rowOff>
                  </from>
                  <to>
                    <xdr:col>6</xdr:col>
                    <xdr:colOff>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0" r:id="rId52" name="Varachha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56</xdr:row>
                    <xdr:rowOff>0</xdr:rowOff>
                  </from>
                  <to>
                    <xdr:col>6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1" r:id="rId53" name="SN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57</xdr:row>
                    <xdr:rowOff>0</xdr:rowOff>
                  </from>
                  <to>
                    <xdr:col>6</xdr:col>
                    <xdr:colOff>0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2" r:id="rId54" name="SD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58</xdr:row>
                    <xdr:rowOff>0</xdr:rowOff>
                  </from>
                  <to>
                    <xdr:col>6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3" r:id="rId55" name="AU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59</xdr:row>
                    <xdr:rowOff>0</xdr:rowOff>
                  </from>
                  <to>
                    <xdr:col>6</xdr:col>
                    <xdr:colOff>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4" r:id="rId56" name="Prime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60</xdr:row>
                    <xdr:rowOff>0</xdr:rowOff>
                  </from>
                  <to>
                    <xdr:col>6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5" r:id="rId57" name="D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61</xdr:row>
                    <xdr:rowOff>0</xdr:rowOff>
                  </from>
                  <to>
                    <xdr:col>6</xdr:col>
                    <xdr:colOff>0</xdr:colOff>
                    <xdr:row>62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6" r:id="rId58" name="Saraswat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62</xdr:row>
                    <xdr:rowOff>0</xdr:rowOff>
                  </from>
                  <to>
                    <xdr:col>6</xdr:col>
                    <xdr:colOff>0</xdr:colOff>
                    <xdr:row>63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7" r:id="rId59" name="Equitas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63</xdr:row>
                    <xdr:rowOff>0</xdr:rowOff>
                  </from>
                  <to>
                    <xdr:col>6</xdr:col>
                    <xdr:colOff>0</xdr:colOff>
                    <xdr:row>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8" r:id="rId60" name="SI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64</xdr:row>
                    <xdr:rowOff>0</xdr:rowOff>
                  </from>
                  <to>
                    <xdr:col>6</xdr:col>
                    <xdr:colOff>0</xdr:colOff>
                    <xdr:row>65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8">
    <tabColor theme="5" tint="0.39997558519241921"/>
  </sheetPr>
  <dimension ref="A1:EE5"/>
  <sheetViews>
    <sheetView showRuler="0" zoomScale="93" zoomScaleNormal="93" workbookViewId="0">
      <selection activeCell="D13" sqref="D13"/>
    </sheetView>
  </sheetViews>
  <sheetFormatPr defaultRowHeight="15"/>
  <cols>
    <col min="1" max="1" width="25.140625" style="6" customWidth="1"/>
    <col min="2" max="8" width="19.28515625" style="6" customWidth="1"/>
    <col min="9" max="9" width="40.85546875" style="6" customWidth="1"/>
    <col min="10" max="10" width="53.7109375" style="6" customWidth="1"/>
    <col min="11" max="11" width="19.28515625" style="6" customWidth="1"/>
    <col min="12" max="13" width="21.5703125" style="6" customWidth="1"/>
    <col min="14" max="15" width="9.140625" style="6"/>
    <col min="16" max="18" width="20" style="6" customWidth="1"/>
    <col min="19" max="16384" width="9.140625" style="6"/>
  </cols>
  <sheetData>
    <row r="1" spans="1:135" customFormat="1" ht="26.25" customHeight="1">
      <c r="A1" s="74"/>
      <c r="B1" s="75"/>
      <c r="C1" s="75"/>
      <c r="D1" s="75"/>
      <c r="E1" s="75"/>
      <c r="F1" s="131" t="s">
        <v>57</v>
      </c>
      <c r="G1" s="76" t="s">
        <v>58</v>
      </c>
      <c r="H1" s="77" t="s">
        <v>59</v>
      </c>
      <c r="I1" s="75"/>
      <c r="J1" s="67" t="s">
        <v>57</v>
      </c>
      <c r="K1" s="78"/>
      <c r="L1" s="1"/>
      <c r="M1" s="2"/>
      <c r="P1" s="6"/>
      <c r="Q1" s="6"/>
      <c r="R1" s="6"/>
    </row>
    <row r="2" spans="1:135" customFormat="1" ht="26.25" customHeight="1">
      <c r="A2" s="79"/>
      <c r="B2" s="80"/>
      <c r="C2" s="81"/>
      <c r="D2" s="81"/>
      <c r="E2" s="81"/>
      <c r="F2" s="132">
        <f>+G2+H2</f>
        <v>0</v>
      </c>
      <c r="G2" s="72">
        <f>+COUNTIF($D:$D,"&gt;"&amp;0)</f>
        <v>0</v>
      </c>
      <c r="H2" s="73">
        <f>+COUNTIF($E:$E,"&gt;"&amp;0)</f>
        <v>0</v>
      </c>
      <c r="I2" s="81"/>
      <c r="J2" s="71"/>
      <c r="K2" s="82"/>
      <c r="P2" s="6"/>
      <c r="Q2" s="6"/>
      <c r="R2" s="6"/>
    </row>
    <row r="3" spans="1:135" customFormat="1" ht="26.25" customHeight="1">
      <c r="A3" s="79"/>
      <c r="B3" s="81"/>
      <c r="C3" s="264" t="s">
        <v>418</v>
      </c>
      <c r="D3" s="265" t="s">
        <v>410</v>
      </c>
      <c r="E3" s="266"/>
      <c r="F3" s="261"/>
      <c r="G3" s="261"/>
      <c r="H3" s="81"/>
      <c r="I3" s="81"/>
      <c r="J3" s="82"/>
      <c r="K3" s="82"/>
      <c r="P3" s="6"/>
      <c r="Q3" s="6"/>
      <c r="R3" s="6"/>
    </row>
    <row r="4" spans="1:135" customFormat="1" ht="26.25" customHeight="1" thickBot="1">
      <c r="A4" s="83"/>
      <c r="B4" s="84"/>
      <c r="C4" s="267" t="str">
        <f>+IF(ISBLANK(D4),"","GST No. :")</f>
        <v>GST No. :</v>
      </c>
      <c r="D4" s="268" t="s">
        <v>421</v>
      </c>
      <c r="E4" s="269"/>
      <c r="F4" s="263" t="s">
        <v>424</v>
      </c>
      <c r="G4" s="262"/>
      <c r="H4" s="84"/>
      <c r="I4" s="84"/>
      <c r="J4" s="82"/>
      <c r="K4" s="82"/>
      <c r="P4" s="6"/>
      <c r="Q4" s="6"/>
      <c r="R4" s="6"/>
    </row>
    <row r="5" spans="1:135" customFormat="1" ht="15.75" thickBot="1">
      <c r="A5" s="273" t="s">
        <v>5</v>
      </c>
      <c r="B5" s="274" t="s">
        <v>7</v>
      </c>
      <c r="C5" s="275" t="s">
        <v>8</v>
      </c>
      <c r="D5" s="276" t="s">
        <v>9</v>
      </c>
      <c r="E5" s="276" t="s">
        <v>10</v>
      </c>
      <c r="F5" s="277" t="s">
        <v>11</v>
      </c>
      <c r="G5" s="274" t="s">
        <v>12</v>
      </c>
      <c r="H5" s="274" t="s">
        <v>13</v>
      </c>
      <c r="I5" s="274" t="s">
        <v>14</v>
      </c>
      <c r="J5" s="274" t="s">
        <v>15</v>
      </c>
      <c r="K5" s="278" t="s">
        <v>420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</row>
  </sheetData>
  <sheetProtection algorithmName="SHA-512" hashValue="AmdE3xlp8nngaLX/RnY7/J79FdotUbVZ9thb0y5/R1N1dYJEm1AHmaXn0We3ra59++kvieQlRNfcMVpRQ1qLGw==" saltValue="QlPXQmNDypuuDeqW3iGigA==" spinCount="100000" sheet="1" objects="1" scenarios="1"/>
  <conditionalFormatting sqref="F1">
    <cfRule type="cellIs" dxfId="2" priority="3" operator="equal">
      <formula>#N/A</formula>
    </cfRule>
  </conditionalFormatting>
  <conditionalFormatting sqref="G5">
    <cfRule type="cellIs" dxfId="1" priority="2" operator="equal">
      <formula>#N/A</formula>
    </cfRule>
  </conditionalFormatting>
  <conditionalFormatting sqref="H5:I5">
    <cfRule type="cellIs" dxfId="0" priority="1" operator="equal">
      <formula>#N/A</formula>
    </cfRule>
  </conditionalFormatting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8"/>
  <dimension ref="A3:O13"/>
  <sheetViews>
    <sheetView workbookViewId="0">
      <selection activeCell="B23" sqref="B23"/>
    </sheetView>
  </sheetViews>
  <sheetFormatPr defaultRowHeight="15"/>
  <cols>
    <col min="1" max="1" width="23.7109375" customWidth="1"/>
    <col min="2" max="2" width="23.28515625" customWidth="1"/>
  </cols>
  <sheetData>
    <row r="3" spans="1:15">
      <c r="O3" t="s">
        <v>410</v>
      </c>
    </row>
    <row r="4" spans="1:15">
      <c r="O4" t="s">
        <v>421</v>
      </c>
    </row>
    <row r="6" spans="1:15">
      <c r="A6" s="243" t="s">
        <v>400</v>
      </c>
      <c r="B6" s="244">
        <v>29505</v>
      </c>
    </row>
    <row r="7" spans="1:15">
      <c r="A7" s="243" t="s">
        <v>401</v>
      </c>
      <c r="B7" s="244" t="s">
        <v>410</v>
      </c>
    </row>
    <row r="8" spans="1:15">
      <c r="A8" s="243" t="s">
        <v>402</v>
      </c>
      <c r="B8" s="244">
        <v>9173555942</v>
      </c>
    </row>
    <row r="9" spans="1:15">
      <c r="A9" s="243" t="s">
        <v>403</v>
      </c>
      <c r="B9" s="244" t="s">
        <v>416</v>
      </c>
    </row>
    <row r="10" spans="1:15">
      <c r="A10" s="243" t="s">
        <v>404</v>
      </c>
      <c r="B10" s="244" t="s">
        <v>417</v>
      </c>
    </row>
    <row r="11" spans="1:15">
      <c r="A11" s="243" t="s">
        <v>405</v>
      </c>
      <c r="B11" s="245">
        <v>45573</v>
      </c>
    </row>
    <row r="12" spans="1:15">
      <c r="A12" s="243" t="s">
        <v>406</v>
      </c>
      <c r="B12" s="245">
        <v>45809</v>
      </c>
    </row>
    <row r="13" spans="1:15">
      <c r="A13" s="243" t="s">
        <v>407</v>
      </c>
      <c r="B13" s="245" t="s">
        <v>411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59</vt:i4>
      </vt:variant>
    </vt:vector>
  </HeadingPairs>
  <TitlesOfParts>
    <vt:vector size="59" baseType="lpstr">
      <vt:lpstr>ICICI(C) (P)</vt:lpstr>
      <vt:lpstr>ICICI(S) (P)</vt:lpstr>
      <vt:lpstr>ICICI(C)2 (P)</vt:lpstr>
      <vt:lpstr>HDFC (P)</vt:lpstr>
      <vt:lpstr>Axis(S) (P)</vt:lpstr>
      <vt:lpstr>Axis(C) (P)</vt:lpstr>
      <vt:lpstr>IDBI (P)</vt:lpstr>
      <vt:lpstr>IDBI(S) (P)</vt:lpstr>
      <vt:lpstr>IDFC (P)</vt:lpstr>
      <vt:lpstr>CityUni (P)</vt:lpstr>
      <vt:lpstr>indusind (P)</vt:lpstr>
      <vt:lpstr>Kalupur (P)</vt:lpstr>
      <vt:lpstr>AU (P)</vt:lpstr>
      <vt:lpstr>SBI (P)</vt:lpstr>
      <vt:lpstr>Union (P)</vt:lpstr>
      <vt:lpstr>Union2 (P)</vt:lpstr>
      <vt:lpstr>Kotak (P)</vt:lpstr>
      <vt:lpstr>Kotak2 (P)</vt:lpstr>
      <vt:lpstr>Kotak3 (P)</vt:lpstr>
      <vt:lpstr>CBI (P)</vt:lpstr>
      <vt:lpstr>Varachha (P)</vt:lpstr>
      <vt:lpstr>SDCB (P)</vt:lpstr>
      <vt:lpstr>ICICI(C)</vt:lpstr>
      <vt:lpstr>ICICI(S)</vt:lpstr>
      <vt:lpstr>HDFC</vt:lpstr>
      <vt:lpstr>Kotak(C)</vt:lpstr>
      <vt:lpstr>Kotak(S)</vt:lpstr>
      <vt:lpstr>Axis(S)</vt:lpstr>
      <vt:lpstr>Axis(S) (2)</vt:lpstr>
      <vt:lpstr>Axis(C)</vt:lpstr>
      <vt:lpstr>Yes</vt:lpstr>
      <vt:lpstr>indusind</vt:lpstr>
      <vt:lpstr>IDBI</vt:lpstr>
      <vt:lpstr>Bandhan</vt:lpstr>
      <vt:lpstr>Indian</vt:lpstr>
      <vt:lpstr>IDFC</vt:lpstr>
      <vt:lpstr>RBL</vt:lpstr>
      <vt:lpstr>Union</vt:lpstr>
      <vt:lpstr>SBI</vt:lpstr>
      <vt:lpstr>BOI</vt:lpstr>
      <vt:lpstr>UCO</vt:lpstr>
      <vt:lpstr>CBI</vt:lpstr>
      <vt:lpstr>BOB(C)</vt:lpstr>
      <vt:lpstr>BOB(S)</vt:lpstr>
      <vt:lpstr>PNB</vt:lpstr>
      <vt:lpstr>PNB (2)</vt:lpstr>
      <vt:lpstr>RNSBE</vt:lpstr>
      <vt:lpstr>Federal</vt:lpstr>
      <vt:lpstr>Varachha</vt:lpstr>
      <vt:lpstr>SNCB</vt:lpstr>
      <vt:lpstr>SDCB</vt:lpstr>
      <vt:lpstr>AU</vt:lpstr>
      <vt:lpstr>Prime</vt:lpstr>
      <vt:lpstr>DCB</vt:lpstr>
      <vt:lpstr>Saraswat</vt:lpstr>
      <vt:lpstr>Equitas</vt:lpstr>
      <vt:lpstr>SIB</vt:lpstr>
      <vt:lpstr>Help</vt:lpstr>
      <vt:lpstr>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Ketan Jogani</cp:lastModifiedBy>
  <dcterms:created xsi:type="dcterms:W3CDTF">2015-06-05T18:17:20Z</dcterms:created>
  <dcterms:modified xsi:type="dcterms:W3CDTF">2024-12-05T05:23:26Z</dcterms:modified>
</cp:coreProperties>
</file>