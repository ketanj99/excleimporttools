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82C6FE14-DBBD-4E49-A7E8-203E9528A9FA}" xr6:coauthVersionLast="47" xr6:coauthVersionMax="47" xr10:uidLastSave="{00000000-0000-0000-0000-000000000000}"/>
  <bookViews>
    <workbookView xWindow="-120" yWindow="-120" windowWidth="29040" windowHeight="15840" tabRatio="798" activeTab="22" xr2:uid="{00000000-000D-0000-FFFF-FFFF00000000}"/>
  </bookViews>
  <sheets>
    <sheet name="MSH" sheetId="3" r:id="rId1"/>
    <sheet name="MSH (2)" sheetId="36" r:id="rId2"/>
    <sheet name="AMZ" sheetId="35" r:id="rId3"/>
    <sheet name="AMZ (2)" sheetId="10" state="veryHidden" r:id="rId4"/>
    <sheet name="FLC" sheetId="9" r:id="rId5"/>
    <sheet name="FLC (C)" sheetId="22" r:id="rId6"/>
    <sheet name="SND" sheetId="11" state="veryHidden" r:id="rId7"/>
    <sheet name="JIO" sheetId="17" r:id="rId8"/>
    <sheet name="AJIO" sheetId="19" r:id="rId9"/>
    <sheet name="GLR" sheetId="12" state="veryHidden" r:id="rId10"/>
    <sheet name="MYR" sheetId="20" r:id="rId11"/>
    <sheet name="MYR (2)" sheetId="24" state="veryHidden" r:id="rId12"/>
    <sheet name="NPTL" sheetId="26" state="veryHidden" r:id="rId13"/>
    <sheet name="MRW" sheetId="14" state="veryHidden" r:id="rId14"/>
    <sheet name="S101" sheetId="15" state="veryHidden" r:id="rId15"/>
    <sheet name="S101 (2)" sheetId="23" state="veryHidden" r:id="rId16"/>
    <sheet name="S101 (3)" sheetId="32" r:id="rId17"/>
    <sheet name="VMT" sheetId="25" state="veryHidden" r:id="rId18"/>
    <sheet name="UNI" sheetId="34" state="veryHidden" r:id="rId19"/>
    <sheet name="AMZ TR" sheetId="33" state="veryHidden" r:id="rId20"/>
    <sheet name="GSTR2B" sheetId="28" r:id="rId21"/>
    <sheet name="Help" sheetId="1" r:id="rId22"/>
    <sheet name="MasterMonth" sheetId="16" r:id="rId23"/>
    <sheet name="Registration" sheetId="31" state="veryHidden" r:id="rId24"/>
  </sheets>
  <functionGroups builtInGroupCount="19"/>
  <definedNames>
    <definedName name="_xlnm._FilterDatabase" localSheetId="8" hidden="1">AJIO!$A$4:$DZ$4</definedName>
    <definedName name="_xlnm._FilterDatabase" localSheetId="2" hidden="1">AMZ!$A$4:$DT$4</definedName>
    <definedName name="_xlnm._FilterDatabase" localSheetId="3" hidden="1">'AMZ (2)'!$A$4:$DZ$4</definedName>
    <definedName name="_xlnm._FilterDatabase" localSheetId="19" hidden="1">'AMZ TR'!$A$4:$DX$4</definedName>
    <definedName name="_xlnm._FilterDatabase" localSheetId="4" hidden="1">FLC!#REF!</definedName>
    <definedName name="_xlnm._FilterDatabase" localSheetId="5" hidden="1">'FLC (C)'!#REF!</definedName>
    <definedName name="_xlnm._FilterDatabase" localSheetId="20" hidden="1">GSTR2B!$A$4:$DZ$4</definedName>
    <definedName name="_xlnm._FilterDatabase" localSheetId="21" hidden="1">Help!$C$1:$C$7</definedName>
    <definedName name="_xlnm._FilterDatabase" localSheetId="7" hidden="1">JIO!$A$4:$DZ$4</definedName>
    <definedName name="_xlnm._FilterDatabase" localSheetId="22" hidden="1">MasterMonth!$A$4:$P$4</definedName>
    <definedName name="_xlnm._FilterDatabase" localSheetId="13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12" hidden="1">NPTL!$A$4:$DZ$4</definedName>
    <definedName name="_xlnm._FilterDatabase" localSheetId="14" hidden="1">'S101'!$A$4:$DZ$4</definedName>
    <definedName name="_xlnm._FilterDatabase" localSheetId="15" hidden="1">'S101 (2)'!$A$4:$DZ$4</definedName>
    <definedName name="_xlnm._FilterDatabase" localSheetId="16" hidden="1">'S101 (3)'!$A$4:$AG$4</definedName>
    <definedName name="_xlnm._FilterDatabase" localSheetId="6" hidden="1">SND!$DA$4:$DM$4</definedName>
    <definedName name="_xlnm._FilterDatabase" localSheetId="18" hidden="1">UNI!$A$4:$DT$4</definedName>
    <definedName name="_xlnm._FilterDatabase" localSheetId="17" hidden="1">VMT!$A$4:$DZ$4</definedName>
    <definedName name="_xlnm.Extract" localSheetId="22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3" i="28" l="1"/>
  <c r="AE3" i="16"/>
  <c r="AD3" i="16"/>
  <c r="AC3" i="16"/>
  <c r="AB3" i="16"/>
  <c r="AA3" i="16"/>
  <c r="Z3" i="16"/>
  <c r="Y3" i="16"/>
  <c r="X3" i="16"/>
  <c r="W3" i="16" s="1"/>
  <c r="U3" i="16"/>
  <c r="T3" i="16"/>
  <c r="S3" i="16"/>
  <c r="R3" i="16" s="1"/>
  <c r="DM3" i="32"/>
  <c r="DA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H3" i="16" l="1"/>
  <c r="V3" i="16"/>
  <c r="AF3" i="16"/>
  <c r="I2" i="14" a="1"/>
  <c r="I2" i="14" s="1"/>
  <c r="DD3" i="3"/>
  <c r="DN3" i="3" s="1"/>
  <c r="N2" i="3" l="1"/>
  <c r="DL3" i="36"/>
  <c r="DM3" i="36" s="1"/>
  <c r="DK3" i="36"/>
  <c r="DJ3" i="36"/>
  <c r="DI3" i="36"/>
  <c r="DH3" i="36"/>
  <c r="DG3" i="36"/>
  <c r="DE3" i="36"/>
  <c r="DO3" i="36" s="1"/>
  <c r="DB3" i="36"/>
  <c r="DA3" i="36"/>
  <c r="E2" i="36"/>
  <c r="C142" i="1"/>
  <c r="C143" i="1"/>
  <c r="DM3" i="17"/>
  <c r="DL3" i="17"/>
  <c r="DJ3" i="17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G2" i="36" l="1"/>
  <c r="I2" i="36"/>
  <c r="F2" i="36"/>
  <c r="DD3" i="36"/>
  <c r="DN3" i="36" s="1"/>
  <c r="I2" i="35"/>
  <c r="DA4" i="35"/>
  <c r="O2" i="35"/>
  <c r="DD3" i="35" s="1"/>
  <c r="F2" i="35"/>
  <c r="E2" i="35"/>
  <c r="H2" i="36" l="1"/>
  <c r="N2" i="36"/>
  <c r="N2" i="35"/>
  <c r="DB4" i="35"/>
  <c r="G2" i="35"/>
  <c r="H2" i="35" s="1"/>
  <c r="J2" i="35" s="1"/>
  <c r="J1" i="35" s="1"/>
  <c r="DK3" i="17"/>
  <c r="DI3" i="17"/>
  <c r="DH3" i="17"/>
  <c r="DG3" i="17"/>
  <c r="DE3" i="17"/>
  <c r="DS3" i="33"/>
  <c r="H2" i="33" s="1"/>
  <c r="DM3" i="10"/>
  <c r="DL3" i="10"/>
  <c r="DJ3" i="10"/>
  <c r="DF3" i="10"/>
  <c r="DP3" i="10" s="1"/>
  <c r="DG3" i="10" s="1"/>
  <c r="E2" i="33"/>
  <c r="E2" i="26"/>
  <c r="DA3" i="26"/>
  <c r="DE3" i="26"/>
  <c r="J2" i="36" l="1"/>
  <c r="J1" i="36" s="1"/>
  <c r="J2" i="16"/>
  <c r="DO3" i="35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DA3" i="9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DI3" i="34"/>
  <c r="DC3" i="34"/>
  <c r="DL3" i="34"/>
  <c r="F2" i="34" s="1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N1" i="32"/>
  <c r="GM1" i="32"/>
  <c r="GQ1" i="32" s="1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N2" i="32" s="1"/>
  <c r="I2" i="32"/>
  <c r="K2" i="32"/>
  <c r="GV1" i="32"/>
  <c r="GS1" i="32"/>
  <c r="GA1" i="32"/>
  <c r="GG1" i="32" s="1"/>
  <c r="GF1" i="32" s="1"/>
  <c r="F2" i="32"/>
  <c r="GE1" i="32"/>
  <c r="I2" i="3"/>
  <c r="H2" i="32" l="1"/>
  <c r="J2" i="32" s="1"/>
  <c r="J1" i="32" s="1"/>
  <c r="N2" i="34"/>
  <c r="DO3" i="34"/>
  <c r="AH1" i="34" s="1"/>
  <c r="J2" i="34"/>
  <c r="J1" i="34" s="1"/>
  <c r="L1" i="33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G2" i="3"/>
  <c r="DI3" i="22"/>
  <c r="H2" i="24" l="1"/>
  <c r="DD3" i="10"/>
  <c r="DD3" i="9"/>
  <c r="DO3" i="9" s="1"/>
  <c r="DD3" i="23"/>
  <c r="N2" i="23" s="1"/>
  <c r="F2" i="25"/>
  <c r="G2" i="25"/>
  <c r="Y2" i="16"/>
  <c r="Z2" i="16" s="1"/>
  <c r="I2" i="9"/>
  <c r="I2" i="26"/>
  <c r="GE1" i="15"/>
  <c r="G2" i="28"/>
  <c r="I2" i="10"/>
  <c r="G2" i="10"/>
  <c r="DD3" i="20"/>
  <c r="N2" i="20" s="1"/>
  <c r="F2" i="17"/>
  <c r="G2" i="17"/>
  <c r="DD3" i="11"/>
  <c r="N2" i="11" s="1"/>
  <c r="G2" i="12"/>
  <c r="H2" i="12" s="1"/>
  <c r="J2" i="12" s="1"/>
  <c r="J1" i="12" s="1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I2" i="22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H2" i="25" l="1"/>
  <c r="J2" i="25" s="1"/>
  <c r="J1" i="25" s="1"/>
  <c r="N2" i="17"/>
  <c r="DO3" i="17"/>
  <c r="AH1" i="17" s="1"/>
  <c r="N2" i="9"/>
  <c r="DN3" i="9"/>
  <c r="DN3" i="10"/>
  <c r="DO3" i="10"/>
  <c r="AH1" i="10" s="1"/>
  <c r="H2" i="15"/>
  <c r="J2" i="15" s="1"/>
  <c r="J1" i="15" s="1"/>
  <c r="N2" i="10"/>
  <c r="DN3" i="25"/>
  <c r="N2" i="25"/>
  <c r="H2" i="10"/>
  <c r="H2" i="17"/>
  <c r="J2" i="17" s="1"/>
  <c r="J1" i="17" s="1"/>
  <c r="N2" i="19"/>
  <c r="DN3" i="26"/>
  <c r="J2" i="26"/>
  <c r="J1" i="26" s="1"/>
  <c r="DO3" i="26"/>
  <c r="AH1" i="26" s="1"/>
  <c r="V2" i="16"/>
  <c r="X2" i="16" s="1"/>
  <c r="DO3" i="19"/>
  <c r="AH1" i="19" s="1"/>
  <c r="DN3" i="17"/>
  <c r="H2" i="23"/>
  <c r="J2" i="23" s="1"/>
  <c r="J1" i="23" s="1"/>
  <c r="H2" i="20"/>
  <c r="J2" i="20" s="1"/>
  <c r="J1" i="20" s="1"/>
  <c r="DN3" i="22"/>
  <c r="N2" i="22"/>
  <c r="DO3" i="22"/>
  <c r="AH1" i="9" l="1"/>
  <c r="J2" i="10"/>
  <c r="J1" i="10" s="1"/>
  <c r="J2" i="28"/>
  <c r="DE3" i="14"/>
  <c r="DO3" i="14" s="1"/>
  <c r="DJ3" i="14"/>
  <c r="DM3" i="14"/>
  <c r="DF3" i="14"/>
  <c r="DI3" i="14"/>
  <c r="DH3" i="14"/>
  <c r="DG3" i="14"/>
  <c r="DK3" i="14"/>
  <c r="DL3" i="14"/>
  <c r="L2" i="28" l="1"/>
  <c r="L1" i="28" s="1"/>
  <c r="DD3" i="14"/>
  <c r="N2" i="14" s="1"/>
  <c r="D3" i="16" s="1"/>
  <c r="DN3" i="14"/>
  <c r="G2" i="14"/>
  <c r="F2" i="14"/>
  <c r="H2" i="14" l="1"/>
  <c r="J2" i="14" s="1"/>
  <c r="J1" i="14" s="1"/>
  <c r="K2" i="16" l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<sst xmlns="http://schemas.openxmlformats.org/spreadsheetml/2006/main" count="2393" uniqueCount="930">
  <si>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</si>
  <si>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</si>
  <si>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</si>
  <si>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</si>
  <si>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</si>
  <si>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</si>
  <si>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</si>
  <si>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</si>
  <si>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</si>
  <si>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</si>
  <si>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</si>
  <si>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</si>
  <si>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</si>
  <si>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</si>
  <si>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</si>
  <si>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</si>
  <si>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</si>
  <si>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</si>
  <si>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</si>
  <si>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</si>
  <si>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</si>
  <si>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</si>
  <si>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</si>
  <si>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</si>
  <si>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</si>
  <si>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</si>
  <si>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</si>
  <si>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</si>
  <si>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</si>
  <si>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</si>
  <si>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</si>
  <si>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</si>
  <si>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</si>
  <si>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</si>
  <si>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</si>
  <si>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</si>
  <si>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</si>
  <si>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</si>
  <si>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</si>
  <si>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</si>
  <si>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</si>
  <si>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</si>
  <si>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</si>
  <si>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</si>
  <si>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</si>
  <si>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</si>
  <si>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</si>
  <si>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</si>
  <si>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</si>
  <si>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</si>
  <si>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</si>
  <si>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</si>
  <si>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</si>
  <si>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</si>
  <si>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</si>
  <si>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</si>
  <si>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</si>
  <si>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</si>
  <si>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</si>
  <si>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</si>
  <si>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</si>
  <si>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</si>
  <si>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</si>
  <si>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</si>
  <si>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</si>
  <si>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</si>
  <si>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</si>
  <si>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</si>
  <si>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</si>
  <si>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</si>
  <si>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</si>
  <si>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</si>
  <si>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</si>
  <si>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</si>
  <si>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</si>
  <si>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</si>
  <si>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</si>
  <si>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</si>
  <si>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</si>
  <si>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</si>
  <si>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</si>
  <si>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</si>
  <si>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</si>
  <si>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</si>
  <si>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</si>
  <si>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</si>
  <si>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</si>
  <si>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</si>
  <si>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</si>
  <si>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</si>
  <si>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</si>
  <si>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</si>
  <si>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</si>
  <si>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</si>
  <si>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</si>
  <si>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</si>
  <si>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</si>
  <si>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</si>
  <si>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</si>
  <si>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</si>
  <si>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</si>
  <si>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</si>
  <si>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</si>
  <si>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</si>
  <si>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</si>
  <si>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</si>
  <si>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</si>
  <si>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</si>
  <si>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</si>
  <si>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</si>
  <si>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</si>
  <si>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</si>
  <si>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</si>
  <si>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</si>
  <si>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</si>
  <si>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</si>
  <si>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</si>
  <si>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</si>
  <si>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</si>
  <si>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</si>
  <si>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</si>
  <si>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</si>
  <si>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</si>
  <si>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</si>
  <si>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</si>
  <si>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</si>
  <si>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</si>
  <si>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</si>
  <si>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</si>
  <si>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</si>
  <si>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</si>
  <si>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</si>
  <si>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</si>
  <si>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</si>
  <si>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</si>
  <si>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</si>
  <si>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</si>
  <si>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</si>
  <si>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</si>
  <si>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</si>
  <si>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</si>
  <si>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</si>
  <si>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</si>
  <si>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</si>
  <si>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</si>
  <si>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</si>
  <si>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</si>
  <si>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</si>
  <si>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</si>
  <si>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</si>
  <si>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</si>
  <si>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</si>
  <si>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</si>
  <si>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</si>
  <si>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</si>
  <si>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</si>
  <si>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</si>
  <si>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</si>
  <si>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</si>
  <si>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</si>
  <si>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</si>
  <si>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</si>
  <si>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</si>
  <si>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</si>
  <si>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</si>
  <si>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</si>
  <si>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</si>
  <si>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</si>
  <si>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</si>
  <si>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</si>
  <si>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</si>
  <si>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</si>
  <si>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</si>
  <si>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</si>
  <si>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</si>
  <si>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</si>
  <si>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</si>
  <si>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</si>
  <si>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</si>
  <si>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</si>
  <si>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</si>
  <si>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</si>
  <si>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</si>
  <si>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</si>
  <si>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</si>
  <si>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</si>
  <si>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</si>
  <si>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</si>
  <si>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</si>
  <si>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</si>
  <si>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</si>
  <si>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</si>
  <si>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</si>
  <si>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</si>
  <si>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</si>
  <si>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</si>
  <si>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</si>
  <si>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</si>
  <si>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</si>
  <si>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</si>
  <si>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</si>
  <si>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</si>
  <si>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</si>
  <si>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</si>
  <si>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</si>
  <si>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</si>
  <si>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</si>
  <si>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</si>
  <si>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</si>
  <si>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</si>
  <si>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</si>
  <si>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</si>
  <si>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</si>
  <si>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</si>
  <si>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</si>
  <si>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</si>
  <si>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</si>
  <si>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</si>
  <si>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</si>
  <si>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</si>
  <si>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</si>
  <si>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</si>
  <si>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</si>
  <si>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</si>
  <si>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</si>
  <si>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</si>
  <si>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</si>
  <si>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</si>
  <si>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</si>
  <si>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</si>
  <si>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</si>
  <si>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</si>
  <si>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</si>
  <si>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</si>
  <si>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</si>
  <si>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</si>
  <si>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</si>
  <si>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</si>
  <si>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</si>
  <si>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</si>
  <si>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</si>
  <si>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</si>
  <si>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</si>
  <si>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</si>
  <si>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</si>
  <si>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</si>
  <si>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</si>
  <si>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</si>
  <si>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</si>
  <si>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</si>
  <si>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</si>
  <si>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</si>
  <si>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</si>
  <si>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</si>
  <si>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</si>
  <si>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</si>
  <si>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</si>
  <si>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</si>
  <si>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</si>
  <si>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</si>
  <si>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</si>
  <si>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</si>
  <si>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</si>
  <si>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</si>
  <si>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</si>
  <si>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</si>
  <si>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</si>
  <si>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</si>
  <si>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</si>
  <si>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</si>
  <si>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</si>
  <si>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</si>
  <si>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</si>
  <si>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</si>
  <si>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</si>
  <si>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</si>
  <si>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</si>
  <si>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</si>
  <si>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</si>
  <si>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</si>
  <si>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</si>
  <si>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</si>
  <si>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</si>
  <si>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</si>
  <si>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</si>
  <si>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</si>
  <si>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</si>
  <si>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</si>
  <si>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</si>
  <si>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</si>
  <si>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</si>
  <si>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</si>
  <si>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</si>
  <si>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</si>
  <si>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</si>
  <si>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</si>
  <si>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</si>
  <si>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</si>
  <si>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</si>
  <si>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</si>
  <si>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</si>
  <si>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</si>
  <si>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</si>
  <si>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</si>
  <si>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</si>
  <si>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</si>
  <si>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</si>
  <si>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</si>
  <si>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</si>
  <si>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</si>
  <si>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</si>
  <si>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</si>
  <si>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</si>
  <si>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</si>
  <si>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</si>
  <si>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</si>
  <si>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</si>
  <si>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</si>
  <si>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</si>
  <si>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</si>
  <si>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</si>
  <si>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</si>
  <si>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</si>
  <si>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</si>
  <si>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</si>
  <si>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</si>
  <si>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</si>
  <si>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</si>
  <si>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</si>
  <si>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</si>
  <si>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</si>
  <si>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</si>
  <si>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</si>
  <si>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</si>
  <si>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</si>
  <si>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</si>
  <si>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</si>
  <si>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</si>
  <si>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</si>
  <si>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</si>
  <si>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</si>
  <si>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</si>
  <si>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</si>
  <si>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</si>
  <si>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</si>
  <si>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</si>
  <si>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</si>
  <si>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</si>
  <si>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</si>
  <si>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</si>
  <si>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</si>
  <si>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</si>
  <si>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</si>
  <si>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</si>
  <si>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</si>
  <si>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</si>
  <si>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</si>
  <si>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</si>
  <si>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</si>
  <si>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</si>
  <si>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</si>
  <si>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</si>
  <si>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</si>
  <si>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</si>
  <si>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</si>
  <si>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</si>
  <si>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</si>
  <si>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</si>
  <si>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</si>
  <si>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</si>
  <si>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</si>
  <si>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</si>
  <si>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</si>
  <si>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</si>
  <si>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</si>
  <si>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</si>
  <si>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</si>
  <si>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</si>
  <si>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</si>
  <si>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</si>
  <si>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</si>
  <si>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</si>
  <si>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</si>
  <si>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</si>
  <si>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</si>
  <si>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</si>
  <si>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</si>
  <si>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</si>
  <si>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</si>
  <si>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</si>
  <si>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</si>
  <si>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</si>
  <si>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</si>
  <si>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</si>
  <si>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</si>
  <si>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</si>
  <si>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</si>
  <si>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</si>
  <si>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</si>
  <si>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</si>
  <si>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</si>
  <si>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</si>
  <si>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</si>
  <si>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</si>
  <si>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</si>
  <si>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</si>
  <si>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</si>
  <si>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</si>
  <si>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</si>
  <si>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</si>
  <si>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</si>
  <si>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</si>
  <si>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</si>
  <si>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</si>
  <si>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</si>
  <si>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</si>
  <si>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</si>
  <si>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</si>
  <si>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</si>
  <si>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</si>
  <si>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</si>
  <si>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</si>
  <si>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</si>
  <si>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</si>
  <si>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</si>
  <si>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</si>
  <si>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</si>
  <si>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</si>
  <si>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</si>
  <si>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</si>
  <si>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</si>
  <si>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</si>
  <si>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</si>
  <si>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</si>
  <si>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</si>
  <si>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</si>
  <si>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</si>
  <si>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</si>
  <si>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</si>
  <si>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</si>
  <si>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</si>
  <si>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</si>
  <si>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</si>
  <si>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</si>
  <si>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</si>
  <si>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</si>
  <si>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</si>
  <si>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</si>
  <si>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</si>
  <si>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</si>
  <si>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</si>
  <si>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</si>
  <si>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</si>
  <si>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</si>
  <si>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</si>
  <si>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</si>
  <si>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</si>
  <si>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</si>
  <si>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</si>
  <si>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</si>
  <si>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</si>
  <si>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</si>
  <si>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</si>
  <si>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</si>
  <si>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</si>
  <si>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</si>
  <si>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</si>
  <si>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</si>
  <si>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</si>
  <si>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</si>
  <si>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</si>
  <si>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</si>
  <si>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</si>
  <si>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</si>
  <si>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</si>
  <si>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</si>
  <si>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</si>
  <si>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</si>
  <si>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</si>
  <si>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</si>
  <si>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</si>
  <si>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</si>
  <si>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</si>
  <si>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</si>
  <si>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</si>
  <si>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</si>
  <si>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</si>
  <si>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</si>
  <si>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</si>
  <si>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</si>
  <si>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</si>
  <si>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</si>
  <si>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</si>
  <si>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</si>
  <si>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</si>
  <si>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</si>
  <si>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</si>
  <si>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</si>
  <si>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</si>
  <si>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</si>
  <si>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</si>
  <si>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</si>
  <si>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</si>
  <si>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</si>
  <si>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</si>
  <si>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</si>
  <si>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</si>
  <si>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</si>
  <si>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</si>
  <si>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</si>
  <si>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</si>
  <si>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</si>
  <si>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</si>
  <si>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</si>
  <si>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</si>
  <si>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</si>
  <si>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</si>
  <si>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</si>
  <si>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</si>
  <si>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</si>
  <si>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</si>
  <si>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</si>
  <si>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</si>
  <si>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</si>
  <si>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</si>
  <si>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</si>
  <si>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</si>
  <si>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</si>
  <si>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</si>
  <si>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</si>
  <si>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</si>
  <si>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</si>
  <si>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</si>
  <si>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</si>
  <si>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</si>
  <si>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</si>
  <si>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</si>
  <si>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</si>
  <si>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</si>
  <si>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</si>
  <si>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</si>
  <si>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</si>
  <si>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</si>
  <si>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</si>
  <si>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</si>
  <si>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</si>
  <si>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</si>
  <si>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</si>
  <si>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</si>
  <si>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</si>
  <si>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</si>
  <si>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</si>
  <si>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</si>
  <si>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</si>
  <si>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</si>
  <si>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</si>
  <si>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</si>
  <si>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</si>
  <si>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</si>
  <si>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</si>
  <si>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</si>
  <si>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</si>
  <si>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</si>
  <si>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</si>
  <si>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</si>
  <si>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</si>
  <si>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</si>
  <si>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</si>
  <si>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</si>
  <si>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</si>
  <si>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</si>
  <si>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</si>
  <si>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</si>
  <si>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</si>
  <si>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</si>
  <si>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</si>
  <si>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</si>
  <si>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</si>
  <si>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</si>
  <si>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</si>
  <si>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</si>
  <si>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</si>
  <si>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</si>
  <si>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</si>
  <si>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</si>
  <si>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</si>
  <si>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</si>
  <si>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</si>
  <si>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</si>
  <si>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</si>
  <si>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</si>
  <si>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</si>
  <si>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</si>
  <si>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</si>
  <si>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</si>
  <si>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</si>
  <si>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</si>
  <si>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</si>
  <si>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</si>
  <si>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</si>
  <si>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</si>
  <si>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</si>
  <si>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</si>
  <si>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</si>
  <si>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</si>
  <si>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</si>
  <si>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</si>
  <si>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</si>
  <si>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</si>
  <si>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</si>
  <si>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</si>
  <si>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</si>
  <si>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</si>
  <si>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</si>
  <si>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</si>
  <si>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</si>
  <si>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</si>
  <si>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</si>
  <si>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</si>
  <si>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</si>
  <si>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</si>
  <si>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</si>
  <si>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</si>
  <si>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</si>
  <si>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</si>
  <si>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</si>
  <si>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</si>
  <si>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</si>
  <si>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</si>
  <si>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</si>
  <si>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</si>
  <si>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</si>
  <si>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</si>
  <si>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</si>
  <si>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</si>
  <si>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</si>
  <si>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</si>
  <si>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</si>
  <si>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</si>
  <si>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</si>
  <si>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</si>
  <si>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</si>
  <si>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</si>
  <si>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</si>
  <si>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</si>
  <si>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</si>
  <si>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</si>
  <si>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</si>
  <si>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</si>
  <si>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</si>
  <si>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</si>
  <si>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</si>
  <si>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</si>
  <si>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</si>
  <si>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</si>
  <si>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</si>
  <si>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</si>
  <si>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</si>
  <si>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</si>
  <si>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</si>
  <si>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</si>
  <si>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</si>
  <si>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</si>
  <si>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</si>
  <si>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</si>
  <si>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</si>
  <si>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</si>
  <si>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</si>
  <si>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</si>
  <si>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</si>
  <si>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</si>
  <si>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</si>
  <si>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</si>
  <si>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</si>
  <si>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</si>
  <si>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</si>
  <si>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</si>
  <si>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</si>
  <si>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</si>
  <si>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</si>
  <si>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</si>
  <si>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</si>
  <si>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</si>
  <si>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</si>
  <si>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</si>
  <si>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</si>
  <si>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</si>
  <si>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</si>
  <si>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</si>
  <si>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</si>
  <si>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</si>
  <si>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</si>
  <si>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</si>
  <si>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</si>
  <si>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</si>
  <si>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</si>
  <si>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</si>
  <si>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</si>
  <si>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</si>
  <si>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</si>
  <si>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</si>
  <si>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</si>
  <si>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</si>
  <si>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</si>
  <si>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</si>
  <si>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</si>
  <si>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</si>
  <si>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</si>
  <si>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</si>
  <si>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</si>
  <si>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</si>
  <si>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</si>
  <si>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</si>
  <si>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</si>
  <si>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</si>
  <si>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</si>
  <si>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</si>
  <si>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</si>
  <si>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</si>
  <si>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</si>
  <si>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</si>
  <si>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</si>
  <si>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</si>
  <si>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</si>
  <si>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</si>
  <si>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</si>
  <si>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</si>
  <si>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</si>
  <si>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</si>
  <si>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</si>
  <si>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</si>
  <si>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</si>
  <si>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</si>
  <si>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</si>
  <si>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</si>
  <si>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</si>
  <si>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</si>
  <si>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</si>
  <si>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</si>
  <si>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</si>
  <si>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</si>
  <si>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</si>
  <si>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</si>
  <si>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</si>
  <si>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</si>
  <si>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</si>
  <si>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</si>
  <si>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</si>
  <si>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</si>
  <si>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</si>
  <si>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</si>
  <si>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</si>
  <si>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</si>
  <si>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</si>
  <si>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</si>
  <si>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</si>
  <si>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</si>
  <si>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</si>
  <si>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</si>
  <si>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</si>
  <si>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</si>
  <si>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</si>
  <si>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</si>
  <si>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</si>
  <si>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</si>
  <si>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</si>
  <si>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</si>
  <si>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</si>
  <si>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</si>
  <si>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</si>
  <si>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</si>
  <si>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</si>
  <si>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</si>
  <si>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</si>
  <si>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</si>
  <si>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</si>
  <si>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</si>
  <si>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</si>
  <si>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</si>
  <si>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</si>
  <si>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</si>
  <si>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</si>
  <si>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</si>
  <si>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</si>
  <si>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</si>
  <si>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</si>
  <si>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</si>
  <si>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</si>
  <si>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</si>
  <si>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</si>
  <si>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</si>
  <si>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</si>
  <si>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</si>
  <si>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</si>
  <si>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</si>
  <si>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</si>
  <si>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</si>
  <si>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</si>
  <si>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</si>
  <si>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</si>
  <si>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</si>
  <si>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</si>
  <si>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</si>
  <si>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</si>
  <si>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</si>
  <si>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</si>
  <si>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</si>
  <si>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</si>
  <si>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</si>
  <si>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</si>
  <si>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</si>
  <si>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</si>
  <si>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</si>
  <si>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</si>
  <si>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</si>
  <si>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</si>
  <si>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</si>
  <si>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</si>
  <si>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</si>
  <si>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</si>
  <si>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</si>
  <si>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</si>
  <si>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</si>
  <si>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</si>
  <si>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</si>
  <si>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</si>
  <si>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</si>
  <si>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</si>
  <si>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</si>
  <si>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</si>
  <si>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</si>
  <si>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</si>
  <si>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</si>
  <si>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</si>
  <si>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</si>
  <si>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</si>
  <si>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</si>
  <si>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</si>
  <si>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</si>
  <si>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</si>
  <si>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</si>
  <si>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</si>
  <si>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</si>
  <si>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</si>
  <si>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</si>
  <si>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</si>
  <si>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</si>
  <si>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</si>
  <si>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</si>
  <si>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</si>
  <si>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</si>
  <si>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</si>
  <si>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</si>
  <si>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</si>
  <si>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</si>
  <si>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</si>
  <si>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</si>
  <si>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</si>
  <si>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</si>
  <si>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</si>
  <si>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</si>
  <si>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</si>
  <si>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</si>
  <si>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</si>
  <si>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</si>
  <si>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</si>
  <si>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</si>
  <si>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</si>
  <si>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</si>
  <si>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</si>
  <si>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</si>
  <si>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</si>
  <si>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</si>
  <si>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</si>
  <si>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</si>
  <si>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</si>
  <si>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</si>
  <si>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</si>
  <si>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</si>
  <si>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</si>
  <si>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</si>
  <si>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</si>
  <si>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</si>
  <si>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</si>
  <si>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</si>
  <si>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</si>
  <si>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</si>
  <si>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</si>
  <si>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</si>
  <si>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</si>
  <si>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</si>
  <si>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</si>
  <si>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</si>
  <si>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</si>
  <si>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</si>
  <si>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</si>
  <si>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</si>
  <si>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</si>
  <si>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</si>
  <si>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</si>
  <si>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</si>
  <si>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</si>
  <si>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</si>
  <si>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</si>
  <si>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</si>
  <si>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</si>
  <si>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</si>
  <si>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</si>
  <si>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</si>
  <si>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</si>
  <si>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Ecomm Com.</t>
  </si>
  <si>
    <t>MSH (2)</t>
  </si>
  <si>
    <t>C:\Users\ADITYA\Desktop\18415503_GST_SUPPLIER_cron_1733270937955.xlsx</t>
  </si>
  <si>
    <t>AJIO</t>
  </si>
  <si>
    <t>\\ADITYA-TECH\All Sharing\Ecom Setup\Devlop\ecomm statment\ajio.xlsx</t>
  </si>
  <si>
    <t>C2</t>
  </si>
  <si>
    <t>C3</t>
  </si>
  <si>
    <t>C4</t>
  </si>
  <si>
    <t>C5</t>
  </si>
  <si>
    <t>C6</t>
  </si>
  <si>
    <t>C7</t>
  </si>
  <si>
    <t xml:space="preserve">MAHESH </t>
  </si>
  <si>
    <t>24AIFPJ6378M2ZR</t>
  </si>
  <si>
    <t>s</t>
  </si>
  <si>
    <t>225 - KETAN JOGANI</t>
  </si>
  <si>
    <t>ADITYA TECHNOLOGIES</t>
  </si>
  <si>
    <t>B4:B5:2F:DF:4C:08</t>
  </si>
  <si>
    <t>ADITYA-TECH</t>
  </si>
  <si>
    <t>Accepted</t>
  </si>
  <si>
    <t>\\ADITYA-TECH\All Sharing\Ecom Setup\Devlop\ecomm statment\ForwardReports.xlsx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</si>
</sst>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8"/>
      <color rgb="FF000000"/>
      <name val="Segoe UI"/>
      <family val="2"/>
    </font>
    <font>
      <sz val="11"/>
      <color theme="9" tint="0.59999389629810485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0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64" fillId="2" borderId="32" xfId="0" applyFont="1" applyFill="1" applyBorder="1"/>
    <xf numFmtId="0" fontId="64" fillId="2" borderId="0" xfId="0" applyFont="1" applyFill="1"/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2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checked="Checked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checked="Checked" fmlaLink="M29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BB1589BE-9614-4869-AFFC-5915F4D2F93E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3FD01896-0FA5-404D-9592-15A0A121A276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DAC00E5A-D517-4525-8014-930AAB917896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793" name="MSH_CheckBox" hidden="1">
              <a:extLst>
                <a:ext uri="{63B3BB69-23CF-44E3-9099-C40C66FF867C}">
                  <a14:compatExt spid="_x0000_s25793"/>
                </a:ext>
                <a:ext uri="{FF2B5EF4-FFF2-40B4-BE49-F238E27FC236}">
                  <a16:creationId xmlns:a16="http://schemas.microsoft.com/office/drawing/2014/main" id="{00000000-0008-0000-1500-0000C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794" name="MSH (2)_CheckBox" hidden="1">
              <a:extLst>
                <a:ext uri="{63B3BB69-23CF-44E3-9099-C40C66FF867C}">
                  <a14:compatExt spid="_x0000_s25794"/>
                </a:ext>
                <a:ext uri="{FF2B5EF4-FFF2-40B4-BE49-F238E27FC236}">
                  <a16:creationId xmlns:a16="http://schemas.microsoft.com/office/drawing/2014/main" id="{00000000-0008-0000-1500-0000C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795" name="AMZ_CheckBox" hidden="1">
              <a:extLst>
                <a:ext uri="{63B3BB69-23CF-44E3-9099-C40C66FF867C}">
                  <a14:compatExt spid="_x0000_s25795"/>
                </a:ext>
                <a:ext uri="{FF2B5EF4-FFF2-40B4-BE49-F238E27FC236}">
                  <a16:creationId xmlns:a16="http://schemas.microsoft.com/office/drawing/2014/main" id="{00000000-0008-0000-1500-0000C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796" name="AMZ (2)_CheckBox" hidden="1">
              <a:extLst>
                <a:ext uri="{63B3BB69-23CF-44E3-9099-C40C66FF867C}">
                  <a14:compatExt spid="_x0000_s25796"/>
                </a:ext>
                <a:ext uri="{FF2B5EF4-FFF2-40B4-BE49-F238E27FC236}">
                  <a16:creationId xmlns:a16="http://schemas.microsoft.com/office/drawing/2014/main" id="{00000000-0008-0000-1500-0000C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797" name="FLC_CheckBox" hidden="1">
              <a:extLst>
                <a:ext uri="{63B3BB69-23CF-44E3-9099-C40C66FF867C}">
                  <a14:compatExt spid="_x0000_s25797"/>
                </a:ext>
                <a:ext uri="{FF2B5EF4-FFF2-40B4-BE49-F238E27FC236}">
                  <a16:creationId xmlns:a16="http://schemas.microsoft.com/office/drawing/2014/main" id="{00000000-0008-0000-1500-0000C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798" name="FLC (C)_CheckBox" hidden="1">
              <a:extLst>
                <a:ext uri="{63B3BB69-23CF-44E3-9099-C40C66FF867C}">
                  <a14:compatExt spid="_x0000_s25798"/>
                </a:ext>
                <a:ext uri="{FF2B5EF4-FFF2-40B4-BE49-F238E27FC236}">
                  <a16:creationId xmlns:a16="http://schemas.microsoft.com/office/drawing/2014/main" id="{00000000-0008-0000-1500-0000C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799" name="SND_CheckBox" hidden="1">
              <a:extLst>
                <a:ext uri="{63B3BB69-23CF-44E3-9099-C40C66FF867C}">
                  <a14:compatExt spid="_x0000_s25799"/>
                </a:ext>
                <a:ext uri="{FF2B5EF4-FFF2-40B4-BE49-F238E27FC236}">
                  <a16:creationId xmlns:a16="http://schemas.microsoft.com/office/drawing/2014/main" id="{00000000-0008-0000-1500-0000C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800" name="JIO_CheckBox" hidden="1">
              <a:extLst>
                <a:ext uri="{63B3BB69-23CF-44E3-9099-C40C66FF867C}">
                  <a14:compatExt spid="_x0000_s25800"/>
                </a:ext>
                <a:ext uri="{FF2B5EF4-FFF2-40B4-BE49-F238E27FC236}">
                  <a16:creationId xmlns:a16="http://schemas.microsoft.com/office/drawing/2014/main" id="{00000000-0008-0000-1500-0000C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801" name="AJIO_CheckBox" hidden="1">
              <a:extLst>
                <a:ext uri="{63B3BB69-23CF-44E3-9099-C40C66FF867C}">
                  <a14:compatExt spid="_x0000_s25801"/>
                </a:ext>
                <a:ext uri="{FF2B5EF4-FFF2-40B4-BE49-F238E27FC236}">
                  <a16:creationId xmlns:a16="http://schemas.microsoft.com/office/drawing/2014/main" id="{00000000-0008-0000-1500-0000C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802" name="GLR_CheckBox" hidden="1">
              <a:extLst>
                <a:ext uri="{63B3BB69-23CF-44E3-9099-C40C66FF867C}">
                  <a14:compatExt spid="_x0000_s25802"/>
                </a:ext>
                <a:ext uri="{FF2B5EF4-FFF2-40B4-BE49-F238E27FC236}">
                  <a16:creationId xmlns:a16="http://schemas.microsoft.com/office/drawing/2014/main" id="{00000000-0008-0000-1500-0000C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803" name="MYR_CheckBox" hidden="1">
              <a:extLst>
                <a:ext uri="{63B3BB69-23CF-44E3-9099-C40C66FF867C}">
                  <a14:compatExt spid="_x0000_s25803"/>
                </a:ext>
                <a:ext uri="{FF2B5EF4-FFF2-40B4-BE49-F238E27FC236}">
                  <a16:creationId xmlns:a16="http://schemas.microsoft.com/office/drawing/2014/main" id="{00000000-0008-0000-1500-0000C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804" name="MYR (2)_CheckBox" hidden="1">
              <a:extLst>
                <a:ext uri="{63B3BB69-23CF-44E3-9099-C40C66FF867C}">
                  <a14:compatExt spid="_x0000_s25804"/>
                </a:ext>
                <a:ext uri="{FF2B5EF4-FFF2-40B4-BE49-F238E27FC236}">
                  <a16:creationId xmlns:a16="http://schemas.microsoft.com/office/drawing/2014/main" id="{00000000-0008-0000-1500-0000C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805" name="NPTL_CheckBox" hidden="1">
              <a:extLst>
                <a:ext uri="{63B3BB69-23CF-44E3-9099-C40C66FF867C}">
                  <a14:compatExt spid="_x0000_s25805"/>
                </a:ext>
                <a:ext uri="{FF2B5EF4-FFF2-40B4-BE49-F238E27FC236}">
                  <a16:creationId xmlns:a16="http://schemas.microsoft.com/office/drawing/2014/main" id="{00000000-0008-0000-1500-0000C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806" name="MRW_CheckBox" hidden="1">
              <a:extLst>
                <a:ext uri="{63B3BB69-23CF-44E3-9099-C40C66FF867C}">
                  <a14:compatExt spid="_x0000_s25806"/>
                </a:ext>
                <a:ext uri="{FF2B5EF4-FFF2-40B4-BE49-F238E27FC236}">
                  <a16:creationId xmlns:a16="http://schemas.microsoft.com/office/drawing/2014/main" id="{00000000-0008-0000-1500-0000C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807" name="S101_CheckBox" hidden="1">
              <a:extLst>
                <a:ext uri="{63B3BB69-23CF-44E3-9099-C40C66FF867C}">
                  <a14:compatExt spid="_x0000_s25807"/>
                </a:ext>
                <a:ext uri="{FF2B5EF4-FFF2-40B4-BE49-F238E27FC236}">
                  <a16:creationId xmlns:a16="http://schemas.microsoft.com/office/drawing/2014/main" id="{00000000-0008-0000-1500-0000C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808" name="S101 (2)_CheckBox" hidden="1">
              <a:extLst>
                <a:ext uri="{63B3BB69-23CF-44E3-9099-C40C66FF867C}">
                  <a14:compatExt spid="_x0000_s25808"/>
                </a:ext>
                <a:ext uri="{FF2B5EF4-FFF2-40B4-BE49-F238E27FC236}">
                  <a16:creationId xmlns:a16="http://schemas.microsoft.com/office/drawing/2014/main" id="{00000000-0008-0000-1500-0000D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809" name="S101 (3)_CheckBox" hidden="1">
              <a:extLst>
                <a:ext uri="{63B3BB69-23CF-44E3-9099-C40C66FF867C}">
                  <a14:compatExt spid="_x0000_s25809"/>
                </a:ext>
                <a:ext uri="{FF2B5EF4-FFF2-40B4-BE49-F238E27FC236}">
                  <a16:creationId xmlns:a16="http://schemas.microsoft.com/office/drawing/2014/main" id="{00000000-0008-0000-1500-0000D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810" name="VMT_CheckBox" hidden="1">
              <a:extLst>
                <a:ext uri="{63B3BB69-23CF-44E3-9099-C40C66FF867C}">
                  <a14:compatExt spid="_x0000_s25810"/>
                </a:ext>
                <a:ext uri="{FF2B5EF4-FFF2-40B4-BE49-F238E27FC236}">
                  <a16:creationId xmlns:a16="http://schemas.microsoft.com/office/drawing/2014/main" id="{00000000-0008-0000-1500-0000D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811" name="UNI_CheckBox" hidden="1">
              <a:extLst>
                <a:ext uri="{63B3BB69-23CF-44E3-9099-C40C66FF867C}">
                  <a14:compatExt spid="_x0000_s25811"/>
                </a:ext>
                <a:ext uri="{FF2B5EF4-FFF2-40B4-BE49-F238E27FC236}">
                  <a16:creationId xmlns:a16="http://schemas.microsoft.com/office/drawing/2014/main" id="{00000000-0008-0000-1500-0000D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812" name="AMZ TR_CheckBox" hidden="1">
              <a:extLst>
                <a:ext uri="{63B3BB69-23CF-44E3-9099-C40C66FF867C}">
                  <a14:compatExt spid="_x0000_s25812"/>
                </a:ext>
                <a:ext uri="{FF2B5EF4-FFF2-40B4-BE49-F238E27FC236}">
                  <a16:creationId xmlns:a16="http://schemas.microsoft.com/office/drawing/2014/main" id="{00000000-0008-0000-1500-0000D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813" name="GSTR2B_CheckBox" hidden="1">
              <a:extLst>
                <a:ext uri="{63B3BB69-23CF-44E3-9099-C40C66FF867C}">
                  <a14:compatExt spid="_x0000_s25813"/>
                </a:ext>
                <a:ext uri="{FF2B5EF4-FFF2-40B4-BE49-F238E27FC236}">
                  <a16:creationId xmlns:a16="http://schemas.microsoft.com/office/drawing/2014/main" id="{00000000-0008-0000-1500-0000D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723900</xdr:colOff>
      <xdr:row>3</xdr:row>
      <xdr:rowOff>95250</xdr:rowOff>
    </xdr:from>
    <xdr:to>
      <xdr:col>9</xdr:col>
      <xdr:colOff>438150</xdr:colOff>
      <xdr:row>4</xdr:row>
      <xdr:rowOff>200175</xdr:rowOff>
    </xdr:to>
    <xdr:sp macro="[0]!patchsetform" textlink="">
      <xdr:nvSpPr>
        <xdr:cNvPr id="4" name="Rounded Rectangle 1">
          <a:extLst>
            <a:ext uri="{FF2B5EF4-FFF2-40B4-BE49-F238E27FC236}">
              <a16:creationId xmlns:a16="http://schemas.microsoft.com/office/drawing/2014/main" id="{E3D1EB13-6AB9-4C9F-A8AC-24988809BEF9}"/>
            </a:ext>
          </a:extLst>
        </xdr:cNvPr>
        <xdr:cNvSpPr>
          <a:spLocks/>
        </xdr:cNvSpPr>
      </xdr:nvSpPr>
      <xdr:spPr>
        <a:xfrm>
          <a:off x="12725400" y="83820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Path</a:t>
          </a:r>
          <a:r>
            <a:rPr lang="en-US" sz="1100" b="1" baseline="0">
              <a:solidFill>
                <a:schemeClr val="tx1"/>
              </a:solidFill>
            </a:rPr>
            <a:t> Set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714375</xdr:colOff>
      <xdr:row>1</xdr:row>
      <xdr:rowOff>85725</xdr:rowOff>
    </xdr:from>
    <xdr:to>
      <xdr:col>9</xdr:col>
      <xdr:colOff>428625</xdr:colOff>
      <xdr:row>2</xdr:row>
      <xdr:rowOff>190650</xdr:rowOff>
    </xdr:to>
    <xdr:sp macro="[0]!OpenCompListBtn_Click" textlink="">
      <xdr:nvSpPr>
        <xdr:cNvPr id="5" name="Rounded Rectangle 1">
          <a:extLst>
            <a:ext uri="{FF2B5EF4-FFF2-40B4-BE49-F238E27FC236}">
              <a16:creationId xmlns:a16="http://schemas.microsoft.com/office/drawing/2014/main" id="{3895595B-180B-44E5-8158-68E85E92D1BD}"/>
            </a:ext>
          </a:extLst>
        </xdr:cNvPr>
        <xdr:cNvSpPr>
          <a:spLocks/>
        </xdr:cNvSpPr>
      </xdr:nvSpPr>
      <xdr:spPr>
        <a:xfrm>
          <a:off x="12715875" y="390525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401" t="s">
        <v>235</v>
      </c>
      <c r="P1" s="402"/>
      <c r="AB1" s="16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296</v>
      </c>
      <c r="S2" s="2"/>
      <c r="AD2" s="86" t="s">
        <v>325</v>
      </c>
      <c r="AE2" s="86" t="s">
        <v>793</v>
      </c>
      <c r="AF2" s="86" t="s">
        <v>790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876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 t="s">
        <v>929</v>
      </c>
      <c r="E3" s="74"/>
      <c r="F3" s="62"/>
      <c r="G3" s="75"/>
      <c r="H3" s="76"/>
      <c r="I3" s="62"/>
      <c r="J3" s="62"/>
      <c r="K3" s="62"/>
      <c r="L3" s="62" t="s">
        <v>924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6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905</v>
      </c>
      <c r="X4" s="396" t="s">
        <v>906</v>
      </c>
      <c r="Y4" s="396" t="s">
        <v>907</v>
      </c>
      <c r="Z4" s="396" t="s">
        <v>908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909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UZ5aoQ+1i+Od7nC6qWEiwGWI8Vh9kpcfAbQWGTMCCFeu5fVXS/xTdpOQjR6P9ABobaDRofwAqs7Su3i57BEG4A==" saltValue="O6fmI/QltFOFLmiopSXwpw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93" priority="17" operator="equal">
      <formula>#N/A</formula>
    </cfRule>
  </conditionalFormatting>
  <conditionalFormatting sqref="H1:H2">
    <cfRule type="cellIs" dxfId="292" priority="16" operator="equal">
      <formula>#N/A</formula>
    </cfRule>
  </conditionalFormatting>
  <conditionalFormatting sqref="E1">
    <cfRule type="cellIs" dxfId="291" priority="10" operator="equal">
      <formula>#N/A</formula>
    </cfRule>
  </conditionalFormatting>
  <conditionalFormatting sqref="I1:I2">
    <cfRule type="cellIs" dxfId="290" priority="9" operator="equal">
      <formula>#N/A</formula>
    </cfRule>
  </conditionalFormatting>
  <conditionalFormatting sqref="J1:J2">
    <cfRule type="cellIs" dxfId="289" priority="8" operator="equal">
      <formula>#N/A</formula>
    </cfRule>
  </conditionalFormatting>
  <conditionalFormatting sqref="J1">
    <cfRule type="containsText" dxfId="288" priority="6" operator="containsText" text="All Data Import Successfully">
      <formula>NOT(ISERROR(SEARCH("All Data Import Successfully",J1)))</formula>
    </cfRule>
    <cfRule type="containsText" dxfId="287" priority="7" operator="containsText" text="Difference Entry">
      <formula>NOT(ISERROR(SEARCH("Difference Entry",J1)))</formula>
    </cfRule>
  </conditionalFormatting>
  <conditionalFormatting sqref="J2">
    <cfRule type="cellIs" dxfId="286" priority="5" operator="equal">
      <formula>0</formula>
    </cfRule>
  </conditionalFormatting>
  <conditionalFormatting sqref="K2">
    <cfRule type="cellIs" dxfId="285" priority="4" operator="equal">
      <formula>#N/A</formula>
    </cfRule>
  </conditionalFormatting>
  <conditionalFormatting sqref="E4">
    <cfRule type="cellIs" dxfId="28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401" t="s">
        <v>235</v>
      </c>
      <c r="P1" s="402"/>
      <c r="AB1" s="16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+(COUNTIF(DE:DE,"StateERROR"))+(COUNTIF(DD:DD,"ProductERROR")-1)+(COUNTIF(DL:DL,"AmountERROR"))</f>
        <v>0</v>
      </c>
      <c r="O2" s="94">
        <v>1</v>
      </c>
      <c r="P2" s="95" t="s">
        <v>296</v>
      </c>
      <c r="S2" s="2"/>
      <c r="AD2" s="86" t="s">
        <v>325</v>
      </c>
      <c r="AE2" s="86" t="s">
        <v>793</v>
      </c>
      <c r="AF2" s="86" t="s">
        <v>790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876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 t="s">
        <v>929</v>
      </c>
      <c r="E3" s="74"/>
      <c r="F3" s="62"/>
      <c r="G3" s="75"/>
      <c r="H3" s="76"/>
      <c r="I3" s="62"/>
      <c r="J3" s="62"/>
      <c r="K3" s="62"/>
      <c r="L3" s="62" t="s">
        <v>924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4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4" t="s">
        <v>85</v>
      </c>
      <c r="DG3" s="28" t="e">
        <f>+VALUE(B3)</f>
        <v>#VALUE!</v>
      </c>
      <c r="DH3" s="29" t="str">
        <f>+D3</f>
        <v>\\ADITYA-TECH\All Sharing\Ecom Setup\Devlop\ecomm statment\ForwardReports.xlsx</v>
      </c>
      <c r="DI3" s="114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8">
        <f>IFERROR(VALUE(IF($R$2="nullremove",IF(ISBLANK(AL3),IF(H3="null",0,AE3),IF(G3="null",0,-AG3)),IF(ISBLANK(AL3),AE3,-AG3))),"AmountERROR")</f>
        <v>0</v>
      </c>
      <c r="DM3" s="397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905</v>
      </c>
      <c r="X4" s="396" t="s">
        <v>906</v>
      </c>
      <c r="Y4" s="396" t="s">
        <v>907</v>
      </c>
      <c r="Z4" s="396" t="s">
        <v>908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909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rATj5r6P1IHXuuW7fhcg/wJ3Tj7eWgNuAdAtpXdqltS0xR28IdC1yr5tIxKjfik11NGNDNjpEcO8uetkVbl8yg==" saltValue="uSsFavzd5BXe2IRsw4JkCw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3" priority="10" operator="equal">
      <formula>#N/A</formula>
    </cfRule>
  </conditionalFormatting>
  <conditionalFormatting sqref="H1:H2">
    <cfRule type="cellIs" dxfId="282" priority="9" operator="equal">
      <formula>#N/A</formula>
    </cfRule>
  </conditionalFormatting>
  <conditionalFormatting sqref="E1">
    <cfRule type="cellIs" dxfId="281" priority="8" operator="equal">
      <formula>#N/A</formula>
    </cfRule>
  </conditionalFormatting>
  <conditionalFormatting sqref="I1:I2">
    <cfRule type="cellIs" dxfId="280" priority="7" operator="equal">
      <formula>#N/A</formula>
    </cfRule>
  </conditionalFormatting>
  <conditionalFormatting sqref="J1:J2">
    <cfRule type="cellIs" dxfId="279" priority="6" operator="equal">
      <formula>#N/A</formula>
    </cfRule>
  </conditionalFormatting>
  <conditionalFormatting sqref="J1">
    <cfRule type="containsText" dxfId="278" priority="4" operator="containsText" text="All Data Import Successfully">
      <formula>NOT(ISERROR(SEARCH("All Data Import Successfully",J1)))</formula>
    </cfRule>
    <cfRule type="containsText" dxfId="277" priority="5" operator="containsText" text="Difference Entry">
      <formula>NOT(ISERROR(SEARCH("Difference Entry",J1)))</formula>
    </cfRule>
  </conditionalFormatting>
  <conditionalFormatting sqref="J2">
    <cfRule type="cellIs" dxfId="276" priority="3" operator="equal">
      <formula>0</formula>
    </cfRule>
  </conditionalFormatting>
  <conditionalFormatting sqref="K2">
    <cfRule type="cellIs" dxfId="275" priority="2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A5" sqref="A5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876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904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6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7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165</v>
      </c>
      <c r="P4" s="82" t="s">
        <v>166</v>
      </c>
      <c r="Q4" s="82" t="s">
        <v>167</v>
      </c>
      <c r="R4" s="82" t="s">
        <v>168</v>
      </c>
      <c r="S4" s="82" t="s">
        <v>169</v>
      </c>
      <c r="T4" s="82" t="s">
        <v>170</v>
      </c>
      <c r="U4" s="82" t="s">
        <v>171</v>
      </c>
      <c r="V4" s="82" t="s">
        <v>172</v>
      </c>
      <c r="W4" s="82" t="s">
        <v>173</v>
      </c>
      <c r="X4" s="82" t="s">
        <v>174</v>
      </c>
      <c r="Y4" s="82" t="s">
        <v>175</v>
      </c>
      <c r="Z4" s="82" t="s">
        <v>176</v>
      </c>
      <c r="AA4" s="82" t="s">
        <v>177</v>
      </c>
      <c r="AB4" s="82" t="s">
        <v>178</v>
      </c>
      <c r="AC4" s="82" t="s">
        <v>179</v>
      </c>
      <c r="AD4" s="82" t="s">
        <v>180</v>
      </c>
      <c r="AE4" s="82" t="s">
        <v>181</v>
      </c>
      <c r="AF4" s="82" t="s">
        <v>182</v>
      </c>
      <c r="AG4" s="82" t="s">
        <v>183</v>
      </c>
      <c r="AH4" s="82" t="s">
        <v>184</v>
      </c>
      <c r="AI4" s="82" t="s">
        <v>185</v>
      </c>
      <c r="AJ4" s="82" t="s">
        <v>186</v>
      </c>
      <c r="AK4" s="82" t="s">
        <v>187</v>
      </c>
      <c r="AL4" s="82" t="s">
        <v>188</v>
      </c>
      <c r="AM4" s="82" t="s">
        <v>189</v>
      </c>
      <c r="AN4" s="82" t="s">
        <v>190</v>
      </c>
      <c r="AO4" s="82" t="s">
        <v>191</v>
      </c>
      <c r="AP4" s="82" t="s">
        <v>192</v>
      </c>
      <c r="AQ4" s="82" t="s">
        <v>193</v>
      </c>
      <c r="AR4" s="82" t="s">
        <v>194</v>
      </c>
      <c r="AS4" s="82" t="s">
        <v>195</v>
      </c>
      <c r="AT4" s="82" t="s">
        <v>196</v>
      </c>
      <c r="AU4" s="82" t="s">
        <v>197</v>
      </c>
      <c r="AV4" s="82" t="s">
        <v>198</v>
      </c>
      <c r="AW4" s="82" t="s">
        <v>897</v>
      </c>
      <c r="AX4" s="82" t="s">
        <v>199</v>
      </c>
      <c r="AY4" s="82" t="s">
        <v>200</v>
      </c>
      <c r="AZ4" s="82" t="s">
        <v>201</v>
      </c>
      <c r="BA4" s="82" t="s">
        <v>202</v>
      </c>
      <c r="BB4" s="82" t="s">
        <v>203</v>
      </c>
      <c r="BC4" s="82" t="s">
        <v>204</v>
      </c>
      <c r="BD4" s="82" t="s">
        <v>205</v>
      </c>
      <c r="BE4" s="82" t="s">
        <v>206</v>
      </c>
      <c r="BF4" s="82" t="s">
        <v>207</v>
      </c>
      <c r="BG4" s="82" t="s">
        <v>894</v>
      </c>
      <c r="BH4" s="82" t="s">
        <v>208</v>
      </c>
      <c r="BI4" s="82" t="s">
        <v>209</v>
      </c>
      <c r="BJ4" s="82" t="s">
        <v>895</v>
      </c>
      <c r="BK4" s="82" t="s">
        <v>210</v>
      </c>
      <c r="BL4" s="82" t="s">
        <v>211</v>
      </c>
      <c r="BM4" s="82" t="s">
        <v>896</v>
      </c>
      <c r="BN4" s="82" t="s">
        <v>212</v>
      </c>
      <c r="BO4" s="82" t="s">
        <v>213</v>
      </c>
      <c r="BP4" s="82" t="s">
        <v>214</v>
      </c>
      <c r="BQ4" s="82" t="s">
        <v>215</v>
      </c>
      <c r="BR4" s="82" t="s">
        <v>216</v>
      </c>
      <c r="BS4" s="82" t="s">
        <v>217</v>
      </c>
      <c r="BT4" s="82" t="s">
        <v>218</v>
      </c>
      <c r="BU4" s="82" t="s">
        <v>219</v>
      </c>
      <c r="BV4" s="82" t="s">
        <v>220</v>
      </c>
      <c r="BW4" s="82" t="s">
        <v>221</v>
      </c>
      <c r="BX4" s="82" t="s">
        <v>222</v>
      </c>
      <c r="BY4" s="82" t="s">
        <v>223</v>
      </c>
      <c r="BZ4" s="385" t="s">
        <v>224</v>
      </c>
      <c r="CA4" s="82" t="s">
        <v>225</v>
      </c>
      <c r="CB4" s="82" t="s">
        <v>226</v>
      </c>
      <c r="CC4" s="82" t="s">
        <v>227</v>
      </c>
      <c r="CD4" s="82" t="s">
        <v>898</v>
      </c>
      <c r="CE4" s="82" t="s">
        <v>228</v>
      </c>
      <c r="CF4" s="82" t="s">
        <v>229</v>
      </c>
      <c r="CG4" s="82" t="s">
        <v>230</v>
      </c>
      <c r="CH4" s="82" t="s">
        <v>231</v>
      </c>
      <c r="CI4" s="82" t="s">
        <v>232</v>
      </c>
      <c r="CJ4" s="108" t="s">
        <v>233</v>
      </c>
      <c r="CK4" s="82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bqH3eHficiqdJjZAWmWnGpoAp8mMiDaZzAbjXLX2rEQT6fg64Pfs0QNUZqBUxo8Xp4SXdOqXrQRbYfofmxGJ3A==" saltValue="vCjpGASGk1rWN6Dj8flgZg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901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6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7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8"/>
      <c r="DR3" s="119"/>
      <c r="DS3" s="119"/>
      <c r="DT3" s="119"/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879</v>
      </c>
      <c r="P4" s="82" t="s">
        <v>165</v>
      </c>
      <c r="Q4" s="82" t="s">
        <v>166</v>
      </c>
      <c r="R4" s="82" t="s">
        <v>167</v>
      </c>
      <c r="S4" s="82" t="s">
        <v>168</v>
      </c>
      <c r="T4" s="82" t="s">
        <v>169</v>
      </c>
      <c r="U4" s="82" t="s">
        <v>170</v>
      </c>
      <c r="V4" s="82" t="s">
        <v>171</v>
      </c>
      <c r="W4" s="82" t="s">
        <v>172</v>
      </c>
      <c r="X4" s="82" t="s">
        <v>173</v>
      </c>
      <c r="Y4" s="82" t="s">
        <v>174</v>
      </c>
      <c r="Z4" s="82" t="s">
        <v>175</v>
      </c>
      <c r="AA4" s="82" t="s">
        <v>176</v>
      </c>
      <c r="AB4" s="82" t="s">
        <v>177</v>
      </c>
      <c r="AC4" s="82" t="s">
        <v>178</v>
      </c>
      <c r="AD4" s="82" t="s">
        <v>179</v>
      </c>
      <c r="AE4" s="82" t="s">
        <v>180</v>
      </c>
      <c r="AF4" s="82" t="s">
        <v>181</v>
      </c>
      <c r="AG4" s="82" t="s">
        <v>182</v>
      </c>
      <c r="AH4" s="82" t="s">
        <v>183</v>
      </c>
      <c r="AI4" s="82" t="s">
        <v>184</v>
      </c>
      <c r="AJ4" s="82" t="s">
        <v>185</v>
      </c>
      <c r="AK4" s="82" t="s">
        <v>186</v>
      </c>
      <c r="AL4" s="82" t="s">
        <v>187</v>
      </c>
      <c r="AM4" s="82" t="s">
        <v>188</v>
      </c>
      <c r="AN4" s="82" t="s">
        <v>189</v>
      </c>
      <c r="AO4" s="82" t="s">
        <v>191</v>
      </c>
      <c r="AP4" s="82" t="s">
        <v>190</v>
      </c>
      <c r="AQ4" s="82" t="s">
        <v>192</v>
      </c>
      <c r="AR4" s="82" t="s">
        <v>193</v>
      </c>
      <c r="AS4" s="82" t="s">
        <v>194</v>
      </c>
      <c r="AT4" s="82" t="s">
        <v>195</v>
      </c>
      <c r="AU4" s="82" t="s">
        <v>196</v>
      </c>
      <c r="AV4" s="82" t="s">
        <v>197</v>
      </c>
      <c r="AW4" s="82" t="s">
        <v>198</v>
      </c>
      <c r="AX4" s="82" t="s">
        <v>880</v>
      </c>
      <c r="AY4" s="82" t="s">
        <v>199</v>
      </c>
      <c r="AZ4" s="82" t="s">
        <v>200</v>
      </c>
      <c r="BA4" s="82" t="s">
        <v>201</v>
      </c>
      <c r="BB4" s="82" t="s">
        <v>202</v>
      </c>
      <c r="BC4" s="82" t="s">
        <v>203</v>
      </c>
      <c r="BD4" s="82" t="s">
        <v>204</v>
      </c>
      <c r="BE4" s="82" t="s">
        <v>205</v>
      </c>
      <c r="BF4" s="82" t="s">
        <v>206</v>
      </c>
      <c r="BG4" s="82" t="s">
        <v>207</v>
      </c>
      <c r="BH4" s="82" t="s">
        <v>881</v>
      </c>
      <c r="BI4" s="82" t="s">
        <v>208</v>
      </c>
      <c r="BJ4" s="82" t="s">
        <v>209</v>
      </c>
      <c r="BK4" s="82" t="s">
        <v>882</v>
      </c>
      <c r="BL4" s="82" t="s">
        <v>210</v>
      </c>
      <c r="BM4" s="82" t="s">
        <v>211</v>
      </c>
      <c r="BN4" s="82" t="s">
        <v>883</v>
      </c>
      <c r="BO4" s="82" t="s">
        <v>212</v>
      </c>
      <c r="BP4" s="82" t="s">
        <v>213</v>
      </c>
      <c r="BQ4" s="82" t="s">
        <v>214</v>
      </c>
      <c r="BR4" s="82" t="s">
        <v>215</v>
      </c>
      <c r="BS4" s="82" t="s">
        <v>216</v>
      </c>
      <c r="BT4" s="82" t="s">
        <v>217</v>
      </c>
      <c r="BU4" s="82" t="s">
        <v>218</v>
      </c>
      <c r="BV4" s="82" t="s">
        <v>219</v>
      </c>
      <c r="BW4" s="82" t="s">
        <v>220</v>
      </c>
      <c r="BX4" s="82" t="s">
        <v>221</v>
      </c>
      <c r="BY4" s="82" t="s">
        <v>222</v>
      </c>
      <c r="BZ4" s="82" t="s">
        <v>229</v>
      </c>
      <c r="CA4" s="82" t="s">
        <v>230</v>
      </c>
      <c r="CB4" s="82" t="s">
        <v>231</v>
      </c>
      <c r="CC4" s="82" t="s">
        <v>232</v>
      </c>
      <c r="CD4" s="82" t="s">
        <v>233</v>
      </c>
      <c r="CE4" s="82" t="s">
        <v>234</v>
      </c>
      <c r="CF4" s="82" t="s">
        <v>223</v>
      </c>
      <c r="CG4" s="82" t="s">
        <v>224</v>
      </c>
      <c r="CH4" s="82" t="s">
        <v>225</v>
      </c>
      <c r="CI4" s="82" t="s">
        <v>226</v>
      </c>
      <c r="CJ4" s="82" t="s">
        <v>227</v>
      </c>
      <c r="CK4" s="82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QNrdBsIcETFJLMikvQUXtQ61sUHaBdREvRfh0qC9smF0uWHV5EU6HDgTewqiY2iiueEGsYD1GO5vN7UbT6uOwA==" saltValue="0IRxTG/+Ys5W72tu6HM0Y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142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887</v>
      </c>
      <c r="O1" s="401" t="s">
        <v>235</v>
      </c>
      <c r="P1" s="402"/>
      <c r="Q1" s="2"/>
      <c r="R1" s="2"/>
      <c r="S1" s="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AD2" s="86" t="s">
        <v>325</v>
      </c>
      <c r="AE2" s="86" t="s">
        <v>793</v>
      </c>
      <c r="AF2" s="86" t="s">
        <v>790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3" customFormat="1" ht="15.75" thickBot="1" x14ac:dyDescent="0.3">
      <c r="A3" s="372"/>
      <c r="B3" s="63" t="s">
        <v>84</v>
      </c>
      <c r="C3" s="8"/>
      <c r="D3" s="8" t="s">
        <v>893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6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0" t="str">
        <f>+DI3</f>
        <v/>
      </c>
      <c r="DQ3" s="12"/>
      <c r="DR3" s="12"/>
      <c r="DS3" s="12"/>
    </row>
    <row r="4" spans="1:123" s="132" customFormat="1" ht="15.75" thickBot="1" x14ac:dyDescent="0.3">
      <c r="A4" s="169" t="s">
        <v>246</v>
      </c>
      <c r="B4" s="170" t="s">
        <v>247</v>
      </c>
      <c r="C4" s="170" t="s">
        <v>248</v>
      </c>
      <c r="D4" s="170" t="s">
        <v>249</v>
      </c>
      <c r="E4" s="170" t="s">
        <v>250</v>
      </c>
      <c r="F4" s="170" t="s">
        <v>251</v>
      </c>
      <c r="G4" s="170" t="s">
        <v>55</v>
      </c>
      <c r="H4" s="170" t="s">
        <v>252</v>
      </c>
      <c r="I4" s="170" t="s">
        <v>253</v>
      </c>
      <c r="J4" s="170" t="s">
        <v>254</v>
      </c>
      <c r="K4" s="170" t="s">
        <v>255</v>
      </c>
      <c r="L4" s="170" t="s">
        <v>158</v>
      </c>
      <c r="M4" s="170" t="s">
        <v>256</v>
      </c>
      <c r="N4" s="170" t="s">
        <v>257</v>
      </c>
      <c r="O4" s="170" t="s">
        <v>258</v>
      </c>
      <c r="P4" s="170" t="s">
        <v>532</v>
      </c>
      <c r="Q4" s="170" t="s">
        <v>259</v>
      </c>
      <c r="R4" s="170" t="s">
        <v>260</v>
      </c>
      <c r="S4" s="170" t="s">
        <v>261</v>
      </c>
      <c r="T4" s="170" t="s">
        <v>262</v>
      </c>
      <c r="U4" s="170" t="s">
        <v>263</v>
      </c>
      <c r="V4" s="170" t="s">
        <v>264</v>
      </c>
      <c r="W4" s="170" t="s">
        <v>265</v>
      </c>
      <c r="X4" s="170" t="s">
        <v>266</v>
      </c>
      <c r="Y4" s="170" t="s">
        <v>267</v>
      </c>
      <c r="Z4" s="170" t="s">
        <v>295</v>
      </c>
      <c r="AA4" s="170" t="s">
        <v>268</v>
      </c>
      <c r="AB4" s="170" t="s">
        <v>269</v>
      </c>
      <c r="AC4" s="170" t="s">
        <v>270</v>
      </c>
      <c r="AD4" s="170" t="s">
        <v>271</v>
      </c>
      <c r="AE4" s="170" t="s">
        <v>272</v>
      </c>
      <c r="AF4" s="170" t="s">
        <v>273</v>
      </c>
      <c r="AG4" s="170" t="s">
        <v>274</v>
      </c>
      <c r="AH4" s="170" t="s">
        <v>275</v>
      </c>
      <c r="AI4" s="170" t="s">
        <v>276</v>
      </c>
      <c r="AJ4" s="170" t="s">
        <v>277</v>
      </c>
      <c r="AK4" s="170" t="s">
        <v>278</v>
      </c>
      <c r="AL4" s="170" t="s">
        <v>279</v>
      </c>
      <c r="AM4" s="170" t="s">
        <v>280</v>
      </c>
      <c r="AN4" s="170" t="s">
        <v>281</v>
      </c>
      <c r="AO4" s="170" t="s">
        <v>282</v>
      </c>
      <c r="AP4" s="170" t="s">
        <v>283</v>
      </c>
      <c r="AQ4" s="170" t="s">
        <v>284</v>
      </c>
      <c r="AR4" s="170" t="s">
        <v>285</v>
      </c>
      <c r="AS4" s="170" t="s">
        <v>286</v>
      </c>
      <c r="AT4" s="170" t="s">
        <v>287</v>
      </c>
      <c r="AU4" s="170" t="s">
        <v>288</v>
      </c>
      <c r="AV4" s="170" t="s">
        <v>289</v>
      </c>
      <c r="AW4" s="170" t="s">
        <v>290</v>
      </c>
      <c r="AX4" s="170" t="s">
        <v>291</v>
      </c>
      <c r="AY4" s="170" t="s">
        <v>292</v>
      </c>
      <c r="AZ4" s="170" t="s">
        <v>293</v>
      </c>
      <c r="BA4" s="170" t="s">
        <v>294</v>
      </c>
      <c r="BB4" s="170" t="s">
        <v>360</v>
      </c>
      <c r="BC4" s="171" t="s">
        <v>361</v>
      </c>
    </row>
  </sheetData>
  <sheetProtection algorithmName="SHA-512" hashValue="f5DgTkGPL6ZGDSzPv+5wLTxz5E8Tzss1pdqahV3rSVvhD4gCgSIGIqZ+LHeq7WbDANRwFjYY1MX6Haz72e1nBw==" saltValue="DmifYYNSxdfw3oKN1aZjQA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B11" sqref="B11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1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24"/>
      <c r="B3" s="16" t="s">
        <v>84</v>
      </c>
      <c r="D3" s="16" t="s">
        <v>893</v>
      </c>
      <c r="L3" s="16" t="s">
        <v>924</v>
      </c>
      <c r="DA3" s="144" t="e">
        <f>VLOOKUP(VALUE(LEFT(A3,2)),Help!$E$2:$F$45,2,0)</f>
        <v>#VALUE!</v>
      </c>
      <c r="DB3" s="144" t="str">
        <f>+B$3</f>
        <v>Flipcart</v>
      </c>
      <c r="DC3" s="145" t="s">
        <v>85</v>
      </c>
      <c r="DD3" s="144" t="str">
        <f ca="1">IFERROR(CONCATENATE(DJ3,"%",," ","(",DI3,")"),"+++++++++")</f>
        <v>+++++++++</v>
      </c>
      <c r="DE3" s="144" t="str">
        <f>IFERROR(VLOOKUP(Y3,Help!$A$2:B$170,2,0),"+++++++++")</f>
        <v>+++++++++</v>
      </c>
      <c r="DF3" s="145" t="s">
        <v>85</v>
      </c>
      <c r="DG3" s="146" t="e">
        <f>VALUE(SUBSTITUTE(LEFT(H3,10),"-","/"))</f>
        <v>#VALUE!</v>
      </c>
      <c r="DH3" s="144">
        <f>+F3</f>
        <v>0</v>
      </c>
      <c r="DI3" s="147" t="str">
        <f ca="1">IFERROR(VLOOKUP(DJ3,INDIRECT("FLC!$DJ$5:$DP$75000"),7,FALSE),"")</f>
        <v/>
      </c>
      <c r="DJ3" s="144" t="e">
        <f>+L3+N3+P3</f>
        <v>#VALUE!</v>
      </c>
      <c r="DK3" s="148" t="s">
        <v>85</v>
      </c>
      <c r="DL3" s="152">
        <f>+VALUE(I3)</f>
        <v>0</v>
      </c>
      <c r="DM3" s="152">
        <f>+VALUE(X3)</f>
        <v>0</v>
      </c>
      <c r="DN3" s="144" t="str">
        <f ca="1">CONCATENATE(IF(DE3="+++++++++","State",""),IF(DD3="+++++++++","HSN CODE",""))</f>
        <v>StateHSN CODE</v>
      </c>
      <c r="DO3" s="144" t="str">
        <f ca="1">CONCATENATE(IF(DE3="+++++++++",Y3,""),IF(DD3="+++++++++","HSN Code Req.",""))</f>
        <v>HSN Code Req.</v>
      </c>
    </row>
    <row r="4" spans="1:119" x14ac:dyDescent="0.25">
      <c r="A4" s="172" t="s">
        <v>246</v>
      </c>
      <c r="B4" s="172" t="s">
        <v>247</v>
      </c>
      <c r="C4" s="172" t="s">
        <v>248</v>
      </c>
      <c r="D4" s="172" t="s">
        <v>534</v>
      </c>
      <c r="E4" s="172" t="s">
        <v>535</v>
      </c>
      <c r="F4" s="172" t="s">
        <v>536</v>
      </c>
      <c r="G4" s="172" t="s">
        <v>178</v>
      </c>
      <c r="H4" s="172" t="s">
        <v>153</v>
      </c>
      <c r="I4" s="172" t="s">
        <v>537</v>
      </c>
      <c r="J4" s="172" t="s">
        <v>271</v>
      </c>
      <c r="K4" s="172" t="s">
        <v>272</v>
      </c>
      <c r="L4" s="172" t="s">
        <v>273</v>
      </c>
      <c r="M4" s="172" t="s">
        <v>274</v>
      </c>
      <c r="N4" s="172" t="s">
        <v>275</v>
      </c>
      <c r="O4" s="172" t="s">
        <v>276</v>
      </c>
      <c r="P4" s="172" t="s">
        <v>277</v>
      </c>
      <c r="Q4" s="172" t="s">
        <v>278</v>
      </c>
      <c r="R4" s="172" t="s">
        <v>279</v>
      </c>
      <c r="S4" s="172" t="s">
        <v>280</v>
      </c>
      <c r="T4" s="172" t="s">
        <v>281</v>
      </c>
      <c r="U4" s="172" t="s">
        <v>282</v>
      </c>
      <c r="V4" s="172" t="s">
        <v>283</v>
      </c>
      <c r="W4" s="172" t="s">
        <v>284</v>
      </c>
      <c r="X4" s="172" t="s">
        <v>285</v>
      </c>
      <c r="Y4" s="172" t="s">
        <v>292</v>
      </c>
      <c r="Z4" s="172" t="s">
        <v>294</v>
      </c>
      <c r="AA4" s="172" t="s">
        <v>360</v>
      </c>
      <c r="AB4" s="172" t="s">
        <v>361</v>
      </c>
    </row>
  </sheetData>
  <sheetProtection algorithmName="SHA-512" hashValue="Y92Z1ehGqsC69bAs/HuWppiDPxrbAMXd0oc6im3uOqzejl3pzIzmO6AnJJDoIYP+M5TWVx3xCB4rqQmdIpbEfA==" saltValue="HENKt6PFXDuuo52Twx49UQ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873</v>
      </c>
      <c r="C3" s="8"/>
      <c r="D3" s="8" t="s">
        <v>738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4" t="s">
        <v>739</v>
      </c>
      <c r="B4" s="225" t="s">
        <v>154</v>
      </c>
      <c r="C4" s="225" t="s">
        <v>740</v>
      </c>
      <c r="D4" s="225" t="s">
        <v>152</v>
      </c>
      <c r="E4" s="225" t="s">
        <v>741</v>
      </c>
      <c r="F4" s="225" t="s">
        <v>742</v>
      </c>
      <c r="G4" s="225" t="s">
        <v>743</v>
      </c>
      <c r="H4" s="225" t="s">
        <v>744</v>
      </c>
      <c r="I4" s="225" t="s">
        <v>745</v>
      </c>
      <c r="J4" s="225" t="s">
        <v>746</v>
      </c>
      <c r="K4" s="225" t="s">
        <v>440</v>
      </c>
      <c r="L4" s="225" t="s">
        <v>410</v>
      </c>
      <c r="M4" s="225" t="s">
        <v>275</v>
      </c>
      <c r="N4" s="225" t="s">
        <v>409</v>
      </c>
      <c r="O4" s="225" t="s">
        <v>273</v>
      </c>
      <c r="P4" s="225" t="s">
        <v>412</v>
      </c>
      <c r="Q4" s="225" t="s">
        <v>441</v>
      </c>
      <c r="R4" s="225" t="s">
        <v>411</v>
      </c>
      <c r="S4" s="225" t="s">
        <v>747</v>
      </c>
      <c r="T4" s="225" t="s">
        <v>748</v>
      </c>
      <c r="U4" s="225" t="s">
        <v>749</v>
      </c>
      <c r="V4" s="225" t="s">
        <v>750</v>
      </c>
      <c r="W4" s="225" t="s">
        <v>751</v>
      </c>
      <c r="X4" s="225" t="s">
        <v>521</v>
      </c>
      <c r="Y4" s="225" t="s">
        <v>752</v>
      </c>
      <c r="Z4" s="226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5oXdueLz/uhQieJ7FEiWrDY7aaG8c9F4gITXEAhCyMMneGH8MQOrT++P9OGzgUme5mWBKtxxOJ4Sep95K/kNLQ==" saltValue="ufp+go1XtBk7l+3NG55Zkg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workbookViewId="0">
      <pane ySplit="4" topLeftCell="A5" activePane="bottomLeft" state="frozen"/>
      <selection activeCell="G24" sqref="G24"/>
      <selection pane="bottomLeft" activeCell="D27" sqref="D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AB1">
        <v>1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892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/>
      <c r="B3" s="63" t="s">
        <v>239</v>
      </c>
      <c r="C3" s="8"/>
      <c r="D3" s="8" t="s">
        <v>902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8"/>
      <c r="DQ3" s="118"/>
      <c r="DR3" s="119"/>
      <c r="DS3" s="119"/>
      <c r="DT3" s="119"/>
    </row>
    <row r="4" spans="1:124" customFormat="1" x14ac:dyDescent="0.25">
      <c r="A4" s="395" t="s">
        <v>246</v>
      </c>
      <c r="B4" s="395" t="s">
        <v>247</v>
      </c>
      <c r="C4" s="395" t="s">
        <v>248</v>
      </c>
      <c r="D4" s="395" t="s">
        <v>254</v>
      </c>
      <c r="E4" s="395" t="s">
        <v>158</v>
      </c>
      <c r="F4" s="395" t="s">
        <v>658</v>
      </c>
      <c r="G4" s="395" t="s">
        <v>297</v>
      </c>
      <c r="H4" s="395" t="s">
        <v>298</v>
      </c>
      <c r="I4" s="395" t="s">
        <v>659</v>
      </c>
      <c r="J4" s="395" t="s">
        <v>362</v>
      </c>
      <c r="K4" s="395" t="s">
        <v>888</v>
      </c>
      <c r="L4" s="395" t="s">
        <v>249</v>
      </c>
      <c r="M4" s="395" t="s">
        <v>299</v>
      </c>
      <c r="N4" s="395" t="s">
        <v>251</v>
      </c>
      <c r="O4" s="395" t="s">
        <v>55</v>
      </c>
      <c r="P4" s="395" t="s">
        <v>300</v>
      </c>
      <c r="Q4" s="395" t="s">
        <v>252</v>
      </c>
      <c r="R4" s="395" t="s">
        <v>253</v>
      </c>
      <c r="S4" s="395" t="s">
        <v>257</v>
      </c>
      <c r="T4" s="395" t="s">
        <v>286</v>
      </c>
      <c r="U4" s="395" t="s">
        <v>486</v>
      </c>
      <c r="V4" s="395" t="s">
        <v>287</v>
      </c>
      <c r="W4" s="395" t="s">
        <v>660</v>
      </c>
      <c r="X4" s="395" t="s">
        <v>661</v>
      </c>
      <c r="Y4" s="395" t="s">
        <v>258</v>
      </c>
      <c r="Z4" s="395" t="s">
        <v>289</v>
      </c>
      <c r="AA4" s="395" t="s">
        <v>290</v>
      </c>
      <c r="AB4" s="395" t="s">
        <v>291</v>
      </c>
      <c r="AC4" s="395" t="s">
        <v>292</v>
      </c>
      <c r="AD4" s="395" t="s">
        <v>891</v>
      </c>
      <c r="AE4" s="395" t="s">
        <v>889</v>
      </c>
      <c r="AF4" s="395" t="s">
        <v>890</v>
      </c>
      <c r="AG4" s="395" t="s">
        <v>903</v>
      </c>
      <c r="AH4" s="395" t="s">
        <v>266</v>
      </c>
      <c r="AI4" s="395" t="s">
        <v>267</v>
      </c>
      <c r="AJ4" s="395" t="s">
        <v>273</v>
      </c>
      <c r="AK4" s="395" t="s">
        <v>274</v>
      </c>
      <c r="AL4" s="395" t="s">
        <v>275</v>
      </c>
      <c r="AM4" s="395" t="s">
        <v>276</v>
      </c>
      <c r="AN4" s="395" t="s">
        <v>277</v>
      </c>
      <c r="AO4" s="395" t="s">
        <v>278</v>
      </c>
      <c r="AP4" s="395" t="s">
        <v>279</v>
      </c>
      <c r="AQ4" s="395" t="s">
        <v>280</v>
      </c>
      <c r="AR4" s="395" t="s">
        <v>281</v>
      </c>
      <c r="AS4" s="395" t="s">
        <v>282</v>
      </c>
      <c r="AT4" s="395" t="s">
        <v>283</v>
      </c>
      <c r="AU4" s="395" t="s">
        <v>284</v>
      </c>
      <c r="AV4" s="395" t="s">
        <v>285</v>
      </c>
      <c r="AW4" s="395" t="s">
        <v>487</v>
      </c>
      <c r="AX4" s="395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kr2a7kpIoBRdRtzTb7MdMmqtBV6VbaJXdkBcQp/keCBmj/WN7w7llK/E7qznU3kMdoYfWOpCcF36Gdk/+cuAlA==" saltValue="p3WBB6EKPY77XzMAo2rsGA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showRuler="0" workbookViewId="0">
      <selection activeCell="D19" sqref="D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914</v>
      </c>
      <c r="E3" s="8"/>
      <c r="F3" s="8"/>
      <c r="G3" s="8"/>
      <c r="H3" s="8"/>
      <c r="I3" s="8"/>
      <c r="J3" s="8"/>
      <c r="K3" s="74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4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4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4" t="s">
        <v>85</v>
      </c>
      <c r="DJ3" s="186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117" t="s">
        <v>364</v>
      </c>
      <c r="B4" s="117" t="s">
        <v>365</v>
      </c>
      <c r="C4" s="117" t="s">
        <v>366</v>
      </c>
      <c r="D4" s="117" t="s">
        <v>367</v>
      </c>
      <c r="E4" s="117" t="s">
        <v>368</v>
      </c>
      <c r="F4" s="117" t="s">
        <v>369</v>
      </c>
      <c r="G4" s="117" t="s">
        <v>370</v>
      </c>
      <c r="H4" s="117" t="s">
        <v>371</v>
      </c>
      <c r="I4" s="117" t="s">
        <v>372</v>
      </c>
      <c r="J4" s="117" t="s">
        <v>373</v>
      </c>
      <c r="K4" s="117" t="s">
        <v>374</v>
      </c>
      <c r="L4" s="117" t="s">
        <v>375</v>
      </c>
      <c r="M4" s="117" t="s">
        <v>376</v>
      </c>
      <c r="N4" s="117" t="s">
        <v>377</v>
      </c>
      <c r="O4" s="117" t="s">
        <v>378</v>
      </c>
      <c r="P4" s="117" t="s">
        <v>379</v>
      </c>
      <c r="Q4" s="117" t="s">
        <v>380</v>
      </c>
      <c r="R4" s="117" t="s">
        <v>381</v>
      </c>
      <c r="S4" s="117" t="s">
        <v>382</v>
      </c>
      <c r="T4" s="117" t="s">
        <v>383</v>
      </c>
      <c r="U4" s="117" t="s">
        <v>384</v>
      </c>
      <c r="V4" s="117" t="s">
        <v>385</v>
      </c>
      <c r="W4" s="117" t="s">
        <v>386</v>
      </c>
      <c r="X4" s="117" t="s">
        <v>387</v>
      </c>
      <c r="Y4" s="117" t="s">
        <v>388</v>
      </c>
      <c r="Z4" s="117" t="s">
        <v>389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 t="str">
        <f>+DA3</f>
        <v>Gujarat</v>
      </c>
      <c r="DB4" s="124" t="str">
        <f>+DB3</f>
        <v>Jio Sallers</v>
      </c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</sheetData>
  <sheetProtection algorithmName="SHA-512" hashValue="nIVOtepNBWV4+6tJLJIA8gNUvBdfczgCc3XzgdjwvOpJ+kgyTQCpnMth9s5dZTFDVAJSvkfKL/1Rl4RtFUu/rg==" saltValue="cTDUq9S5Bw4dWHhmNHmg/g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x14ac:dyDescent="0.25">
      <c r="A3" s="62" t="s">
        <v>5</v>
      </c>
      <c r="B3" s="63" t="s">
        <v>801</v>
      </c>
      <c r="C3" s="8"/>
      <c r="D3" s="8" t="s">
        <v>753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1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0" t="str">
        <f>IF(DN3="State",IF(ISBLANK(AD3),IF(ISBLANK(S3),"",S3),IF(ISBLANK(T3),"",T3)),"")</f>
        <v/>
      </c>
    </row>
    <row r="4" spans="1:119" customFormat="1" x14ac:dyDescent="0.25">
      <c r="A4" s="127" t="s">
        <v>390</v>
      </c>
      <c r="B4" s="127" t="s">
        <v>246</v>
      </c>
      <c r="C4" s="127" t="s">
        <v>391</v>
      </c>
      <c r="D4" s="127" t="s">
        <v>155</v>
      </c>
      <c r="E4" s="127" t="s">
        <v>392</v>
      </c>
      <c r="F4" s="127" t="s">
        <v>393</v>
      </c>
      <c r="G4" s="127" t="s">
        <v>394</v>
      </c>
      <c r="H4" s="127" t="s">
        <v>395</v>
      </c>
      <c r="I4" s="127" t="s">
        <v>396</v>
      </c>
      <c r="J4" s="127" t="s">
        <v>397</v>
      </c>
      <c r="K4" s="127" t="s">
        <v>398</v>
      </c>
      <c r="L4" s="127" t="s">
        <v>399</v>
      </c>
      <c r="M4" s="127" t="s">
        <v>400</v>
      </c>
      <c r="N4" s="127" t="s">
        <v>401</v>
      </c>
      <c r="O4" s="127" t="s">
        <v>402</v>
      </c>
      <c r="P4" s="127" t="s">
        <v>403</v>
      </c>
      <c r="Q4" s="127" t="s">
        <v>404</v>
      </c>
      <c r="R4" s="127" t="s">
        <v>405</v>
      </c>
      <c r="S4" s="127" t="s">
        <v>406</v>
      </c>
      <c r="T4" s="127" t="s">
        <v>407</v>
      </c>
      <c r="U4" s="127" t="s">
        <v>54</v>
      </c>
      <c r="V4" s="127" t="s">
        <v>408</v>
      </c>
      <c r="W4" s="127" t="s">
        <v>409</v>
      </c>
      <c r="X4" s="127" t="s">
        <v>410</v>
      </c>
      <c r="Y4" s="127" t="s">
        <v>411</v>
      </c>
      <c r="Z4" s="127" t="s">
        <v>412</v>
      </c>
      <c r="AA4" s="127" t="s">
        <v>80</v>
      </c>
      <c r="AB4" s="127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9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5kJv2omqdgs3kyn4AAuIjUG9zxMN3JHHPvInbwesHwM9lqrwSpziEj4+mWsxc/s3p4+YuoyWuEpdanPq6BMK+Q==" saltValue="IuON/crKJiGjg4hOXlpm+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A8" sqref="A8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874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8"/>
    </row>
    <row r="4" spans="1:119" customFormat="1" ht="15.75" thickBot="1" x14ac:dyDescent="0.3">
      <c r="A4" s="133" t="s">
        <v>417</v>
      </c>
      <c r="B4" s="134" t="s">
        <v>418</v>
      </c>
      <c r="C4" s="134" t="s">
        <v>419</v>
      </c>
      <c r="D4" s="134" t="s">
        <v>420</v>
      </c>
      <c r="E4" s="134" t="s">
        <v>421</v>
      </c>
      <c r="F4" s="134" t="s">
        <v>302</v>
      </c>
      <c r="G4" s="134" t="s">
        <v>422</v>
      </c>
      <c r="H4" s="134" t="s">
        <v>423</v>
      </c>
      <c r="I4" s="134" t="s">
        <v>424</v>
      </c>
      <c r="J4" s="134" t="s">
        <v>425</v>
      </c>
      <c r="K4" s="134" t="s">
        <v>426</v>
      </c>
      <c r="L4" s="134" t="s">
        <v>427</v>
      </c>
      <c r="M4" s="134" t="s">
        <v>73</v>
      </c>
      <c r="N4" s="134" t="s">
        <v>428</v>
      </c>
      <c r="O4" s="134" t="s">
        <v>429</v>
      </c>
      <c r="P4" s="134" t="s">
        <v>430</v>
      </c>
      <c r="Q4" s="134" t="s">
        <v>431</v>
      </c>
      <c r="R4" s="134" t="s">
        <v>432</v>
      </c>
      <c r="S4" s="134" t="s">
        <v>433</v>
      </c>
      <c r="T4" s="134" t="s">
        <v>434</v>
      </c>
      <c r="U4" s="134" t="s">
        <v>435</v>
      </c>
      <c r="V4" s="134" t="s">
        <v>436</v>
      </c>
      <c r="W4" s="134" t="s">
        <v>437</v>
      </c>
      <c r="X4" s="134" t="s">
        <v>438</v>
      </c>
      <c r="Y4" s="134" t="s">
        <v>439</v>
      </c>
      <c r="Z4" s="134" t="s">
        <v>409</v>
      </c>
      <c r="AA4" s="134" t="s">
        <v>275</v>
      </c>
      <c r="AB4" s="134" t="s">
        <v>410</v>
      </c>
      <c r="AC4" s="134" t="s">
        <v>440</v>
      </c>
      <c r="AD4" s="134" t="s">
        <v>412</v>
      </c>
      <c r="AE4" s="134" t="s">
        <v>273</v>
      </c>
      <c r="AF4" s="134" t="s">
        <v>411</v>
      </c>
      <c r="AG4" s="134" t="s">
        <v>441</v>
      </c>
      <c r="AH4" s="134" t="s">
        <v>442</v>
      </c>
      <c r="AI4" s="134" t="s">
        <v>443</v>
      </c>
      <c r="AJ4" s="134" t="s">
        <v>444</v>
      </c>
      <c r="AK4" s="134" t="s">
        <v>445</v>
      </c>
      <c r="AL4" s="134" t="s">
        <v>446</v>
      </c>
      <c r="AM4" s="134" t="s">
        <v>447</v>
      </c>
      <c r="AN4" s="134" t="s">
        <v>448</v>
      </c>
      <c r="AO4" s="134" t="s">
        <v>449</v>
      </c>
      <c r="AP4" s="134" t="s">
        <v>450</v>
      </c>
      <c r="AQ4" s="134" t="s">
        <v>451</v>
      </c>
      <c r="AR4" s="134" t="s">
        <v>452</v>
      </c>
      <c r="AS4" s="134" t="s">
        <v>453</v>
      </c>
      <c r="AT4" s="134" t="s">
        <v>454</v>
      </c>
      <c r="AU4" s="134" t="s">
        <v>455</v>
      </c>
      <c r="AV4" s="134" t="s">
        <v>456</v>
      </c>
      <c r="AW4" s="134" t="s">
        <v>457</v>
      </c>
      <c r="AX4" s="134" t="s">
        <v>458</v>
      </c>
      <c r="AY4" s="134" t="s">
        <v>459</v>
      </c>
      <c r="AZ4" s="134" t="s">
        <v>460</v>
      </c>
      <c r="BA4" s="134" t="s">
        <v>461</v>
      </c>
      <c r="BB4" s="134" t="s">
        <v>462</v>
      </c>
      <c r="BC4" s="134" t="s">
        <v>463</v>
      </c>
      <c r="BD4" s="134" t="s">
        <v>464</v>
      </c>
      <c r="BE4" s="134" t="s">
        <v>465</v>
      </c>
      <c r="BF4" s="134" t="s">
        <v>466</v>
      </c>
      <c r="BG4" s="134" t="s">
        <v>467</v>
      </c>
      <c r="BH4" s="134" t="s">
        <v>468</v>
      </c>
      <c r="BI4" s="134" t="s">
        <v>469</v>
      </c>
      <c r="BJ4" s="134" t="s">
        <v>470</v>
      </c>
      <c r="BK4" s="134" t="s">
        <v>471</v>
      </c>
      <c r="BL4" s="134" t="s">
        <v>472</v>
      </c>
      <c r="BM4" s="134" t="s">
        <v>473</v>
      </c>
      <c r="BN4" s="134" t="s">
        <v>474</v>
      </c>
      <c r="BO4" s="134" t="s">
        <v>475</v>
      </c>
      <c r="BP4" s="134" t="s">
        <v>476</v>
      </c>
      <c r="BQ4" s="134" t="s">
        <v>477</v>
      </c>
      <c r="BR4" s="134" t="s">
        <v>478</v>
      </c>
      <c r="BS4" s="134" t="s">
        <v>479</v>
      </c>
      <c r="BT4" s="134" t="s">
        <v>55</v>
      </c>
      <c r="BU4" s="134" t="s">
        <v>480</v>
      </c>
      <c r="BV4" s="134" t="s">
        <v>481</v>
      </c>
      <c r="BW4" s="134" t="s">
        <v>482</v>
      </c>
      <c r="BX4" s="134" t="s">
        <v>483</v>
      </c>
      <c r="BY4" s="135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Cw/ZL1TtqUGXZPuP53oz8k0N36Er7EAF/zbLhxkrK2j2rPL7Tq86f7WmV5QM45gXUNIO5143MoeSg1cxlYvM3A==" saltValue="FwIElKybLMTR60jckr2cPQ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>
      <selection activeCell="C16" sqref="C16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792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4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5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3" t="s">
        <v>538</v>
      </c>
      <c r="B4" s="174" t="s">
        <v>120</v>
      </c>
      <c r="C4" s="174" t="s">
        <v>539</v>
      </c>
      <c r="D4" s="174" t="s">
        <v>540</v>
      </c>
      <c r="E4" s="174" t="s">
        <v>541</v>
      </c>
      <c r="F4" s="174" t="s">
        <v>542</v>
      </c>
      <c r="G4" s="174" t="s">
        <v>543</v>
      </c>
      <c r="H4" s="174" t="s">
        <v>544</v>
      </c>
      <c r="I4" s="174" t="s">
        <v>545</v>
      </c>
      <c r="J4" s="174" t="s">
        <v>117</v>
      </c>
      <c r="K4" s="174" t="s">
        <v>546</v>
      </c>
      <c r="L4" s="174" t="s">
        <v>547</v>
      </c>
      <c r="M4" s="174" t="s">
        <v>548</v>
      </c>
      <c r="N4" s="174" t="s">
        <v>549</v>
      </c>
      <c r="O4" s="174" t="s">
        <v>550</v>
      </c>
      <c r="P4" s="174" t="s">
        <v>551</v>
      </c>
      <c r="Q4" s="174" t="s">
        <v>552</v>
      </c>
      <c r="R4" s="174" t="s">
        <v>553</v>
      </c>
      <c r="S4" s="174" t="s">
        <v>554</v>
      </c>
      <c r="T4" s="174" t="s">
        <v>555</v>
      </c>
      <c r="U4" s="174" t="s">
        <v>556</v>
      </c>
      <c r="V4" s="174" t="s">
        <v>557</v>
      </c>
      <c r="W4" s="174" t="s">
        <v>558</v>
      </c>
      <c r="X4" s="174" t="s">
        <v>559</v>
      </c>
      <c r="Y4" s="174" t="s">
        <v>560</v>
      </c>
      <c r="Z4" s="174" t="s">
        <v>561</v>
      </c>
      <c r="AA4" s="174" t="s">
        <v>562</v>
      </c>
      <c r="AB4" s="174" t="s">
        <v>563</v>
      </c>
      <c r="AC4" s="174" t="s">
        <v>564</v>
      </c>
      <c r="AD4" s="174" t="s">
        <v>565</v>
      </c>
      <c r="AE4" s="174" t="s">
        <v>566</v>
      </c>
      <c r="AF4" s="174" t="s">
        <v>567</v>
      </c>
      <c r="AG4" s="174" t="s">
        <v>568</v>
      </c>
      <c r="AH4" s="174" t="s">
        <v>569</v>
      </c>
      <c r="AI4" s="174" t="s">
        <v>570</v>
      </c>
      <c r="AJ4" s="174" t="s">
        <v>571</v>
      </c>
      <c r="AK4" s="174" t="s">
        <v>572</v>
      </c>
      <c r="AL4" s="174" t="s">
        <v>573</v>
      </c>
      <c r="AM4" s="174" t="s">
        <v>574</v>
      </c>
      <c r="AN4" s="174" t="s">
        <v>116</v>
      </c>
      <c r="AO4" s="174" t="s">
        <v>575</v>
      </c>
      <c r="AP4" s="174" t="s">
        <v>576</v>
      </c>
      <c r="AQ4" s="174" t="s">
        <v>577</v>
      </c>
      <c r="AR4" s="174" t="s">
        <v>578</v>
      </c>
      <c r="AS4" s="174" t="s">
        <v>579</v>
      </c>
      <c r="AT4" s="174" t="s">
        <v>580</v>
      </c>
      <c r="AU4" s="174" t="s">
        <v>581</v>
      </c>
      <c r="AV4" s="174" t="s">
        <v>582</v>
      </c>
      <c r="AW4" s="174" t="s">
        <v>583</v>
      </c>
      <c r="AX4" s="174" t="s">
        <v>584</v>
      </c>
      <c r="AY4" s="174" t="s">
        <v>585</v>
      </c>
      <c r="AZ4" s="174" t="s">
        <v>586</v>
      </c>
      <c r="BA4" s="174" t="s">
        <v>587</v>
      </c>
      <c r="BB4" s="174" t="s">
        <v>588</v>
      </c>
      <c r="BC4" s="174" t="s">
        <v>589</v>
      </c>
      <c r="BD4" s="174" t="s">
        <v>590</v>
      </c>
      <c r="BE4" s="174" t="s">
        <v>591</v>
      </c>
      <c r="BF4" s="174" t="s">
        <v>80</v>
      </c>
      <c r="BG4" s="174" t="s">
        <v>592</v>
      </c>
      <c r="BH4" s="174" t="s">
        <v>593</v>
      </c>
      <c r="BI4" s="174" t="s">
        <v>594</v>
      </c>
      <c r="BJ4" s="174" t="s">
        <v>595</v>
      </c>
      <c r="BK4" s="174" t="s">
        <v>596</v>
      </c>
      <c r="BL4" s="174" t="s">
        <v>597</v>
      </c>
      <c r="BM4" s="174" t="s">
        <v>756</v>
      </c>
      <c r="BN4" s="174" t="s">
        <v>598</v>
      </c>
      <c r="BO4" s="174" t="s">
        <v>599</v>
      </c>
      <c r="BP4" s="174" t="s">
        <v>600</v>
      </c>
      <c r="BQ4" s="174" t="s">
        <v>601</v>
      </c>
      <c r="BR4" s="174" t="s">
        <v>602</v>
      </c>
      <c r="BS4" s="174" t="s">
        <v>603</v>
      </c>
      <c r="BT4" s="175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EHT0cGyJ35pLVQ/Ku1jUP4DIOiRuJN0lbpOmUo2P66jWJMdk+vxtBpF+jqx6tKD/vxgDljSCSg1ufkcI9PdLBg==" saltValue="OhYEVkDpeiAGCnN6gCPofQ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713</v>
      </c>
      <c r="B1" s="81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714</v>
      </c>
      <c r="P1" s="402"/>
      <c r="AA1" s="208">
        <v>2</v>
      </c>
      <c r="AB1" s="209">
        <v>0</v>
      </c>
      <c r="AC1" s="209"/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878</v>
      </c>
      <c r="DC2" s="92" t="s">
        <v>716</v>
      </c>
      <c r="DD2" s="92" t="s">
        <v>717</v>
      </c>
      <c r="DE2" s="92" t="s">
        <v>1</v>
      </c>
      <c r="DF2" s="92" t="s">
        <v>718</v>
      </c>
      <c r="DG2" s="92" t="s">
        <v>719</v>
      </c>
      <c r="DH2" s="92" t="s">
        <v>720</v>
      </c>
      <c r="DI2" s="92" t="s">
        <v>721</v>
      </c>
      <c r="DJ2" s="92" t="s">
        <v>722</v>
      </c>
      <c r="DK2" s="92" t="s">
        <v>78</v>
      </c>
      <c r="DL2" s="92" t="s">
        <v>106</v>
      </c>
      <c r="DM2" s="92" t="s">
        <v>80</v>
      </c>
      <c r="DN2" s="92" t="s">
        <v>243</v>
      </c>
      <c r="DO2" s="93" t="s">
        <v>723</v>
      </c>
    </row>
    <row r="3" spans="1:124" customFormat="1" ht="15.75" thickBot="1" x14ac:dyDescent="0.3">
      <c r="A3" s="372"/>
      <c r="B3" s="63" t="s">
        <v>712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3" t="e">
        <f>+IF(ISBLANK(AY3),TEXT(DATEVALUE(MID(Y3,1,10)),"DD/MM/YYYY"),TEXT(DATEVALUE(MID(AY3,1,10)),"DD/MM/YYYY"))</f>
        <v>#VALUE!</v>
      </c>
      <c r="DH3" s="58">
        <f>+IF(ISBLANK(AY3),X3,AZ3)</f>
        <v>0</v>
      </c>
      <c r="DI3" s="204" t="str">
        <f>+IF(ISBLANK(AB3),"",AB3)</f>
        <v/>
      </c>
      <c r="DJ3" s="186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205" t="s">
        <v>724</v>
      </c>
      <c r="B4" s="206" t="s">
        <v>663</v>
      </c>
      <c r="C4" s="206" t="s">
        <v>664</v>
      </c>
      <c r="D4" s="206" t="s">
        <v>665</v>
      </c>
      <c r="E4" s="206" t="s">
        <v>666</v>
      </c>
      <c r="F4" s="206" t="s">
        <v>667</v>
      </c>
      <c r="G4" s="206" t="s">
        <v>668</v>
      </c>
      <c r="H4" s="206" t="s">
        <v>669</v>
      </c>
      <c r="I4" s="206" t="s">
        <v>670</v>
      </c>
      <c r="J4" s="206" t="s">
        <v>671</v>
      </c>
      <c r="K4" s="206" t="s">
        <v>672</v>
      </c>
      <c r="L4" s="206" t="s">
        <v>673</v>
      </c>
      <c r="M4" s="206" t="s">
        <v>674</v>
      </c>
      <c r="N4" s="206" t="s">
        <v>675</v>
      </c>
      <c r="O4" s="206" t="s">
        <v>676</v>
      </c>
      <c r="P4" s="206" t="s">
        <v>677</v>
      </c>
      <c r="Q4" s="206" t="s">
        <v>678</v>
      </c>
      <c r="R4" s="206" t="s">
        <v>679</v>
      </c>
      <c r="S4" s="206" t="s">
        <v>680</v>
      </c>
      <c r="T4" s="206" t="s">
        <v>681</v>
      </c>
      <c r="U4" s="206" t="s">
        <v>682</v>
      </c>
      <c r="V4" s="206" t="s">
        <v>683</v>
      </c>
      <c r="W4" s="206" t="s">
        <v>684</v>
      </c>
      <c r="X4" s="206" t="s">
        <v>685</v>
      </c>
      <c r="Y4" s="206" t="s">
        <v>686</v>
      </c>
      <c r="Z4" s="206" t="s">
        <v>687</v>
      </c>
      <c r="AA4" s="206" t="s">
        <v>688</v>
      </c>
      <c r="AB4" s="206" t="s">
        <v>689</v>
      </c>
      <c r="AC4" s="206" t="s">
        <v>690</v>
      </c>
      <c r="AD4" s="206" t="s">
        <v>691</v>
      </c>
      <c r="AE4" s="206" t="s">
        <v>692</v>
      </c>
      <c r="AF4" s="206" t="s">
        <v>693</v>
      </c>
      <c r="AG4" s="206" t="s">
        <v>694</v>
      </c>
      <c r="AH4" s="206" t="s">
        <v>695</v>
      </c>
      <c r="AI4" s="206" t="s">
        <v>696</v>
      </c>
      <c r="AJ4" s="206" t="s">
        <v>697</v>
      </c>
      <c r="AK4" s="206" t="s">
        <v>698</v>
      </c>
      <c r="AL4" s="206" t="s">
        <v>699</v>
      </c>
      <c r="AM4" s="206" t="s">
        <v>700</v>
      </c>
      <c r="AN4" s="206" t="s">
        <v>701</v>
      </c>
      <c r="AO4" s="206" t="s">
        <v>702</v>
      </c>
      <c r="AP4" s="206" t="s">
        <v>703</v>
      </c>
      <c r="AQ4" s="206" t="s">
        <v>704</v>
      </c>
      <c r="AR4" s="206" t="s">
        <v>705</v>
      </c>
      <c r="AS4" s="206" t="s">
        <v>706</v>
      </c>
      <c r="AT4" s="206" t="s">
        <v>707</v>
      </c>
      <c r="AU4" s="206" t="s">
        <v>708</v>
      </c>
      <c r="AV4" s="206" t="s">
        <v>709</v>
      </c>
      <c r="AW4" s="206" t="s">
        <v>710</v>
      </c>
      <c r="AX4" s="207" t="s">
        <v>711</v>
      </c>
      <c r="AY4" s="207" t="s">
        <v>736</v>
      </c>
      <c r="AZ4" s="207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/>
      <c r="DB4" s="120"/>
      <c r="DC4" s="121"/>
      <c r="DD4" s="120"/>
      <c r="DE4" s="120"/>
      <c r="DF4" s="121"/>
      <c r="DG4" s="122"/>
      <c r="DH4" s="123"/>
      <c r="DI4" s="124"/>
      <c r="DJ4" s="125"/>
      <c r="DK4" s="124"/>
      <c r="DL4" s="120"/>
      <c r="DM4" s="126"/>
      <c r="DN4" s="120"/>
      <c r="DO4" s="120"/>
      <c r="DP4" s="121"/>
    </row>
  </sheetData>
  <sheetProtection algorithmName="SHA-512" hashValue="E9Xx7bcswO7FgIgSdLMgGRYi6CE+BS8W0EfD335VUSID/4cwiaVrsEfdTgaFIaXrB6o5JStN003x8TUGzp7Yeg==" saltValue="4pzRY3j/3ft/NtgwCWdZqw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910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/>
      <c r="B3" s="63" t="s">
        <v>875</v>
      </c>
      <c r="C3" s="8"/>
      <c r="D3" s="8"/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1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2" t="e">
        <f>IF(LEFT(DC3,3)="B2C",DL3*0.01,"")</f>
        <v>#VALUE!</v>
      </c>
      <c r="DN3" s="26" t="str">
        <f>+IF(DE3="+++++++++","State","")</f>
        <v>State</v>
      </c>
      <c r="DO3" s="185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8" t="s">
        <v>642</v>
      </c>
      <c r="B4" s="199" t="s">
        <v>643</v>
      </c>
      <c r="C4" s="199" t="s">
        <v>644</v>
      </c>
      <c r="D4" s="199" t="s">
        <v>401</v>
      </c>
      <c r="E4" s="199" t="s">
        <v>645</v>
      </c>
      <c r="F4" s="199" t="s">
        <v>646</v>
      </c>
      <c r="G4" s="199" t="s">
        <v>647</v>
      </c>
      <c r="H4" s="199" t="s">
        <v>648</v>
      </c>
      <c r="I4" s="199" t="s">
        <v>160</v>
      </c>
      <c r="J4" s="199" t="s">
        <v>55</v>
      </c>
      <c r="K4" s="199" t="s">
        <v>649</v>
      </c>
      <c r="L4" s="199" t="s">
        <v>650</v>
      </c>
      <c r="M4" s="199" t="s">
        <v>651</v>
      </c>
      <c r="N4" s="199" t="s">
        <v>652</v>
      </c>
      <c r="O4" s="199" t="s">
        <v>653</v>
      </c>
      <c r="P4" s="199" t="s">
        <v>654</v>
      </c>
      <c r="Q4" s="199" t="s">
        <v>655</v>
      </c>
      <c r="R4" s="199" t="s">
        <v>656</v>
      </c>
      <c r="S4" s="199" t="s">
        <v>409</v>
      </c>
      <c r="T4" s="199" t="s">
        <v>410</v>
      </c>
      <c r="U4" s="199" t="s">
        <v>412</v>
      </c>
      <c r="V4" s="199" t="s">
        <v>427</v>
      </c>
      <c r="W4" s="200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NNorOBurpM5kUurlnDu82BnREbZYT65JHHaAc5XbBwmhgVlGpIYZpLjxDTRJ2czX24UVf68TALEXAvPW/eQH4Q==" saltValue="/cLKm2BLNmrtGEXxz6vaS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>225 - KETAN JOGANI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0">
        <f>+VALUE(IF(DL3=0,"0",I3))</f>
        <v>0</v>
      </c>
      <c r="DL3" s="120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3" t="s">
        <v>155</v>
      </c>
      <c r="B4" s="153" t="s">
        <v>494</v>
      </c>
      <c r="C4" s="153" t="s">
        <v>158</v>
      </c>
      <c r="D4" s="153" t="s">
        <v>495</v>
      </c>
      <c r="E4" s="153" t="s">
        <v>496</v>
      </c>
      <c r="F4" s="153" t="s">
        <v>497</v>
      </c>
      <c r="G4" s="153" t="s">
        <v>251</v>
      </c>
      <c r="H4" s="153" t="s">
        <v>302</v>
      </c>
      <c r="I4" s="153" t="s">
        <v>498</v>
      </c>
      <c r="J4" s="153" t="s">
        <v>499</v>
      </c>
      <c r="K4" s="153" t="s">
        <v>500</v>
      </c>
      <c r="L4" s="153" t="s">
        <v>501</v>
      </c>
      <c r="M4" s="153" t="s">
        <v>502</v>
      </c>
      <c r="N4" s="153" t="s">
        <v>503</v>
      </c>
      <c r="O4" s="153" t="s">
        <v>504</v>
      </c>
      <c r="P4" s="153" t="s">
        <v>505</v>
      </c>
      <c r="Q4" s="154" t="s">
        <v>506</v>
      </c>
      <c r="R4" s="154" t="s">
        <v>507</v>
      </c>
      <c r="S4" s="154" t="s">
        <v>508</v>
      </c>
      <c r="T4" s="154" t="s">
        <v>509</v>
      </c>
      <c r="U4" s="154" t="s">
        <v>510</v>
      </c>
      <c r="V4" s="154" t="s">
        <v>511</v>
      </c>
      <c r="W4" s="154" t="s">
        <v>512</v>
      </c>
      <c r="X4" s="154" t="s">
        <v>513</v>
      </c>
      <c r="Y4" s="154" t="s">
        <v>514</v>
      </c>
      <c r="Z4" s="154" t="s">
        <v>515</v>
      </c>
      <c r="AA4" s="154" t="s">
        <v>516</v>
      </c>
      <c r="AB4" s="154" t="s">
        <v>517</v>
      </c>
      <c r="AC4" s="154" t="s">
        <v>518</v>
      </c>
      <c r="AD4" s="154" t="s">
        <v>519</v>
      </c>
      <c r="AE4" s="154" t="s">
        <v>520</v>
      </c>
      <c r="AF4" s="154" t="s">
        <v>521</v>
      </c>
      <c r="AG4" s="154" t="s">
        <v>522</v>
      </c>
      <c r="AH4" s="155" t="s">
        <v>523</v>
      </c>
      <c r="AI4" s="155" t="s">
        <v>524</v>
      </c>
      <c r="AJ4" s="155" t="s">
        <v>525</v>
      </c>
      <c r="AK4" s="155" t="s">
        <v>526</v>
      </c>
      <c r="AL4" s="155" t="s">
        <v>527</v>
      </c>
      <c r="AM4" s="155" t="s">
        <v>528</v>
      </c>
      <c r="AN4" s="155" t="s">
        <v>529</v>
      </c>
      <c r="AO4" s="155" t="s">
        <v>530</v>
      </c>
      <c r="AP4" s="155" t="s">
        <v>531</v>
      </c>
      <c r="AQ4" s="155" t="s">
        <v>409</v>
      </c>
      <c r="AR4" s="155" t="s">
        <v>412</v>
      </c>
      <c r="AS4" s="155" t="s">
        <v>410</v>
      </c>
      <c r="AT4" s="8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56"/>
      <c r="BX4" s="156"/>
      <c r="BY4" s="156"/>
      <c r="BZ4" s="156"/>
      <c r="CA4" s="156"/>
      <c r="CB4" s="156"/>
      <c r="CC4" s="156"/>
      <c r="CD4" s="156"/>
      <c r="CE4" s="156"/>
      <c r="CF4" s="156"/>
      <c r="CG4" s="156"/>
      <c r="CH4" s="156"/>
      <c r="CI4" s="156"/>
      <c r="CJ4" s="156"/>
      <c r="CK4" s="156"/>
      <c r="CL4" s="156"/>
      <c r="CM4" s="156"/>
      <c r="CN4" s="156"/>
      <c r="CO4" s="156"/>
      <c r="CP4" s="156"/>
      <c r="CQ4" s="156"/>
      <c r="CR4" s="156"/>
      <c r="CS4" s="156"/>
      <c r="CT4" s="156"/>
      <c r="CU4" s="156"/>
      <c r="CV4" s="156"/>
      <c r="CW4" s="156"/>
      <c r="CX4" s="156"/>
      <c r="CY4" s="156"/>
      <c r="CZ4" s="156"/>
      <c r="DA4" s="157" t="str">
        <f>+DA3</f>
        <v>Gujarat</v>
      </c>
      <c r="DB4" s="157" t="str">
        <f>+DB3</f>
        <v>Shop101</v>
      </c>
      <c r="DC4" s="157"/>
      <c r="DD4" s="157"/>
      <c r="DE4" s="157"/>
      <c r="DF4" s="157"/>
      <c r="DG4" s="158">
        <f>+VALUE(AS3)</f>
        <v>0</v>
      </c>
      <c r="DH4" s="157"/>
      <c r="DI4" s="159"/>
      <c r="DJ4" s="157"/>
      <c r="DK4" s="159"/>
      <c r="DL4" s="157"/>
      <c r="DM4" s="157"/>
    </row>
  </sheetData>
  <sheetProtection algorithmName="SHA-512" hashValue="tsQ+L0Hyn5ZGga6Lr4C0td1EpPGUnu6C7evKhY00YBwPZN1b9FWeeO8t2oc+4uOFz6HnsNyFGzUP9UbrcfTrIA==" saltValue="T9taqmVhPZzrwMIjyK8Y+Q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826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zfgvRcZ8tnWE0EwMW2rsDdYdLinRnu7NwNozVeIC8YSULd1IktPG6kHe7HR443C3AZu92OBmNF67VBt88NVF+Q==" saltValue="MGnHUnJL7eKHETS1DyKDY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876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/>
      <c r="B3" s="63" t="s">
        <v>102</v>
      </c>
      <c r="C3" s="8"/>
      <c r="D3" s="8" t="s">
        <v>912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IF(DE3="+++++++++",M3,"")</f>
        <v>0</v>
      </c>
    </row>
    <row r="4" spans="1:204" customFormat="1" x14ac:dyDescent="0.25">
      <c r="A4" s="82" t="s">
        <v>155</v>
      </c>
      <c r="B4" s="82" t="s">
        <v>494</v>
      </c>
      <c r="C4" s="82" t="s">
        <v>828</v>
      </c>
      <c r="D4" s="82" t="s">
        <v>158</v>
      </c>
      <c r="E4" s="82" t="s">
        <v>829</v>
      </c>
      <c r="F4" s="82" t="s">
        <v>830</v>
      </c>
      <c r="G4" s="82" t="s">
        <v>236</v>
      </c>
      <c r="H4" s="82" t="s">
        <v>509</v>
      </c>
      <c r="I4" s="82" t="s">
        <v>251</v>
      </c>
      <c r="J4" s="82" t="s">
        <v>302</v>
      </c>
      <c r="K4" s="82" t="s">
        <v>498</v>
      </c>
      <c r="L4" s="82" t="s">
        <v>831</v>
      </c>
      <c r="M4" s="82" t="s">
        <v>832</v>
      </c>
      <c r="N4" s="82" t="s">
        <v>80</v>
      </c>
      <c r="O4" s="82" t="s">
        <v>833</v>
      </c>
      <c r="P4" s="82" t="s">
        <v>409</v>
      </c>
      <c r="Q4" s="82" t="s">
        <v>412</v>
      </c>
      <c r="R4" s="82" t="s">
        <v>410</v>
      </c>
      <c r="S4" s="82" t="s">
        <v>834</v>
      </c>
      <c r="T4" s="82" t="s">
        <v>835</v>
      </c>
      <c r="U4" s="82" t="s">
        <v>505</v>
      </c>
      <c r="V4" s="82" t="s">
        <v>501</v>
      </c>
      <c r="W4" s="82" t="s">
        <v>836</v>
      </c>
      <c r="X4" s="82" t="s">
        <v>837</v>
      </c>
      <c r="Y4" s="82" t="s">
        <v>838</v>
      </c>
      <c r="Z4" s="82" t="s">
        <v>839</v>
      </c>
      <c r="AA4" s="82" t="s">
        <v>840</v>
      </c>
      <c r="AB4" s="82" t="s">
        <v>841</v>
      </c>
      <c r="AC4" s="82" t="s">
        <v>842</v>
      </c>
      <c r="AD4" s="82" t="s">
        <v>843</v>
      </c>
      <c r="AE4" s="82" t="s">
        <v>844</v>
      </c>
      <c r="AF4" s="82" t="s">
        <v>845</v>
      </c>
      <c r="AG4" s="82" t="s">
        <v>478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V6avhuPmL0oGo2U4FUliXn3wjUZRq+AXSK0K0SWNVP2mtp7NH4SOfywGSqQhszFdzEsNimYTfesk/E6Z/BN0Ew==" saltValue="Ncf9BS0pNheX/Im7yfWC9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789</v>
      </c>
      <c r="AF2" s="86" t="s">
        <v>791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755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6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173" t="s">
        <v>607</v>
      </c>
      <c r="B4" s="174" t="s">
        <v>608</v>
      </c>
      <c r="C4" s="174" t="s">
        <v>609</v>
      </c>
      <c r="D4" s="174" t="s">
        <v>610</v>
      </c>
      <c r="E4" s="174" t="s">
        <v>611</v>
      </c>
      <c r="F4" s="174" t="s">
        <v>612</v>
      </c>
      <c r="G4" s="174" t="s">
        <v>613</v>
      </c>
      <c r="H4" s="174" t="s">
        <v>614</v>
      </c>
      <c r="I4" s="174" t="s">
        <v>615</v>
      </c>
      <c r="J4" s="174" t="s">
        <v>616</v>
      </c>
      <c r="K4" s="174" t="s">
        <v>617</v>
      </c>
      <c r="L4" s="174" t="s">
        <v>618</v>
      </c>
      <c r="M4" s="174" t="s">
        <v>619</v>
      </c>
      <c r="N4" s="174" t="s">
        <v>620</v>
      </c>
      <c r="O4" s="174" t="s">
        <v>621</v>
      </c>
      <c r="P4" s="174" t="s">
        <v>622</v>
      </c>
      <c r="Q4" s="174" t="s">
        <v>623</v>
      </c>
      <c r="R4" s="174" t="s">
        <v>624</v>
      </c>
      <c r="S4" s="174" t="s">
        <v>625</v>
      </c>
      <c r="T4" s="174" t="s">
        <v>626</v>
      </c>
      <c r="U4" s="174" t="s">
        <v>116</v>
      </c>
      <c r="V4" s="174" t="s">
        <v>627</v>
      </c>
      <c r="W4" s="174" t="s">
        <v>412</v>
      </c>
      <c r="X4" s="174" t="s">
        <v>409</v>
      </c>
      <c r="Y4" s="174" t="s">
        <v>410</v>
      </c>
      <c r="Z4" s="174" t="s">
        <v>628</v>
      </c>
      <c r="AA4" s="174" t="s">
        <v>629</v>
      </c>
      <c r="AB4" s="174" t="s">
        <v>630</v>
      </c>
      <c r="AC4" s="174" t="s">
        <v>631</v>
      </c>
      <c r="AD4" s="174" t="s">
        <v>632</v>
      </c>
      <c r="AE4" s="174" t="s">
        <v>633</v>
      </c>
      <c r="AF4" s="174" t="s">
        <v>634</v>
      </c>
      <c r="AG4" s="174" t="s">
        <v>635</v>
      </c>
      <c r="AH4" s="174" t="s">
        <v>636</v>
      </c>
      <c r="AI4" s="174" t="s">
        <v>637</v>
      </c>
      <c r="AJ4" s="174" t="s">
        <v>638</v>
      </c>
      <c r="AK4" s="174" t="s">
        <v>639</v>
      </c>
      <c r="AL4" s="174" t="s">
        <v>640</v>
      </c>
      <c r="AM4" s="174" t="s">
        <v>641</v>
      </c>
      <c r="AN4" s="175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 t="str">
        <f>+DA3</f>
        <v>Gujarat</v>
      </c>
      <c r="DB4" s="120" t="str">
        <f>+DB3</f>
        <v>VMART</v>
      </c>
      <c r="DC4" s="121"/>
      <c r="DD4" s="120"/>
      <c r="DE4" s="120"/>
      <c r="DF4" s="121"/>
      <c r="DG4" s="122"/>
      <c r="DH4" s="123"/>
      <c r="DI4" s="124"/>
      <c r="DJ4" s="125"/>
      <c r="DK4" s="124"/>
      <c r="DL4" s="126"/>
      <c r="DM4" s="126"/>
      <c r="DN4" s="120"/>
      <c r="DO4" s="120"/>
      <c r="DP4" s="121"/>
    </row>
  </sheetData>
  <sheetProtection algorithmName="SHA-512" hashValue="h66KuqZVyB6yxRBB233/aMQLDxL2GqvMzXM0OOXg9P/mkkGmzC4VLi2rd+d+5eswzBA9Fy7gHTvMwteadVqN7g==" saltValue="f9sPrUXtG6WEpHeDeUWxRQ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867</v>
      </c>
      <c r="DB2" s="91" t="s">
        <v>868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866</v>
      </c>
      <c r="C3" s="8"/>
      <c r="D3" s="62" t="s">
        <v>886</v>
      </c>
      <c r="E3" s="8"/>
      <c r="F3" s="8"/>
      <c r="G3" s="8"/>
      <c r="H3" s="8"/>
      <c r="I3" s="8"/>
      <c r="J3" s="8"/>
      <c r="K3" s="74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4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4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4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2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358" t="s">
        <v>417</v>
      </c>
      <c r="B4" s="358" t="s">
        <v>418</v>
      </c>
      <c r="C4" s="358" t="s">
        <v>419</v>
      </c>
      <c r="D4" s="358" t="s">
        <v>420</v>
      </c>
      <c r="E4" s="358" t="s">
        <v>421</v>
      </c>
      <c r="F4" s="358" t="s">
        <v>302</v>
      </c>
      <c r="G4" s="358" t="s">
        <v>422</v>
      </c>
      <c r="H4" s="358" t="s">
        <v>423</v>
      </c>
      <c r="I4" s="358" t="s">
        <v>424</v>
      </c>
      <c r="J4" s="358" t="s">
        <v>425</v>
      </c>
      <c r="K4" s="358" t="s">
        <v>426</v>
      </c>
      <c r="L4" s="358" t="s">
        <v>427</v>
      </c>
      <c r="M4" s="358" t="s">
        <v>73</v>
      </c>
      <c r="N4" s="358" t="s">
        <v>428</v>
      </c>
      <c r="O4" s="358" t="s">
        <v>429</v>
      </c>
      <c r="P4" s="358" t="s">
        <v>430</v>
      </c>
      <c r="Q4" s="358" t="s">
        <v>431</v>
      </c>
      <c r="R4" s="358" t="s">
        <v>432</v>
      </c>
      <c r="S4" s="358" t="s">
        <v>433</v>
      </c>
      <c r="T4" s="358" t="s">
        <v>434</v>
      </c>
      <c r="U4" s="358" t="s">
        <v>435</v>
      </c>
      <c r="V4" s="358" t="s">
        <v>436</v>
      </c>
      <c r="W4" s="358" t="s">
        <v>437</v>
      </c>
      <c r="X4" s="358" t="s">
        <v>438</v>
      </c>
      <c r="Y4" s="358" t="s">
        <v>439</v>
      </c>
      <c r="Z4" s="358" t="s">
        <v>409</v>
      </c>
      <c r="AA4" s="358" t="s">
        <v>275</v>
      </c>
      <c r="AB4" s="358" t="s">
        <v>410</v>
      </c>
      <c r="AC4" s="358" t="s">
        <v>440</v>
      </c>
      <c r="AD4" s="358" t="s">
        <v>412</v>
      </c>
      <c r="AE4" s="358" t="s">
        <v>273</v>
      </c>
      <c r="AF4" s="358" t="s">
        <v>411</v>
      </c>
      <c r="AG4" s="358" t="s">
        <v>441</v>
      </c>
      <c r="AH4" s="358" t="s">
        <v>442</v>
      </c>
      <c r="AI4" s="358" t="s">
        <v>443</v>
      </c>
      <c r="AJ4" s="358" t="s">
        <v>444</v>
      </c>
      <c r="AK4" s="358" t="s">
        <v>445</v>
      </c>
      <c r="AL4" s="358" t="s">
        <v>446</v>
      </c>
      <c r="AM4" s="358" t="s">
        <v>447</v>
      </c>
      <c r="AN4" s="358" t="s">
        <v>448</v>
      </c>
      <c r="AO4" s="358" t="s">
        <v>449</v>
      </c>
      <c r="AP4" s="358" t="s">
        <v>450</v>
      </c>
      <c r="AQ4" s="358" t="s">
        <v>451</v>
      </c>
      <c r="AR4" s="358" t="s">
        <v>452</v>
      </c>
      <c r="AS4" s="358" t="s">
        <v>453</v>
      </c>
      <c r="AT4" s="358" t="s">
        <v>454</v>
      </c>
      <c r="AU4" s="358" t="s">
        <v>455</v>
      </c>
      <c r="AV4" s="358" t="s">
        <v>456</v>
      </c>
      <c r="AW4" s="358" t="s">
        <v>457</v>
      </c>
      <c r="AX4" s="358" t="s">
        <v>458</v>
      </c>
      <c r="AY4" s="358" t="s">
        <v>459</v>
      </c>
      <c r="AZ4" s="358" t="s">
        <v>460</v>
      </c>
      <c r="BA4" s="358" t="s">
        <v>461</v>
      </c>
      <c r="BB4" s="358" t="s">
        <v>462</v>
      </c>
      <c r="BC4" s="358" t="s">
        <v>463</v>
      </c>
      <c r="BD4" s="358" t="s">
        <v>464</v>
      </c>
      <c r="BE4" s="358" t="s">
        <v>465</v>
      </c>
      <c r="BF4" s="358" t="s">
        <v>466</v>
      </c>
      <c r="BG4" s="358" t="s">
        <v>467</v>
      </c>
      <c r="BH4" s="358" t="s">
        <v>468</v>
      </c>
      <c r="BI4" s="358" t="s">
        <v>469</v>
      </c>
      <c r="BJ4" s="358" t="s">
        <v>470</v>
      </c>
      <c r="BK4" s="358" t="s">
        <v>471</v>
      </c>
      <c r="BL4" s="358" t="s">
        <v>472</v>
      </c>
      <c r="BM4" s="358" t="s">
        <v>473</v>
      </c>
      <c r="BN4" s="358" t="s">
        <v>474</v>
      </c>
      <c r="BO4" s="358" t="s">
        <v>475</v>
      </c>
      <c r="BP4" s="358" t="s">
        <v>476</v>
      </c>
      <c r="BQ4" s="358" t="s">
        <v>477</v>
      </c>
      <c r="BR4" s="358" t="s">
        <v>478</v>
      </c>
      <c r="BS4" s="358" t="s">
        <v>479</v>
      </c>
      <c r="BT4" s="358" t="s">
        <v>55</v>
      </c>
      <c r="BU4" s="358" t="s">
        <v>480</v>
      </c>
      <c r="BV4" s="358" t="s">
        <v>481</v>
      </c>
      <c r="BW4" s="358" t="s">
        <v>482</v>
      </c>
      <c r="BX4" s="358" t="s">
        <v>483</v>
      </c>
      <c r="BY4" s="358" t="s">
        <v>484</v>
      </c>
      <c r="BZ4" s="358"/>
      <c r="CA4" s="358"/>
      <c r="CB4" s="358"/>
      <c r="CC4" s="358"/>
      <c r="CD4" s="358"/>
      <c r="CE4" s="358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/>
      <c r="DB4" s="124"/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</sheetData>
  <sheetProtection algorithmName="SHA-512" hashValue="K4b1NQSuNh9kUZU+EynM6RaSeJEdaFGECIKdpzVtNnevq6UvVF3/YNIicKCDamkUSHfQre3lOvnfE/GmrkD0tA==" saltValue="4IQVpDM63Bt/Yr4gEXflFQ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4"/>
      <c r="B1" s="285">
        <v>1</v>
      </c>
      <c r="C1" s="286"/>
      <c r="D1" s="287"/>
      <c r="E1" s="288" t="s">
        <v>96</v>
      </c>
      <c r="F1" s="289" t="s">
        <v>87</v>
      </c>
      <c r="G1" s="290" t="s">
        <v>872</v>
      </c>
      <c r="H1" s="291" t="s">
        <v>884</v>
      </c>
      <c r="I1" s="291" t="s">
        <v>885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+COUNTIF($DR:$DR,"Sales")</f>
        <v>0</v>
      </c>
      <c r="G2" s="300">
        <f>+COUNTIF($DR:$DR,"Purchase Return")-1</f>
        <v>0</v>
      </c>
      <c r="H2" s="301">
        <f>SUMIF(DS:DS, "&gt;0")</f>
        <v>0</v>
      </c>
      <c r="I2" s="301">
        <f>SUMIF(DS:DS, "&lt;0")</f>
        <v>0</v>
      </c>
      <c r="J2" s="303">
        <f>+F2+G2</f>
        <v>0</v>
      </c>
      <c r="K2" s="304">
        <f>+SUM(DS:DS)</f>
        <v>0</v>
      </c>
      <c r="L2" s="305">
        <f>+(E2-J2)-COUNTIF(AK:AK,"0")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789</v>
      </c>
      <c r="AF2" s="86" t="s">
        <v>791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0" t="s">
        <v>859</v>
      </c>
      <c r="DB2" s="360" t="s">
        <v>777</v>
      </c>
      <c r="DC2" s="360" t="s">
        <v>228</v>
      </c>
      <c r="DD2" s="360" t="s">
        <v>870</v>
      </c>
      <c r="DE2" s="360" t="s">
        <v>779</v>
      </c>
      <c r="DF2" s="360" t="s">
        <v>860</v>
      </c>
      <c r="DG2" s="361" t="s">
        <v>780</v>
      </c>
      <c r="DH2" s="360" t="s">
        <v>781</v>
      </c>
      <c r="DI2" s="360" t="s">
        <v>782</v>
      </c>
      <c r="DJ2" s="360" t="s">
        <v>417</v>
      </c>
      <c r="DK2" s="360" t="s">
        <v>76</v>
      </c>
      <c r="DL2" s="360" t="s">
        <v>400</v>
      </c>
      <c r="DM2" s="360" t="s">
        <v>783</v>
      </c>
      <c r="DN2" s="360" t="s">
        <v>784</v>
      </c>
      <c r="DO2" s="360" t="s">
        <v>785</v>
      </c>
      <c r="DP2" s="360" t="s">
        <v>423</v>
      </c>
      <c r="DQ2" s="360" t="s">
        <v>315</v>
      </c>
      <c r="DR2" s="362" t="s">
        <v>796</v>
      </c>
      <c r="DS2" s="360" t="s">
        <v>106</v>
      </c>
      <c r="DT2" s="360" t="s">
        <v>871</v>
      </c>
      <c r="DU2" s="360" t="s">
        <v>869</v>
      </c>
      <c r="DV2" s="17"/>
      <c r="DW2" s="17"/>
      <c r="DX2" s="17"/>
    </row>
    <row r="3" spans="1:128" customFormat="1" ht="15.75" thickBot="1" x14ac:dyDescent="0.3">
      <c r="A3" s="344"/>
      <c r="B3" s="345"/>
      <c r="C3" s="307"/>
      <c r="D3" s="308" t="s">
        <v>900</v>
      </c>
      <c r="E3" s="343"/>
      <c r="F3" s="346"/>
      <c r="G3" s="343"/>
      <c r="H3" s="307"/>
      <c r="I3" s="350"/>
      <c r="J3" s="348"/>
      <c r="K3" s="351"/>
      <c r="L3" s="349" t="s">
        <v>924</v>
      </c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787</v>
      </c>
      <c r="DC3" s="29" t="e">
        <f>+VLOOKUP(DD3,Help!$AC$3:$AD$20,2,0)</f>
        <v>#N/A</v>
      </c>
      <c r="DD3" s="204">
        <f>+A3</f>
        <v>0</v>
      </c>
      <c r="DE3" s="204">
        <f>+B3</f>
        <v>0</v>
      </c>
      <c r="DF3" s="29" t="str">
        <f>+L3</f>
        <v>225 - KETAN JOGANI</v>
      </c>
      <c r="DG3" s="26" t="s">
        <v>775</v>
      </c>
      <c r="DH3" s="29" t="str">
        <f>+IF(DF3=DA3,"GST","IGST")</f>
        <v>IGST</v>
      </c>
      <c r="DI3" s="29" t="s">
        <v>863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6">
        <f>+IF(X3=0,0,W3*100)</f>
        <v>0</v>
      </c>
      <c r="DN3" s="27" t="s">
        <v>85</v>
      </c>
      <c r="DO3" s="204" t="s">
        <v>85</v>
      </c>
      <c r="DP3" s="29">
        <f>+IF(X3=0,0,T3)</f>
        <v>0</v>
      </c>
      <c r="DQ3" s="89" t="e">
        <f>+DS3/DP3</f>
        <v>#DIV/0!</v>
      </c>
      <c r="DR3" s="204" t="str">
        <f>+IF(B3="FC_TRANSFER","Sales","Purchase Return")</f>
        <v>Purchase Return</v>
      </c>
      <c r="DS3" s="383">
        <f>+IF(B3="FC_REMOVAL",VALUE(IF(X3=0,0,V3*-1)),VALUE(IF(X3=0,0,V3)))</f>
        <v>0</v>
      </c>
      <c r="DT3" s="363" t="e">
        <f>+VLOOKUP(DU3,Help!$AC$3:$AD$20,2,0)</f>
        <v>#N/A</v>
      </c>
      <c r="DU3" s="364" t="str">
        <f>+AG3</f>
        <v>Sales</v>
      </c>
      <c r="DV3" s="359"/>
      <c r="DW3" s="359"/>
      <c r="DX3" s="359"/>
    </row>
    <row r="4" spans="1:128" s="2" customFormat="1" x14ac:dyDescent="0.25">
      <c r="A4" s="355" t="s">
        <v>850</v>
      </c>
      <c r="B4" s="355" t="s">
        <v>154</v>
      </c>
      <c r="C4" s="355" t="s">
        <v>522</v>
      </c>
      <c r="D4" s="355" t="s">
        <v>155</v>
      </c>
      <c r="E4" s="355" t="s">
        <v>851</v>
      </c>
      <c r="F4" s="355" t="s">
        <v>170</v>
      </c>
      <c r="G4" s="355" t="s">
        <v>171</v>
      </c>
      <c r="H4" s="355" t="s">
        <v>172</v>
      </c>
      <c r="I4" s="355" t="s">
        <v>173</v>
      </c>
      <c r="J4" s="355" t="s">
        <v>852</v>
      </c>
      <c r="K4" s="355" t="s">
        <v>174</v>
      </c>
      <c r="L4" s="355" t="s">
        <v>175</v>
      </c>
      <c r="M4" s="355" t="s">
        <v>176</v>
      </c>
      <c r="N4" s="355" t="s">
        <v>177</v>
      </c>
      <c r="O4" s="355" t="s">
        <v>152</v>
      </c>
      <c r="P4" s="355" t="s">
        <v>153</v>
      </c>
      <c r="Q4" s="355" t="s">
        <v>376</v>
      </c>
      <c r="R4" s="355" t="s">
        <v>162</v>
      </c>
      <c r="S4" s="355" t="s">
        <v>164</v>
      </c>
      <c r="T4" s="355" t="s">
        <v>160</v>
      </c>
      <c r="U4" s="355" t="s">
        <v>743</v>
      </c>
      <c r="V4" s="355" t="s">
        <v>537</v>
      </c>
      <c r="W4" s="355" t="s">
        <v>184</v>
      </c>
      <c r="X4" s="355" t="s">
        <v>853</v>
      </c>
      <c r="Y4" s="355" t="s">
        <v>182</v>
      </c>
      <c r="Z4" s="355" t="s">
        <v>854</v>
      </c>
      <c r="AA4" s="355" t="s">
        <v>183</v>
      </c>
      <c r="AB4" s="355" t="s">
        <v>855</v>
      </c>
      <c r="AC4" s="355" t="s">
        <v>181</v>
      </c>
      <c r="AD4" s="355" t="s">
        <v>856</v>
      </c>
      <c r="AE4" s="355" t="s">
        <v>185</v>
      </c>
      <c r="AF4" s="355" t="s">
        <v>857</v>
      </c>
      <c r="AG4" s="355" t="s">
        <v>858</v>
      </c>
      <c r="AH4" s="355" t="s">
        <v>231</v>
      </c>
      <c r="AI4" s="355" t="s">
        <v>232</v>
      </c>
      <c r="AJ4" s="355" t="s">
        <v>233</v>
      </c>
      <c r="AK4" s="355" t="s">
        <v>234</v>
      </c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6"/>
      <c r="DH4" s="17"/>
      <c r="DI4" s="276" t="s">
        <v>85</v>
      </c>
      <c r="DJ4" s="17"/>
      <c r="DK4" s="275"/>
      <c r="DL4" s="124"/>
      <c r="DM4" s="282"/>
      <c r="DN4" s="275"/>
      <c r="DO4" s="275"/>
      <c r="DP4" s="276" t="s">
        <v>85</v>
      </c>
      <c r="DS4" s="382"/>
    </row>
  </sheetData>
  <sheetProtection algorithmName="SHA-512" hashValue="j/Ulz3LkoEvMOH//qxuAAk0J4C9ahMc4id5PvF4fK+d/oMnYtCqiYzn61vf8ghpS4hcpRAMKow5bO0ew+YBgig==" saltValue="Fu4400o8mBUWpVBpHGOTlQ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workbookViewId="0">
      <selection activeCell="C10" sqref="C10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4"/>
      <c r="B1" s="285"/>
      <c r="C1" s="286"/>
      <c r="D1" s="287"/>
      <c r="E1" s="288" t="s">
        <v>96</v>
      </c>
      <c r="F1" s="289" t="s">
        <v>797</v>
      </c>
      <c r="G1" s="290" t="s">
        <v>798</v>
      </c>
      <c r="H1" s="291" t="s">
        <v>799</v>
      </c>
      <c r="I1" s="292" t="s">
        <v>800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+COUNTIF($DR:$DR,"Purchase")-1</f>
        <v>0</v>
      </c>
      <c r="G2" s="300">
        <f>+COUNTIF($DR:$DR,"GST Expense")</f>
        <v>0</v>
      </c>
      <c r="H2" s="301">
        <f>+COUNTIF($DR:$DR,"Pur CN")</f>
        <v>0</v>
      </c>
      <c r="I2" s="302">
        <f>+COUNTIF($DR:$DR,"Pur DN")</f>
        <v>0</v>
      </c>
      <c r="J2" s="303">
        <f>+F2+G2+H2+I2</f>
        <v>0</v>
      </c>
      <c r="K2" s="304">
        <f>+SUM(DQ:DQ)</f>
        <v>0</v>
      </c>
      <c r="L2" s="305">
        <f>+E2-J2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789</v>
      </c>
      <c r="AF2" s="86" t="s">
        <v>791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7" t="s">
        <v>71</v>
      </c>
      <c r="DB2" s="277" t="s">
        <v>777</v>
      </c>
      <c r="DC2" s="277" t="s">
        <v>72</v>
      </c>
      <c r="DD2" s="277" t="s">
        <v>778</v>
      </c>
      <c r="DE2" s="277" t="s">
        <v>779</v>
      </c>
      <c r="DF2" s="277" t="s">
        <v>776</v>
      </c>
      <c r="DG2" s="277" t="s">
        <v>780</v>
      </c>
      <c r="DH2" s="277" t="s">
        <v>781</v>
      </c>
      <c r="DI2" s="277" t="s">
        <v>782</v>
      </c>
      <c r="DJ2" s="277" t="s">
        <v>417</v>
      </c>
      <c r="DK2" s="277" t="s">
        <v>76</v>
      </c>
      <c r="DL2" s="277" t="s">
        <v>400</v>
      </c>
      <c r="DM2" s="277" t="s">
        <v>783</v>
      </c>
      <c r="DN2" s="277" t="s">
        <v>784</v>
      </c>
      <c r="DO2" s="277" t="s">
        <v>785</v>
      </c>
      <c r="DP2" s="277" t="s">
        <v>423</v>
      </c>
      <c r="DQ2" s="277" t="s">
        <v>795</v>
      </c>
      <c r="DR2" s="278" t="s">
        <v>796</v>
      </c>
      <c r="DS2" s="277" t="s">
        <v>786</v>
      </c>
    </row>
    <row r="3" spans="1:137" customFormat="1" ht="15.75" thickBot="1" x14ac:dyDescent="0.3">
      <c r="A3" s="344"/>
      <c r="B3" s="345"/>
      <c r="C3" s="307"/>
      <c r="D3" s="308" t="s">
        <v>85</v>
      </c>
      <c r="E3" s="343"/>
      <c r="F3" s="346"/>
      <c r="G3" s="343"/>
      <c r="H3" s="307"/>
      <c r="I3" s="351" t="s">
        <v>847</v>
      </c>
      <c r="J3" s="393"/>
      <c r="K3" s="351" t="s">
        <v>846</v>
      </c>
      <c r="L3" s="394" t="s">
        <v>924</v>
      </c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787</v>
      </c>
      <c r="DC3" s="26">
        <f>+B3</f>
        <v>0</v>
      </c>
      <c r="DD3" s="204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775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0">
        <f>+C3</f>
        <v>0</v>
      </c>
      <c r="DL3" s="280" t="str">
        <f>CONCATENATE("GST", " ", DM3, "%", " ", "(", DO3, REPT(" ", 8 - LEN(DO3)), ")")</f>
        <v>GST % (        )</v>
      </c>
      <c r="DM3" s="186" t="str">
        <f>IFERROR(IF(D3="Regular", ROUND(((J3+K3+L3)*100/I3),0), ROUND(((K3+L3+M3)*100/J3),0)),"")</f>
        <v/>
      </c>
      <c r="DN3" s="27" t="s">
        <v>85</v>
      </c>
      <c r="DO3" s="204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19" t="s">
        <v>85</v>
      </c>
    </row>
    <row r="4" spans="1:137" s="2" customFormat="1" ht="24" x14ac:dyDescent="0.25">
      <c r="A4" s="306" t="s">
        <v>759</v>
      </c>
      <c r="B4" s="306" t="s">
        <v>760</v>
      </c>
      <c r="C4" s="274" t="s">
        <v>419</v>
      </c>
      <c r="D4" s="274" t="s">
        <v>770</v>
      </c>
      <c r="E4" s="274" t="s">
        <v>153</v>
      </c>
      <c r="F4" s="274" t="s">
        <v>771</v>
      </c>
      <c r="G4" s="306" t="s">
        <v>761</v>
      </c>
      <c r="H4" s="306" t="s">
        <v>762</v>
      </c>
      <c r="I4" s="306" t="s">
        <v>763</v>
      </c>
      <c r="J4" s="274" t="s">
        <v>923</v>
      </c>
      <c r="K4" s="274" t="s">
        <v>772</v>
      </c>
      <c r="L4" s="274" t="s">
        <v>773</v>
      </c>
      <c r="M4" s="274" t="s">
        <v>774</v>
      </c>
      <c r="N4" s="274" t="s">
        <v>849</v>
      </c>
      <c r="O4" s="274" t="s">
        <v>764</v>
      </c>
      <c r="P4" s="274" t="s">
        <v>765</v>
      </c>
      <c r="Q4" s="274" t="s">
        <v>766</v>
      </c>
      <c r="R4" s="274" t="s">
        <v>767</v>
      </c>
      <c r="S4" s="274" t="s">
        <v>768</v>
      </c>
      <c r="T4" s="274" t="s">
        <v>478</v>
      </c>
      <c r="U4" s="274" t="s">
        <v>769</v>
      </c>
      <c r="V4" s="16"/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7"/>
      <c r="DH4" s="17"/>
      <c r="DI4" s="276" t="s">
        <v>85</v>
      </c>
      <c r="DJ4" s="17"/>
      <c r="DK4" s="275"/>
      <c r="DL4" s="342"/>
      <c r="DM4" s="282"/>
      <c r="DN4" s="275"/>
      <c r="DO4" s="275"/>
      <c r="DP4" s="276" t="s">
        <v>85</v>
      </c>
    </row>
  </sheetData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37"/>
  <sheetViews>
    <sheetView showRuler="0" topLeftCell="F1" workbookViewId="0">
      <pane ySplit="1" topLeftCell="A2" activePane="bottomLeft" state="frozen"/>
      <selection activeCell="G24" sqref="G24"/>
      <selection pane="bottomLeft" activeCell="L5" sqref="L5"/>
    </sheetView>
  </sheetViews>
  <sheetFormatPr defaultRowHeight="15" x14ac:dyDescent="0.25"/>
  <cols>
    <col min="1" max="2" width="35.7109375" style="140" customWidth="1"/>
    <col min="3" max="3" width="15" style="141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6" t="s">
        <v>104</v>
      </c>
      <c r="B1" s="197" t="s">
        <v>303</v>
      </c>
      <c r="C1" s="183" t="s">
        <v>54</v>
      </c>
      <c r="D1" s="184" t="s">
        <v>55</v>
      </c>
      <c r="E1" s="187" t="s">
        <v>0</v>
      </c>
      <c r="F1" s="188" t="s">
        <v>1</v>
      </c>
      <c r="G1" s="189"/>
      <c r="H1" s="190"/>
      <c r="I1" s="403"/>
      <c r="J1" s="404"/>
      <c r="K1" s="405"/>
      <c r="N1" s="406" t="s">
        <v>808</v>
      </c>
      <c r="O1" s="407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8" t="str">
        <f>IF(AP1="",IF(AN1&lt;&gt;"", SUMIFS($L$5:$L$150000, $N$5:$N$150000, AN1), ""),"")</f>
        <v/>
      </c>
      <c r="AP1" s="369" t="str">
        <f>IF(AN1="", "", INDEX($A$5:$A$150000, MATCH(AN1, $N$5:$N$150000, 0)))</f>
        <v/>
      </c>
      <c r="AQ1" s="370" t="str">
        <f>IF(AN1="", "", INDEX($B$5:$B$150000, MATCH(AN1, $N$5:$N$150000, 0)))</f>
        <v/>
      </c>
      <c r="AR1" s="368" t="str">
        <f>IF(AN1="", "", INDEX($C$5:$C$150000, MATCH(AN1, $N$5:$N$150000, 0)))</f>
        <v/>
      </c>
      <c r="AS1" s="368" t="str">
        <f>AY1 &amp; "%" &amp; " (" &amp; AX1 &amp; ")"</f>
        <v>% ()</v>
      </c>
      <c r="AT1" s="370" t="e">
        <f>+IF(AU1="",INDEX($E$5:$E$150000,MATCH(AN1,$N$5:$N$150000,0)),INDEX(Help!$F$2:$F$49,MATCH(VALUE(LEFT(AU1,2)),Help!$E$2:$E$49,0)))</f>
        <v>#N/A</v>
      </c>
      <c r="AU1" s="371" t="str">
        <f>IF(AN1="", "", IFERROR(INDEX($F$5:$F$150000, MATCH(AN1, $N$5:$N$150000, 0)), ""))</f>
        <v/>
      </c>
      <c r="AV1" s="370" t="str">
        <f>IF(AN1="", "", IFERROR(INDEX($O$5:$O$150000, MATCH(AN1, $N$5:$N$150000, 0)), ""))</f>
        <v/>
      </c>
      <c r="AW1" s="369" t="str">
        <f>SUBSTITUTE(AN1,"R-","")</f>
        <v/>
      </c>
      <c r="AX1" s="369" t="str">
        <f>IF($Q1="", "", IFERROR(VALUE(INDEX($I$5:$I$150000, MATCH($Q1, $N$5:$N$150000, 0))), ""))</f>
        <v/>
      </c>
      <c r="AY1" s="369" t="str">
        <f>IF($Q1="", "", IFERROR(INDEX($J$5:$J$150000, MATCH($Q1, $N$5:$N$150000, 0)), ""))</f>
        <v/>
      </c>
      <c r="AZ1" s="369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8" t="e">
        <f>+BA1/AZ1</f>
        <v>#VALUE!</v>
      </c>
      <c r="BD1" s="103" t="s">
        <v>85</v>
      </c>
      <c r="BE1" s="99" t="e">
        <f>+IF(AT1=AP1,"ECom GST","ECom IGST")</f>
        <v>#N/A</v>
      </c>
    </row>
    <row r="2" spans="1:135" customFormat="1" ht="17.25" x14ac:dyDescent="0.25">
      <c r="A2" s="194" t="s">
        <v>2</v>
      </c>
      <c r="B2" s="195" t="s">
        <v>2</v>
      </c>
      <c r="C2" s="181">
        <v>0</v>
      </c>
      <c r="D2" s="182"/>
      <c r="E2" s="176">
        <v>37</v>
      </c>
      <c r="F2" s="167" t="s">
        <v>3</v>
      </c>
      <c r="G2" s="167" t="s">
        <v>4</v>
      </c>
      <c r="H2" s="168"/>
      <c r="I2" s="191"/>
      <c r="J2" s="192"/>
      <c r="K2" s="193"/>
      <c r="M2" s="16"/>
      <c r="N2" s="317"/>
      <c r="O2" s="319"/>
      <c r="P2" s="16"/>
      <c r="T2" s="87" t="s">
        <v>86</v>
      </c>
      <c r="U2" s="87" t="s">
        <v>84</v>
      </c>
      <c r="V2" s="87" t="s">
        <v>83</v>
      </c>
      <c r="W2" s="87" t="s">
        <v>238</v>
      </c>
      <c r="X2" s="87" t="s">
        <v>239</v>
      </c>
      <c r="Y2" s="87" t="s">
        <v>240</v>
      </c>
      <c r="Z2" s="87" t="s">
        <v>242</v>
      </c>
      <c r="AA2" s="87" t="s">
        <v>241</v>
      </c>
      <c r="AC2" s="386" t="s">
        <v>861</v>
      </c>
      <c r="AD2" s="387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8" t="s">
        <v>5</v>
      </c>
      <c r="B3" s="178" t="s">
        <v>5</v>
      </c>
      <c r="C3" s="179">
        <v>3</v>
      </c>
      <c r="D3" s="180"/>
      <c r="E3" s="177">
        <v>12</v>
      </c>
      <c r="F3" s="165" t="s">
        <v>6</v>
      </c>
      <c r="G3" s="165" t="s">
        <v>7</v>
      </c>
      <c r="H3" s="166" t="s">
        <v>101</v>
      </c>
      <c r="I3" s="191"/>
      <c r="J3" s="400"/>
      <c r="K3" s="399"/>
      <c r="L3" t="s">
        <v>924</v>
      </c>
      <c r="M3" s="16"/>
      <c r="N3" s="317"/>
      <c r="O3" s="319"/>
      <c r="P3" s="16"/>
      <c r="T3" s="88"/>
      <c r="Z3" s="88"/>
      <c r="AA3" s="88"/>
      <c r="AC3" s="388"/>
      <c r="AD3" s="389"/>
    </row>
    <row r="4" spans="1:135" customFormat="1" ht="17.25" x14ac:dyDescent="0.25">
      <c r="A4" s="138" t="s">
        <v>8</v>
      </c>
      <c r="B4" s="178" t="s">
        <v>8</v>
      </c>
      <c r="C4" s="179">
        <v>5</v>
      </c>
      <c r="D4" s="180"/>
      <c r="E4" s="177">
        <v>18</v>
      </c>
      <c r="F4" s="165" t="s">
        <v>9</v>
      </c>
      <c r="G4" s="165" t="s">
        <v>10</v>
      </c>
      <c r="H4" s="166" t="s">
        <v>101</v>
      </c>
      <c r="I4" s="191"/>
      <c r="J4" s="192"/>
      <c r="K4" s="193"/>
      <c r="N4" s="317"/>
      <c r="O4" s="318"/>
      <c r="P4" s="16"/>
      <c r="T4" s="88"/>
      <c r="Z4" s="88"/>
      <c r="AA4" s="88"/>
      <c r="AC4" s="388"/>
      <c r="AD4" s="389"/>
    </row>
    <row r="5" spans="1:135" customFormat="1" ht="17.25" x14ac:dyDescent="0.25">
      <c r="A5" s="227" t="s">
        <v>11</v>
      </c>
      <c r="B5" s="228" t="s">
        <v>11</v>
      </c>
      <c r="C5" s="229">
        <v>12</v>
      </c>
      <c r="D5" s="230"/>
      <c r="E5" s="231">
        <v>10</v>
      </c>
      <c r="F5" s="232" t="s">
        <v>12</v>
      </c>
      <c r="G5" s="232" t="s">
        <v>13</v>
      </c>
      <c r="H5" s="233" t="s">
        <v>101</v>
      </c>
      <c r="I5" s="234"/>
      <c r="J5" s="235"/>
      <c r="K5" s="236"/>
      <c r="L5" s="16"/>
      <c r="M5" s="17"/>
      <c r="N5" s="317"/>
      <c r="O5" s="319"/>
      <c r="P5" s="16"/>
      <c r="Q5" s="16"/>
      <c r="R5" s="16"/>
      <c r="S5" s="16"/>
      <c r="T5" s="88"/>
      <c r="Z5" s="88"/>
      <c r="AA5" s="88"/>
      <c r="AB5" s="16"/>
      <c r="AC5" s="388"/>
      <c r="AD5" s="389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7" t="s">
        <v>5</v>
      </c>
      <c r="DB5" s="237" t="s">
        <v>84</v>
      </c>
      <c r="DC5" s="238" t="s">
        <v>85</v>
      </c>
      <c r="DD5" s="237" t="s">
        <v>491</v>
      </c>
      <c r="DE5" s="237" t="s">
        <v>491</v>
      </c>
      <c r="DF5" s="238" t="s">
        <v>85</v>
      </c>
      <c r="DG5" s="239" t="e">
        <v>#VALUE!</v>
      </c>
      <c r="DH5" s="237">
        <v>9648.5200000000677</v>
      </c>
      <c r="DI5" s="240" t="e">
        <v>#N/A</v>
      </c>
      <c r="DJ5" s="237">
        <v>0</v>
      </c>
      <c r="DK5" s="241" t="s">
        <v>85</v>
      </c>
      <c r="DL5" s="242">
        <v>0</v>
      </c>
      <c r="DM5" s="242">
        <v>0</v>
      </c>
      <c r="DN5" s="237" t="s">
        <v>493</v>
      </c>
      <c r="DO5" s="237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7" t="s">
        <v>12</v>
      </c>
      <c r="B6" s="228" t="s">
        <v>12</v>
      </c>
      <c r="C6" s="229">
        <v>18</v>
      </c>
      <c r="D6" s="230"/>
      <c r="E6" s="231">
        <v>22</v>
      </c>
      <c r="F6" s="232" t="s">
        <v>46</v>
      </c>
      <c r="G6" s="232" t="s">
        <v>318</v>
      </c>
      <c r="H6" s="233" t="s">
        <v>101</v>
      </c>
      <c r="I6" s="234"/>
      <c r="J6" s="235"/>
      <c r="K6" s="236"/>
      <c r="L6" s="16"/>
      <c r="M6" s="16"/>
      <c r="N6" s="321" t="s">
        <v>802</v>
      </c>
      <c r="O6" s="322">
        <v>29505</v>
      </c>
      <c r="P6" s="16"/>
      <c r="Q6" s="16"/>
      <c r="R6" s="16"/>
      <c r="S6" s="16"/>
      <c r="T6" s="88"/>
      <c r="U6" s="88"/>
      <c r="Z6" s="88"/>
      <c r="AA6" s="88"/>
      <c r="AB6" s="16"/>
      <c r="AC6" s="388"/>
      <c r="AD6" s="389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7" t="s">
        <v>14</v>
      </c>
      <c r="B7" s="228" t="s">
        <v>14</v>
      </c>
      <c r="C7" s="243">
        <v>28</v>
      </c>
      <c r="D7" s="244"/>
      <c r="E7" s="231">
        <v>7</v>
      </c>
      <c r="F7" s="232" t="s">
        <v>15</v>
      </c>
      <c r="G7" s="232" t="s">
        <v>16</v>
      </c>
      <c r="H7" s="233" t="s">
        <v>101</v>
      </c>
      <c r="I7" s="234"/>
      <c r="J7" s="235"/>
      <c r="K7" s="236"/>
      <c r="L7" s="320" t="s">
        <v>825</v>
      </c>
      <c r="M7" s="320" t="b">
        <v>1</v>
      </c>
      <c r="N7" s="321" t="s">
        <v>72</v>
      </c>
      <c r="O7" s="322" t="s">
        <v>925</v>
      </c>
      <c r="P7" s="16"/>
      <c r="Q7" s="16"/>
      <c r="R7" s="16"/>
      <c r="S7" s="16"/>
      <c r="T7" s="88"/>
      <c r="Z7" s="88"/>
      <c r="AA7" s="88"/>
      <c r="AB7" s="16"/>
      <c r="AC7" s="388"/>
      <c r="AD7" s="389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7" t="s">
        <v>17</v>
      </c>
      <c r="B8" s="245" t="s">
        <v>17</v>
      </c>
      <c r="C8" s="246" t="str">
        <f t="shared" ref="C8:C21" si="0">+IFERROR(IF(B8="","",(VLOOKUP(B8,$F$2:$H$55,3,0))),"State Wrong")</f>
        <v>OK</v>
      </c>
      <c r="D8" s="16"/>
      <c r="E8" s="247">
        <v>30</v>
      </c>
      <c r="F8" s="232" t="s">
        <v>18</v>
      </c>
      <c r="G8" s="232" t="s">
        <v>19</v>
      </c>
      <c r="H8" s="233" t="s">
        <v>101</v>
      </c>
      <c r="I8" s="234"/>
      <c r="J8" s="235"/>
      <c r="K8" s="236"/>
      <c r="L8" s="320" t="s">
        <v>824</v>
      </c>
      <c r="M8" s="320" t="b">
        <v>1</v>
      </c>
      <c r="N8" s="321" t="s">
        <v>803</v>
      </c>
      <c r="O8" s="322">
        <v>9173555942</v>
      </c>
      <c r="P8" s="16"/>
      <c r="Q8" s="16"/>
      <c r="R8" s="16"/>
      <c r="S8" s="16"/>
      <c r="T8" s="88"/>
      <c r="Z8" s="88"/>
      <c r="AA8" s="88"/>
      <c r="AB8" s="16"/>
      <c r="AC8" s="388"/>
      <c r="AD8" s="389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7" t="s">
        <v>20</v>
      </c>
      <c r="B9" s="245" t="s">
        <v>20</v>
      </c>
      <c r="C9" s="141" t="str">
        <f t="shared" si="0"/>
        <v>OK</v>
      </c>
      <c r="D9" s="16"/>
      <c r="E9" s="247">
        <v>24</v>
      </c>
      <c r="F9" s="232" t="s">
        <v>5</v>
      </c>
      <c r="G9" s="232" t="s">
        <v>21</v>
      </c>
      <c r="H9" s="233" t="s">
        <v>101</v>
      </c>
      <c r="I9" s="234"/>
      <c r="J9" s="235"/>
      <c r="K9" s="236"/>
      <c r="L9" s="320" t="s">
        <v>809</v>
      </c>
      <c r="M9" s="320" t="b">
        <v>1</v>
      </c>
      <c r="N9" s="321" t="s">
        <v>804</v>
      </c>
      <c r="O9" s="323" t="s">
        <v>926</v>
      </c>
      <c r="P9" s="16"/>
      <c r="Q9" s="16"/>
      <c r="R9" s="16"/>
      <c r="S9" s="16"/>
      <c r="T9" s="88"/>
      <c r="W9" s="88"/>
      <c r="X9" s="88"/>
      <c r="Z9" s="88"/>
      <c r="AA9" s="88"/>
      <c r="AB9" s="16"/>
      <c r="AC9" s="388"/>
      <c r="AD9" s="389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9" t="s">
        <v>144</v>
      </c>
      <c r="B10" s="248" t="s">
        <v>66</v>
      </c>
      <c r="C10" s="141" t="str">
        <f t="shared" si="0"/>
        <v>OK</v>
      </c>
      <c r="D10" s="16"/>
      <c r="E10" s="247">
        <v>6</v>
      </c>
      <c r="F10" s="232" t="s">
        <v>23</v>
      </c>
      <c r="G10" s="232" t="s">
        <v>24</v>
      </c>
      <c r="H10" s="233" t="s">
        <v>101</v>
      </c>
      <c r="I10" s="234"/>
      <c r="J10" s="235"/>
      <c r="K10" s="236"/>
      <c r="L10" s="320" t="s">
        <v>911</v>
      </c>
      <c r="M10" s="320" t="b">
        <v>1</v>
      </c>
      <c r="N10" s="321" t="s">
        <v>806</v>
      </c>
      <c r="O10" s="322" t="s">
        <v>927</v>
      </c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88"/>
      <c r="AD10" s="389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7" t="s">
        <v>22</v>
      </c>
      <c r="B11" s="245" t="s">
        <v>50</v>
      </c>
      <c r="C11" s="141" t="str">
        <f t="shared" si="0"/>
        <v>OK</v>
      </c>
      <c r="D11" s="16"/>
      <c r="E11" s="247">
        <v>2</v>
      </c>
      <c r="F11" s="232" t="s">
        <v>26</v>
      </c>
      <c r="G11" s="232" t="s">
        <v>27</v>
      </c>
      <c r="H11" s="233" t="s">
        <v>101</v>
      </c>
      <c r="I11" s="234"/>
      <c r="J11" s="235"/>
      <c r="K11" s="236"/>
      <c r="L11" s="320" t="s">
        <v>810</v>
      </c>
      <c r="M11" s="320" t="b">
        <v>1</v>
      </c>
      <c r="N11" s="321" t="s">
        <v>807</v>
      </c>
      <c r="O11" s="323">
        <v>45573</v>
      </c>
      <c r="P11" s="16"/>
      <c r="Q11" s="16"/>
      <c r="R11" s="16"/>
      <c r="S11" s="16"/>
      <c r="AA11" s="88"/>
      <c r="AB11" s="16"/>
      <c r="AC11" s="390"/>
      <c r="AD11" s="389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7" t="s">
        <v>25</v>
      </c>
      <c r="B12" s="245" t="s">
        <v>25</v>
      </c>
      <c r="C12" s="141" t="str">
        <f t="shared" si="0"/>
        <v>OK</v>
      </c>
      <c r="D12" s="16"/>
      <c r="E12" s="247">
        <v>1</v>
      </c>
      <c r="F12" s="232" t="s">
        <v>29</v>
      </c>
      <c r="G12" s="232" t="s">
        <v>30</v>
      </c>
      <c r="H12" s="233" t="s">
        <v>101</v>
      </c>
      <c r="I12" s="234"/>
      <c r="J12" s="235"/>
      <c r="K12" s="236"/>
      <c r="L12" s="16" t="s">
        <v>899</v>
      </c>
      <c r="M12" s="320" t="b">
        <v>0</v>
      </c>
      <c r="N12" s="321" t="s">
        <v>805</v>
      </c>
      <c r="O12" s="323">
        <v>45809</v>
      </c>
      <c r="P12" s="16"/>
      <c r="Q12" s="16"/>
      <c r="R12" s="16"/>
      <c r="S12" s="16"/>
      <c r="T12" s="88"/>
      <c r="U12" s="88"/>
      <c r="Z12" s="88"/>
      <c r="AA12" s="88"/>
      <c r="AB12" s="16"/>
      <c r="AC12" s="390"/>
      <c r="AD12" s="389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7" t="s">
        <v>28</v>
      </c>
      <c r="B13" s="245" t="s">
        <v>28</v>
      </c>
      <c r="C13" s="141" t="str">
        <f t="shared" si="0"/>
        <v>OK</v>
      </c>
      <c r="D13" s="16"/>
      <c r="E13" s="247">
        <v>20</v>
      </c>
      <c r="F13" s="232" t="s">
        <v>8</v>
      </c>
      <c r="G13" s="232" t="s">
        <v>32</v>
      </c>
      <c r="H13" s="233" t="s">
        <v>101</v>
      </c>
      <c r="I13" s="234"/>
      <c r="J13" s="235"/>
      <c r="K13" s="236"/>
      <c r="L13" s="320" t="s">
        <v>811</v>
      </c>
      <c r="M13" s="320" t="b">
        <v>1</v>
      </c>
      <c r="N13" s="324" t="s">
        <v>827</v>
      </c>
      <c r="O13" s="327" t="s">
        <v>928</v>
      </c>
      <c r="P13" s="16"/>
      <c r="Q13" s="16"/>
      <c r="R13" s="16"/>
      <c r="S13" s="16"/>
      <c r="T13" s="83"/>
      <c r="Z13" s="83"/>
      <c r="AA13" s="88"/>
      <c r="AB13" s="16"/>
      <c r="AC13" s="390"/>
      <c r="AD13" s="389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7" t="s">
        <v>31</v>
      </c>
      <c r="B14" s="245" t="s">
        <v>31</v>
      </c>
      <c r="C14" s="141" t="str">
        <f t="shared" si="0"/>
        <v>OK</v>
      </c>
      <c r="D14" s="16"/>
      <c r="E14" s="247">
        <v>29</v>
      </c>
      <c r="F14" s="232" t="s">
        <v>14</v>
      </c>
      <c r="G14" s="232" t="s">
        <v>34</v>
      </c>
      <c r="H14" s="233" t="s">
        <v>101</v>
      </c>
      <c r="I14" s="234"/>
      <c r="J14" s="235"/>
      <c r="K14" s="236"/>
      <c r="L14" s="320" t="s">
        <v>812</v>
      </c>
      <c r="M14" s="320" t="b">
        <v>1</v>
      </c>
      <c r="N14" s="326"/>
      <c r="O14" s="18"/>
      <c r="P14" s="16"/>
      <c r="Q14" s="16"/>
      <c r="R14" s="16"/>
      <c r="S14" s="16"/>
      <c r="T14" s="83"/>
      <c r="Z14" s="83"/>
      <c r="AA14" s="88"/>
      <c r="AB14" s="16"/>
      <c r="AC14" s="390"/>
      <c r="AD14" s="389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7" t="s">
        <v>33</v>
      </c>
      <c r="B15" s="245" t="s">
        <v>33</v>
      </c>
      <c r="C15" s="141" t="str">
        <f t="shared" si="0"/>
        <v>OK</v>
      </c>
      <c r="D15" s="16"/>
      <c r="E15" s="247">
        <v>32</v>
      </c>
      <c r="F15" s="232" t="s">
        <v>11</v>
      </c>
      <c r="G15" s="232" t="s">
        <v>35</v>
      </c>
      <c r="H15" s="233" t="s">
        <v>101</v>
      </c>
      <c r="I15" s="234"/>
      <c r="J15" s="235"/>
      <c r="K15" s="236"/>
      <c r="L15" s="320" t="s">
        <v>813</v>
      </c>
      <c r="M15" s="320" t="b">
        <v>0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0"/>
      <c r="AD15" s="389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7" t="s">
        <v>3</v>
      </c>
      <c r="B16" s="245" t="s">
        <v>3</v>
      </c>
      <c r="C16" s="141">
        <f t="shared" si="0"/>
        <v>0</v>
      </c>
      <c r="D16" s="16"/>
      <c r="E16" s="247">
        <v>31</v>
      </c>
      <c r="F16" s="232" t="s">
        <v>319</v>
      </c>
      <c r="G16" s="232" t="s">
        <v>320</v>
      </c>
      <c r="H16" s="233" t="s">
        <v>101</v>
      </c>
      <c r="I16" s="234"/>
      <c r="J16" s="235"/>
      <c r="K16" s="236"/>
      <c r="L16" s="320" t="s">
        <v>814</v>
      </c>
      <c r="M16" s="320" t="b">
        <v>1</v>
      </c>
      <c r="N16" s="16"/>
      <c r="O16" s="315"/>
      <c r="P16" s="16"/>
      <c r="Q16" s="16"/>
      <c r="R16" s="16"/>
      <c r="S16" s="16"/>
      <c r="AA16" s="88"/>
      <c r="AB16" s="16"/>
      <c r="AC16" s="390"/>
      <c r="AD16" s="389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7" t="s">
        <v>36</v>
      </c>
      <c r="B17" s="245" t="s">
        <v>51</v>
      </c>
      <c r="C17" s="141" t="str">
        <f t="shared" si="0"/>
        <v>OK</v>
      </c>
      <c r="D17" s="16"/>
      <c r="E17" s="247">
        <v>23</v>
      </c>
      <c r="F17" s="232" t="s">
        <v>17</v>
      </c>
      <c r="G17" s="232" t="s">
        <v>38</v>
      </c>
      <c r="H17" s="233" t="s">
        <v>101</v>
      </c>
      <c r="I17" s="234"/>
      <c r="J17" s="235"/>
      <c r="K17" s="236"/>
      <c r="L17" s="320" t="s">
        <v>913</v>
      </c>
      <c r="M17" s="320" t="b">
        <v>1</v>
      </c>
      <c r="N17" s="16" t="s">
        <v>915</v>
      </c>
      <c r="O17" s="181">
        <v>0</v>
      </c>
      <c r="P17" s="16"/>
      <c r="Q17" s="16"/>
      <c r="R17" s="16"/>
      <c r="S17" s="16"/>
      <c r="T17" s="88"/>
      <c r="U17" s="88"/>
      <c r="Z17" s="88"/>
      <c r="AA17" s="88"/>
      <c r="AB17" s="16"/>
      <c r="AC17" s="390"/>
      <c r="AD17" s="389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7" t="s">
        <v>37</v>
      </c>
      <c r="B18" s="245" t="s">
        <v>37</v>
      </c>
      <c r="C18" s="141" t="str">
        <f t="shared" si="0"/>
        <v>OK</v>
      </c>
      <c r="D18" s="16"/>
      <c r="E18" s="247">
        <v>27</v>
      </c>
      <c r="F18" s="232" t="s">
        <v>2</v>
      </c>
      <c r="G18" s="232" t="s">
        <v>40</v>
      </c>
      <c r="H18" s="233" t="s">
        <v>101</v>
      </c>
      <c r="I18" s="234"/>
      <c r="J18" s="235"/>
      <c r="K18" s="236"/>
      <c r="L18" s="320" t="s">
        <v>817</v>
      </c>
      <c r="M18" s="320" t="b">
        <v>0</v>
      </c>
      <c r="N18" s="16" t="s">
        <v>916</v>
      </c>
      <c r="O18" s="179">
        <v>3</v>
      </c>
      <c r="P18" s="16"/>
      <c r="Q18" s="16"/>
      <c r="R18" s="16"/>
      <c r="S18" s="16"/>
      <c r="AA18" s="88"/>
      <c r="AB18" s="16"/>
      <c r="AC18" s="390"/>
      <c r="AD18" s="389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7" t="s">
        <v>39</v>
      </c>
      <c r="B19" s="245" t="s">
        <v>39</v>
      </c>
      <c r="C19" s="141" t="str">
        <f t="shared" si="0"/>
        <v>OK</v>
      </c>
      <c r="D19" s="16"/>
      <c r="E19" s="247">
        <v>14</v>
      </c>
      <c r="F19" s="232" t="s">
        <v>39</v>
      </c>
      <c r="G19" s="232" t="s">
        <v>41</v>
      </c>
      <c r="H19" s="233" t="s">
        <v>101</v>
      </c>
      <c r="I19" s="234"/>
      <c r="J19" s="235"/>
      <c r="K19" s="236"/>
      <c r="L19" s="320" t="s">
        <v>815</v>
      </c>
      <c r="M19" s="320" t="b">
        <v>1</v>
      </c>
      <c r="N19" s="16" t="s">
        <v>917</v>
      </c>
      <c r="O19" s="179">
        <v>5</v>
      </c>
      <c r="P19" s="16"/>
      <c r="Q19" s="16"/>
      <c r="R19" s="16"/>
      <c r="S19" s="16"/>
      <c r="T19" s="88"/>
      <c r="U19" s="88"/>
      <c r="Z19" s="88"/>
      <c r="AA19" s="88"/>
      <c r="AB19" s="16"/>
      <c r="AC19" s="390"/>
      <c r="AD19" s="389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7" t="s">
        <v>15</v>
      </c>
      <c r="B20" s="245" t="s">
        <v>15</v>
      </c>
      <c r="C20" s="141" t="str">
        <f t="shared" si="0"/>
        <v>OK</v>
      </c>
      <c r="D20" s="16"/>
      <c r="E20" s="247">
        <v>17</v>
      </c>
      <c r="F20" s="232" t="s">
        <v>42</v>
      </c>
      <c r="G20" s="232" t="s">
        <v>43</v>
      </c>
      <c r="H20" s="233" t="s">
        <v>101</v>
      </c>
      <c r="I20" s="234"/>
      <c r="J20" s="235"/>
      <c r="K20" s="236"/>
      <c r="L20" s="320" t="s">
        <v>816</v>
      </c>
      <c r="M20" s="320" t="b">
        <v>0</v>
      </c>
      <c r="N20" s="16" t="s">
        <v>918</v>
      </c>
      <c r="O20" s="229">
        <v>12</v>
      </c>
      <c r="P20" s="16"/>
      <c r="Q20" s="16"/>
      <c r="R20" s="16"/>
      <c r="S20" s="16"/>
      <c r="AA20" s="88"/>
      <c r="AB20" s="16"/>
      <c r="AC20" s="390"/>
      <c r="AD20" s="389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7" t="s">
        <v>9</v>
      </c>
      <c r="B21" s="245" t="s">
        <v>9</v>
      </c>
      <c r="C21" s="141" t="str">
        <f t="shared" si="0"/>
        <v>OK</v>
      </c>
      <c r="D21" s="16"/>
      <c r="E21" s="247">
        <v>15</v>
      </c>
      <c r="F21" s="232" t="s">
        <v>44</v>
      </c>
      <c r="G21" s="232" t="s">
        <v>45</v>
      </c>
      <c r="H21" s="233" t="s">
        <v>101</v>
      </c>
      <c r="I21" s="234"/>
      <c r="J21" s="235"/>
      <c r="K21" s="236"/>
      <c r="L21" s="320" t="s">
        <v>818</v>
      </c>
      <c r="M21" s="320" t="b">
        <v>0</v>
      </c>
      <c r="N21" s="16" t="s">
        <v>919</v>
      </c>
      <c r="O21" s="229">
        <v>18</v>
      </c>
      <c r="P21" s="16"/>
      <c r="Q21" s="16"/>
      <c r="R21" s="16"/>
      <c r="S21" s="16"/>
      <c r="T21" s="88"/>
      <c r="Z21" s="88"/>
      <c r="AA21" s="88"/>
      <c r="AB21" s="16"/>
      <c r="AC21" s="390"/>
      <c r="AD21" s="389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7" t="s">
        <v>23</v>
      </c>
      <c r="B22" s="245" t="s">
        <v>23</v>
      </c>
      <c r="C22" s="141" t="str">
        <f t="shared" ref="C22:C76" si="1">+IFERROR(IF(B22="","",(VLOOKUP(B22,$F$2:$H$55,3,0))),"State Wrong")</f>
        <v>OK</v>
      </c>
      <c r="D22" s="16"/>
      <c r="E22" s="247">
        <v>13</v>
      </c>
      <c r="F22" s="232" t="s">
        <v>47</v>
      </c>
      <c r="G22" s="232" t="s">
        <v>48</v>
      </c>
      <c r="H22" s="233" t="s">
        <v>101</v>
      </c>
      <c r="I22" s="234"/>
      <c r="J22" s="235"/>
      <c r="K22" s="236"/>
      <c r="L22" s="320" t="s">
        <v>819</v>
      </c>
      <c r="M22" s="320" t="b">
        <v>0</v>
      </c>
      <c r="N22" s="16" t="s">
        <v>920</v>
      </c>
      <c r="O22" s="243">
        <v>28</v>
      </c>
      <c r="P22" s="16"/>
      <c r="Q22" s="16"/>
      <c r="R22" s="16"/>
      <c r="S22" s="16"/>
      <c r="T22" s="88"/>
      <c r="U22" s="88"/>
      <c r="Z22" s="88"/>
      <c r="AA22" s="88"/>
      <c r="AB22" s="16"/>
      <c r="AC22" s="391"/>
      <c r="AD22" s="392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7" t="s">
        <v>46</v>
      </c>
      <c r="B23" s="245" t="s">
        <v>46</v>
      </c>
      <c r="C23" s="141" t="str">
        <f t="shared" si="1"/>
        <v>OK</v>
      </c>
      <c r="D23" s="16"/>
      <c r="E23" s="247">
        <v>21</v>
      </c>
      <c r="F23" s="232" t="s">
        <v>50</v>
      </c>
      <c r="G23" s="232" t="s">
        <v>321</v>
      </c>
      <c r="H23" s="233" t="s">
        <v>101</v>
      </c>
      <c r="I23" s="234"/>
      <c r="J23" s="235"/>
      <c r="K23" s="236"/>
      <c r="L23" s="320" t="s">
        <v>820</v>
      </c>
      <c r="M23" s="320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7" t="s">
        <v>49</v>
      </c>
      <c r="B24" s="245" t="s">
        <v>49</v>
      </c>
      <c r="C24" s="141" t="str">
        <f t="shared" si="1"/>
        <v>OK</v>
      </c>
      <c r="D24" s="16"/>
      <c r="E24" s="247">
        <v>34</v>
      </c>
      <c r="F24" s="232" t="s">
        <v>51</v>
      </c>
      <c r="G24" s="232" t="s">
        <v>52</v>
      </c>
      <c r="H24" s="233" t="s">
        <v>101</v>
      </c>
      <c r="I24" s="234"/>
      <c r="J24" s="235"/>
      <c r="K24" s="236"/>
      <c r="L24" s="320" t="s">
        <v>821</v>
      </c>
      <c r="M24" s="320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7" t="s">
        <v>18</v>
      </c>
      <c r="B25" s="245" t="s">
        <v>18</v>
      </c>
      <c r="C25" s="141" t="str">
        <f t="shared" si="1"/>
        <v>OK</v>
      </c>
      <c r="D25" s="16"/>
      <c r="E25" s="247">
        <v>3</v>
      </c>
      <c r="F25" s="232" t="s">
        <v>33</v>
      </c>
      <c r="G25" s="232" t="s">
        <v>56</v>
      </c>
      <c r="H25" s="233" t="s">
        <v>101</v>
      </c>
      <c r="I25" s="234"/>
      <c r="J25" s="235"/>
      <c r="K25" s="236"/>
      <c r="L25" s="320" t="s">
        <v>848</v>
      </c>
      <c r="M25" s="16" t="b">
        <v>1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7" t="s">
        <v>53</v>
      </c>
      <c r="B26" s="245" t="s">
        <v>53</v>
      </c>
      <c r="C26" s="141" t="str">
        <f t="shared" si="1"/>
        <v>OK</v>
      </c>
      <c r="D26" s="16"/>
      <c r="E26" s="247">
        <v>8</v>
      </c>
      <c r="F26" s="232" t="s">
        <v>20</v>
      </c>
      <c r="G26" s="232" t="s">
        <v>57</v>
      </c>
      <c r="H26" s="233" t="s">
        <v>101</v>
      </c>
      <c r="I26" s="234"/>
      <c r="J26" s="235"/>
      <c r="K26" s="236"/>
      <c r="L26" s="320" t="s">
        <v>822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7" t="s">
        <v>47</v>
      </c>
      <c r="B27" s="245" t="s">
        <v>47</v>
      </c>
      <c r="C27" s="141" t="str">
        <f t="shared" si="1"/>
        <v>OK</v>
      </c>
      <c r="D27" s="16"/>
      <c r="E27" s="247">
        <v>11</v>
      </c>
      <c r="F27" s="232" t="s">
        <v>59</v>
      </c>
      <c r="G27" s="232" t="s">
        <v>60</v>
      </c>
      <c r="H27" s="233" t="s">
        <v>101</v>
      </c>
      <c r="I27" s="234"/>
      <c r="J27" s="235"/>
      <c r="K27" s="236"/>
      <c r="L27" s="320" t="s">
        <v>865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7" t="s">
        <v>58</v>
      </c>
      <c r="B28" s="245" t="s">
        <v>58</v>
      </c>
      <c r="C28" s="141" t="str">
        <f t="shared" si="1"/>
        <v>OK</v>
      </c>
      <c r="D28" s="16"/>
      <c r="E28" s="247">
        <v>33</v>
      </c>
      <c r="F28" s="232" t="s">
        <v>28</v>
      </c>
      <c r="G28" s="232" t="s">
        <v>61</v>
      </c>
      <c r="H28" s="233" t="s">
        <v>101</v>
      </c>
      <c r="I28" s="234"/>
      <c r="J28" s="235"/>
      <c r="K28" s="236"/>
      <c r="L28" s="320" t="s">
        <v>862</v>
      </c>
      <c r="M28" s="16" t="b">
        <v>0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7" t="s">
        <v>26</v>
      </c>
      <c r="B29" s="245" t="s">
        <v>26</v>
      </c>
      <c r="C29" s="141" t="str">
        <f t="shared" si="1"/>
        <v>OK</v>
      </c>
      <c r="D29" s="16"/>
      <c r="E29" s="247">
        <v>36</v>
      </c>
      <c r="F29" s="232" t="s">
        <v>31</v>
      </c>
      <c r="G29" s="232" t="s">
        <v>322</v>
      </c>
      <c r="H29" s="233" t="s">
        <v>101</v>
      </c>
      <c r="I29" s="234"/>
      <c r="J29" s="235"/>
      <c r="K29" s="236"/>
      <c r="L29" s="320" t="s">
        <v>823</v>
      </c>
      <c r="M29" s="16" t="b">
        <v>1</v>
      </c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7" t="s">
        <v>62</v>
      </c>
      <c r="B30" s="245" t="s">
        <v>62</v>
      </c>
      <c r="C30" s="141" t="str">
        <f t="shared" si="1"/>
        <v>OK</v>
      </c>
      <c r="D30" s="16"/>
      <c r="E30" s="247">
        <v>16</v>
      </c>
      <c r="F30" s="232" t="s">
        <v>53</v>
      </c>
      <c r="G30" s="232" t="s">
        <v>323</v>
      </c>
      <c r="H30" s="233" t="s">
        <v>101</v>
      </c>
      <c r="I30" s="234"/>
      <c r="J30" s="235"/>
      <c r="K30" s="236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7" t="s">
        <v>63</v>
      </c>
      <c r="B31" s="245" t="s">
        <v>63</v>
      </c>
      <c r="C31" s="141" t="str">
        <f t="shared" si="1"/>
        <v>OK</v>
      </c>
      <c r="D31" s="16"/>
      <c r="E31" s="247">
        <v>9</v>
      </c>
      <c r="F31" s="232" t="s">
        <v>25</v>
      </c>
      <c r="G31" s="232" t="s">
        <v>64</v>
      </c>
      <c r="H31" s="233" t="s">
        <v>101</v>
      </c>
      <c r="I31" s="234"/>
      <c r="J31" s="235"/>
      <c r="K31" s="236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7" t="s">
        <v>42</v>
      </c>
      <c r="B32" s="245" t="s">
        <v>42</v>
      </c>
      <c r="C32" s="141" t="str">
        <f t="shared" si="1"/>
        <v>OK</v>
      </c>
      <c r="D32" s="16"/>
      <c r="E32" s="247">
        <v>5</v>
      </c>
      <c r="F32" s="232" t="s">
        <v>49</v>
      </c>
      <c r="G32" s="232" t="s">
        <v>324</v>
      </c>
      <c r="H32" s="233" t="s">
        <v>101</v>
      </c>
      <c r="I32" s="234"/>
      <c r="J32" s="249"/>
      <c r="K32" s="236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7" t="s">
        <v>6</v>
      </c>
      <c r="B33" s="245" t="s">
        <v>6</v>
      </c>
      <c r="C33" s="141" t="str">
        <f t="shared" si="1"/>
        <v>OK</v>
      </c>
      <c r="D33" s="16"/>
      <c r="E33" s="247">
        <v>19</v>
      </c>
      <c r="F33" s="232" t="s">
        <v>37</v>
      </c>
      <c r="G33" s="232" t="s">
        <v>65</v>
      </c>
      <c r="H33" s="233" t="s">
        <v>101</v>
      </c>
      <c r="I33" s="250"/>
      <c r="J33" s="235"/>
      <c r="K33" s="236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7" t="s">
        <v>59</v>
      </c>
      <c r="B34" s="245" t="s">
        <v>59</v>
      </c>
      <c r="C34" s="141" t="str">
        <f t="shared" si="1"/>
        <v>OK</v>
      </c>
      <c r="D34" s="16"/>
      <c r="E34" s="251">
        <v>26</v>
      </c>
      <c r="F34" s="252" t="s">
        <v>62</v>
      </c>
      <c r="G34" s="253" t="s">
        <v>325</v>
      </c>
      <c r="H34" s="233" t="s">
        <v>101</v>
      </c>
      <c r="I34" s="250"/>
      <c r="J34" s="235"/>
      <c r="K34" s="236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7" t="s">
        <v>44</v>
      </c>
      <c r="B35" s="245" t="s">
        <v>44</v>
      </c>
      <c r="C35" s="141" t="str">
        <f t="shared" si="1"/>
        <v>OK</v>
      </c>
      <c r="D35" s="16"/>
      <c r="E35" s="251">
        <v>4</v>
      </c>
      <c r="F35" s="253" t="s">
        <v>66</v>
      </c>
      <c r="G35" s="253" t="s">
        <v>146</v>
      </c>
      <c r="H35" s="233" t="s">
        <v>101</v>
      </c>
      <c r="I35" s="250"/>
      <c r="J35" s="235"/>
      <c r="K35" s="236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7" t="s">
        <v>326</v>
      </c>
      <c r="B36" s="245" t="s">
        <v>11</v>
      </c>
      <c r="C36" s="141" t="str">
        <f t="shared" si="1"/>
        <v>OK</v>
      </c>
      <c r="D36" s="16"/>
      <c r="E36" s="251">
        <v>35</v>
      </c>
      <c r="F36" s="252" t="s">
        <v>63</v>
      </c>
      <c r="G36" s="253" t="s">
        <v>145</v>
      </c>
      <c r="H36" s="233" t="s">
        <v>101</v>
      </c>
      <c r="I36" s="250"/>
      <c r="J36" s="235"/>
      <c r="K36" s="236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7" t="s">
        <v>327</v>
      </c>
      <c r="B37" s="245" t="s">
        <v>17</v>
      </c>
      <c r="C37" s="141" t="str">
        <f t="shared" si="1"/>
        <v>OK</v>
      </c>
      <c r="D37" s="16"/>
      <c r="E37" s="254">
        <v>38</v>
      </c>
      <c r="F37" s="255" t="s">
        <v>108</v>
      </c>
      <c r="G37" s="255" t="s">
        <v>148</v>
      </c>
      <c r="H37" s="256" t="s">
        <v>101</v>
      </c>
      <c r="I37" s="257"/>
      <c r="J37" s="258"/>
      <c r="K37" s="259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7" t="s">
        <v>328</v>
      </c>
      <c r="B38" s="245" t="s">
        <v>17</v>
      </c>
      <c r="C38" s="141" t="str">
        <f t="shared" si="1"/>
        <v>OK</v>
      </c>
      <c r="D38" s="260"/>
      <c r="E38" s="260"/>
      <c r="F38" s="260"/>
      <c r="G38" s="260"/>
      <c r="H38" s="260"/>
      <c r="I38" s="261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7" t="s">
        <v>329</v>
      </c>
      <c r="B39" s="245" t="s">
        <v>22</v>
      </c>
      <c r="C39" s="141" t="str">
        <f t="shared" si="1"/>
        <v>OK</v>
      </c>
      <c r="D39" s="260"/>
      <c r="E39" s="260"/>
      <c r="F39" s="260"/>
      <c r="G39" s="260"/>
      <c r="H39" s="260"/>
      <c r="I39" s="261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7" t="s">
        <v>330</v>
      </c>
      <c r="B40" s="245" t="s">
        <v>22</v>
      </c>
      <c r="C40" s="141" t="str">
        <f t="shared" si="1"/>
        <v>OK</v>
      </c>
      <c r="D40" s="260"/>
      <c r="E40" s="260"/>
      <c r="F40" s="260"/>
      <c r="G40" s="260"/>
      <c r="H40" s="260"/>
      <c r="I40" s="261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7" t="s">
        <v>331</v>
      </c>
      <c r="B41" s="245" t="s">
        <v>25</v>
      </c>
      <c r="C41" s="141" t="str">
        <f t="shared" si="1"/>
        <v>OK</v>
      </c>
      <c r="D41" s="260"/>
      <c r="E41" s="260"/>
      <c r="F41" s="260"/>
      <c r="G41" s="260"/>
      <c r="H41" s="260"/>
      <c r="I41" s="261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7" t="s">
        <v>332</v>
      </c>
      <c r="B42" s="245" t="s">
        <v>25</v>
      </c>
      <c r="C42" s="141" t="str">
        <f t="shared" si="1"/>
        <v>OK</v>
      </c>
      <c r="D42" s="260"/>
      <c r="E42" s="260"/>
      <c r="F42" s="260"/>
      <c r="G42" s="260"/>
      <c r="H42" s="260"/>
      <c r="I42" s="261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7" t="s">
        <v>333</v>
      </c>
      <c r="B43" s="245" t="s">
        <v>28</v>
      </c>
      <c r="C43" s="141" t="str">
        <f t="shared" si="1"/>
        <v>OK</v>
      </c>
      <c r="D43" s="260"/>
      <c r="E43" s="260"/>
      <c r="F43" s="260"/>
      <c r="G43" s="260"/>
      <c r="H43" s="260"/>
      <c r="I43" s="261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7" t="s">
        <v>67</v>
      </c>
      <c r="B44" s="245" t="s">
        <v>28</v>
      </c>
      <c r="C44" s="141" t="str">
        <f t="shared" si="1"/>
        <v>OK</v>
      </c>
      <c r="D44" s="260"/>
      <c r="E44" s="260"/>
      <c r="F44" s="260"/>
      <c r="G44" s="260"/>
      <c r="H44" s="260"/>
      <c r="I44" s="261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7" t="s">
        <v>68</v>
      </c>
      <c r="B45" s="245" t="s">
        <v>3</v>
      </c>
      <c r="C45" s="141">
        <f t="shared" si="1"/>
        <v>0</v>
      </c>
      <c r="D45" s="260"/>
      <c r="E45" s="260"/>
      <c r="F45" s="260"/>
      <c r="G45" s="260"/>
      <c r="H45" s="260"/>
      <c r="I45" s="261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7" t="s">
        <v>334</v>
      </c>
      <c r="B46" s="245" t="s">
        <v>3</v>
      </c>
      <c r="C46" s="141">
        <f t="shared" si="1"/>
        <v>0</v>
      </c>
      <c r="D46" s="260"/>
      <c r="E46" s="260"/>
      <c r="F46" s="260"/>
      <c r="G46" s="260"/>
      <c r="H46" s="260"/>
      <c r="I46" s="261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7" t="s">
        <v>335</v>
      </c>
      <c r="B47" s="245" t="s">
        <v>3</v>
      </c>
      <c r="C47" s="141">
        <f t="shared" si="1"/>
        <v>0</v>
      </c>
      <c r="D47" s="260"/>
      <c r="E47" s="260"/>
      <c r="F47" s="260"/>
      <c r="G47" s="260"/>
      <c r="H47" s="260"/>
      <c r="I47" s="261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7" t="s">
        <v>336</v>
      </c>
      <c r="B48" s="245" t="s">
        <v>51</v>
      </c>
      <c r="C48" s="141" t="str">
        <f t="shared" si="1"/>
        <v>OK</v>
      </c>
      <c r="D48" s="260"/>
      <c r="E48" s="260"/>
      <c r="F48" s="260"/>
      <c r="G48" s="260"/>
      <c r="H48" s="260"/>
      <c r="I48" s="261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7" t="s">
        <v>337</v>
      </c>
      <c r="B49" s="245" t="s">
        <v>46</v>
      </c>
      <c r="C49" s="141" t="str">
        <f t="shared" si="1"/>
        <v>OK</v>
      </c>
      <c r="D49" s="260"/>
      <c r="E49" s="260"/>
      <c r="F49" s="260"/>
      <c r="G49" s="260"/>
      <c r="H49" s="260"/>
      <c r="I49" s="261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7" t="s">
        <v>69</v>
      </c>
      <c r="B50" s="245" t="s">
        <v>58</v>
      </c>
      <c r="C50" s="141" t="str">
        <f t="shared" si="1"/>
        <v>OK</v>
      </c>
      <c r="D50" s="260"/>
      <c r="E50" s="260"/>
      <c r="F50" s="260"/>
      <c r="G50" s="260"/>
      <c r="H50" s="260"/>
      <c r="I50" s="261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7" t="s">
        <v>338</v>
      </c>
      <c r="B51" s="245" t="s">
        <v>58</v>
      </c>
      <c r="C51" s="141" t="str">
        <f t="shared" si="1"/>
        <v>OK</v>
      </c>
      <c r="D51" s="16"/>
      <c r="E51" s="17"/>
      <c r="F51" s="16"/>
      <c r="G51" s="16"/>
      <c r="H51" s="16"/>
      <c r="I51" s="261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7" t="s">
        <v>339</v>
      </c>
      <c r="B52" s="245" t="s">
        <v>62</v>
      </c>
      <c r="C52" s="141" t="str">
        <f t="shared" si="1"/>
        <v>OK</v>
      </c>
      <c r="D52" s="16"/>
      <c r="E52" s="17"/>
      <c r="F52" s="16"/>
      <c r="G52" s="16"/>
      <c r="H52" s="16"/>
      <c r="I52" s="261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7" t="s">
        <v>70</v>
      </c>
      <c r="B53" s="245" t="s">
        <v>62</v>
      </c>
      <c r="C53" s="141" t="str">
        <f t="shared" si="1"/>
        <v>OK</v>
      </c>
      <c r="D53" s="16"/>
      <c r="E53" s="17"/>
      <c r="F53" s="16"/>
      <c r="G53" s="16"/>
      <c r="H53" s="16"/>
      <c r="I53" s="261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7" t="s">
        <v>340</v>
      </c>
      <c r="B54" s="245" t="s">
        <v>62</v>
      </c>
      <c r="C54" s="141" t="str">
        <f t="shared" si="1"/>
        <v>OK</v>
      </c>
      <c r="D54" s="16"/>
      <c r="E54" s="17"/>
      <c r="F54" s="16"/>
      <c r="G54" s="16"/>
      <c r="H54" s="16"/>
      <c r="I54" s="261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7" t="s">
        <v>341</v>
      </c>
      <c r="B55" s="245" t="s">
        <v>62</v>
      </c>
      <c r="C55" s="141" t="str">
        <f t="shared" si="1"/>
        <v>OK</v>
      </c>
      <c r="D55" s="16"/>
      <c r="E55" s="17"/>
      <c r="F55" s="16"/>
      <c r="G55" s="16"/>
      <c r="H55" s="16"/>
      <c r="I55" s="261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7" t="s">
        <v>342</v>
      </c>
      <c r="B56" s="245" t="s">
        <v>62</v>
      </c>
      <c r="C56" s="141" t="str">
        <f t="shared" si="1"/>
        <v>OK</v>
      </c>
      <c r="D56" s="16"/>
      <c r="E56" s="17"/>
      <c r="F56" s="16"/>
      <c r="G56" s="16"/>
      <c r="H56" s="16"/>
      <c r="I56" s="261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7" t="s">
        <v>343</v>
      </c>
      <c r="B57" s="245" t="s">
        <v>63</v>
      </c>
      <c r="C57" s="141" t="str">
        <f t="shared" si="1"/>
        <v>OK</v>
      </c>
      <c r="D57" s="16"/>
      <c r="E57" s="17"/>
      <c r="F57" s="16"/>
      <c r="G57" s="16"/>
      <c r="H57" s="16"/>
      <c r="I57" s="261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2" t="s">
        <v>344</v>
      </c>
      <c r="B58" s="245" t="s">
        <v>63</v>
      </c>
      <c r="C58" s="141" t="str">
        <f t="shared" si="1"/>
        <v>OK</v>
      </c>
      <c r="D58" s="16"/>
      <c r="E58" s="17"/>
      <c r="F58" s="16"/>
      <c r="G58" s="16"/>
      <c r="H58" s="16"/>
      <c r="I58" s="261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2" t="s">
        <v>345</v>
      </c>
      <c r="B59" s="245" t="s">
        <v>25</v>
      </c>
      <c r="C59" s="141" t="str">
        <f t="shared" si="1"/>
        <v>OK</v>
      </c>
      <c r="D59" s="16"/>
      <c r="E59" s="17"/>
      <c r="F59" s="16"/>
      <c r="G59" s="16"/>
      <c r="H59" s="16"/>
      <c r="I59" s="261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2" t="s">
        <v>346</v>
      </c>
      <c r="B60" s="245" t="s">
        <v>11</v>
      </c>
      <c r="C60" s="141" t="str">
        <f t="shared" si="1"/>
        <v>OK</v>
      </c>
      <c r="D60" s="16"/>
      <c r="E60" s="17"/>
      <c r="F60" s="16"/>
      <c r="G60" s="16"/>
      <c r="H60" s="16"/>
      <c r="I60" s="261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0" t="s">
        <v>89</v>
      </c>
      <c r="B61" s="245" t="s">
        <v>62</v>
      </c>
      <c r="C61" s="141" t="str">
        <f t="shared" si="1"/>
        <v>OK</v>
      </c>
      <c r="D61" s="16"/>
      <c r="E61" s="17"/>
      <c r="F61" s="16"/>
      <c r="G61" s="16"/>
      <c r="H61" s="16"/>
      <c r="I61" s="261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0" t="s">
        <v>92</v>
      </c>
      <c r="B62" s="245" t="s">
        <v>58</v>
      </c>
      <c r="C62" s="141" t="str">
        <f t="shared" si="1"/>
        <v>OK</v>
      </c>
      <c r="D62" s="16"/>
      <c r="E62" s="17"/>
      <c r="F62" s="16"/>
      <c r="G62" s="16"/>
      <c r="H62" s="16"/>
      <c r="I62" s="261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0" t="s">
        <v>347</v>
      </c>
      <c r="B63" s="245" t="s">
        <v>2</v>
      </c>
      <c r="C63" s="141" t="str">
        <f t="shared" si="1"/>
        <v>OK</v>
      </c>
      <c r="D63" s="16"/>
      <c r="E63" s="17"/>
      <c r="F63" s="16"/>
      <c r="G63" s="16"/>
      <c r="H63" s="16"/>
      <c r="I63" s="261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0" t="s">
        <v>94</v>
      </c>
      <c r="B64" s="245" t="s">
        <v>63</v>
      </c>
      <c r="C64" s="141" t="str">
        <f t="shared" si="1"/>
        <v>OK</v>
      </c>
      <c r="D64" s="16"/>
      <c r="E64" s="17"/>
      <c r="F64" s="16"/>
      <c r="G64" s="16"/>
      <c r="H64" s="16"/>
      <c r="I64" s="261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3" t="s">
        <v>4</v>
      </c>
      <c r="B65" s="264" t="s">
        <v>3</v>
      </c>
      <c r="C65" s="141">
        <f t="shared" si="1"/>
        <v>0</v>
      </c>
      <c r="D65" s="16"/>
      <c r="E65" s="17"/>
      <c r="F65" s="16"/>
      <c r="G65" s="16"/>
      <c r="H65" s="16"/>
      <c r="I65" s="261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3" t="s">
        <v>7</v>
      </c>
      <c r="B66" s="264" t="s">
        <v>6</v>
      </c>
      <c r="C66" s="141" t="str">
        <f t="shared" si="1"/>
        <v>OK</v>
      </c>
      <c r="D66" s="16"/>
      <c r="E66" s="17"/>
      <c r="F66" s="16"/>
      <c r="G66" s="16"/>
      <c r="H66" s="16"/>
      <c r="I66" s="261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3" t="s">
        <v>10</v>
      </c>
      <c r="B67" s="264" t="s">
        <v>9</v>
      </c>
      <c r="C67" s="141" t="str">
        <f t="shared" si="1"/>
        <v>OK</v>
      </c>
      <c r="D67" s="16"/>
      <c r="E67" s="17"/>
      <c r="F67" s="16"/>
      <c r="G67" s="16"/>
      <c r="H67" s="16"/>
      <c r="I67" s="261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3" t="s">
        <v>13</v>
      </c>
      <c r="B68" s="264" t="s">
        <v>12</v>
      </c>
      <c r="C68" s="141" t="str">
        <f t="shared" si="1"/>
        <v>OK</v>
      </c>
      <c r="D68" s="16"/>
      <c r="E68" s="17"/>
      <c r="F68" s="16"/>
      <c r="G68" s="16"/>
      <c r="H68" s="16"/>
      <c r="I68" s="261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3" t="s">
        <v>318</v>
      </c>
      <c r="B69" s="264" t="s">
        <v>46</v>
      </c>
      <c r="C69" s="141" t="str">
        <f t="shared" si="1"/>
        <v>OK</v>
      </c>
      <c r="D69" s="16"/>
      <c r="E69" s="17"/>
      <c r="F69" s="16"/>
      <c r="G69" s="16"/>
      <c r="H69" s="16"/>
      <c r="I69" s="261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3" t="s">
        <v>16</v>
      </c>
      <c r="B70" s="264" t="s">
        <v>15</v>
      </c>
      <c r="C70" s="141" t="str">
        <f t="shared" si="1"/>
        <v>OK</v>
      </c>
      <c r="D70" s="16"/>
      <c r="E70" s="17"/>
      <c r="F70" s="16"/>
      <c r="G70" s="16"/>
      <c r="H70" s="16"/>
      <c r="I70" s="261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3" t="s">
        <v>19</v>
      </c>
      <c r="B71" s="264" t="s">
        <v>18</v>
      </c>
      <c r="C71" s="141" t="str">
        <f t="shared" si="1"/>
        <v>OK</v>
      </c>
      <c r="D71" s="16"/>
      <c r="E71" s="17"/>
      <c r="F71" s="16"/>
      <c r="G71" s="16"/>
      <c r="H71" s="16"/>
      <c r="I71" s="261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3" t="s">
        <v>21</v>
      </c>
      <c r="B72" s="264" t="s">
        <v>5</v>
      </c>
      <c r="C72" s="141" t="str">
        <f t="shared" si="1"/>
        <v>OK</v>
      </c>
      <c r="D72" s="16"/>
      <c r="E72" s="17"/>
      <c r="F72" s="16"/>
      <c r="G72" s="16"/>
      <c r="H72" s="16"/>
      <c r="I72" s="261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3" t="s">
        <v>24</v>
      </c>
      <c r="B73" s="264" t="s">
        <v>23</v>
      </c>
      <c r="C73" s="141" t="str">
        <f t="shared" si="1"/>
        <v>OK</v>
      </c>
      <c r="D73" s="16"/>
      <c r="E73" s="17"/>
      <c r="F73" s="16"/>
      <c r="G73" s="16"/>
      <c r="H73" s="16"/>
      <c r="I73" s="261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3" t="s">
        <v>27</v>
      </c>
      <c r="B74" s="264" t="s">
        <v>26</v>
      </c>
      <c r="C74" s="141" t="str">
        <f t="shared" si="1"/>
        <v>OK</v>
      </c>
      <c r="D74" s="16"/>
      <c r="E74" s="17"/>
      <c r="F74" s="16"/>
      <c r="G74" s="16"/>
      <c r="H74" s="16"/>
      <c r="I74" s="261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3" t="s">
        <v>30</v>
      </c>
      <c r="B75" s="264" t="s">
        <v>29</v>
      </c>
      <c r="C75" s="141" t="str">
        <f t="shared" si="1"/>
        <v>OK</v>
      </c>
      <c r="D75" s="16"/>
      <c r="E75" s="17"/>
      <c r="F75" s="16"/>
      <c r="G75" s="16"/>
      <c r="H75" s="16"/>
      <c r="I75" s="261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3" t="s">
        <v>32</v>
      </c>
      <c r="B76" s="264" t="s">
        <v>8</v>
      </c>
      <c r="C76" s="141" t="str">
        <f t="shared" si="1"/>
        <v>OK</v>
      </c>
      <c r="D76" s="16"/>
      <c r="E76" s="17"/>
      <c r="F76" s="16"/>
      <c r="G76" s="16"/>
      <c r="H76" s="16"/>
      <c r="I76" s="261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3" t="s">
        <v>34</v>
      </c>
      <c r="B77" s="264" t="s">
        <v>14</v>
      </c>
      <c r="C77" s="141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1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4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3" t="s">
        <v>35</v>
      </c>
      <c r="B78" s="264" t="s">
        <v>11</v>
      </c>
      <c r="C78" s="141" t="str">
        <f t="shared" si="2"/>
        <v>OK</v>
      </c>
      <c r="D78" s="16"/>
      <c r="E78" s="17"/>
      <c r="F78" s="16"/>
      <c r="G78" s="16"/>
      <c r="H78" s="16"/>
      <c r="I78" s="261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3" t="s">
        <v>320</v>
      </c>
      <c r="B79" s="264" t="s">
        <v>319</v>
      </c>
      <c r="C79" s="141" t="str">
        <f t="shared" si="2"/>
        <v>OK</v>
      </c>
      <c r="D79" s="16"/>
      <c r="E79" s="17"/>
      <c r="F79" s="16"/>
      <c r="G79" s="16"/>
      <c r="H79" s="16"/>
      <c r="I79" s="261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3" t="s">
        <v>38</v>
      </c>
      <c r="B80" s="264" t="s">
        <v>17</v>
      </c>
      <c r="C80" s="141" t="str">
        <f t="shared" si="2"/>
        <v>OK</v>
      </c>
      <c r="D80" s="16"/>
      <c r="E80" s="17"/>
      <c r="F80" s="16"/>
      <c r="G80" s="16"/>
      <c r="H80" s="16"/>
      <c r="I80" s="261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3" t="s">
        <v>40</v>
      </c>
      <c r="B81" s="264" t="s">
        <v>2</v>
      </c>
      <c r="C81" s="141" t="str">
        <f t="shared" si="2"/>
        <v>OK</v>
      </c>
      <c r="D81" s="16"/>
      <c r="E81" s="17"/>
      <c r="F81" s="16"/>
      <c r="G81" s="16"/>
      <c r="H81" s="16"/>
      <c r="I81" s="261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4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3" t="s">
        <v>41</v>
      </c>
      <c r="B82" s="264" t="s">
        <v>39</v>
      </c>
      <c r="C82" s="141" t="str">
        <f t="shared" si="2"/>
        <v>OK</v>
      </c>
      <c r="D82" s="16"/>
      <c r="E82" s="17"/>
      <c r="F82" s="16"/>
      <c r="G82" s="16"/>
      <c r="H82" s="16"/>
      <c r="I82" s="261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3" t="s">
        <v>43</v>
      </c>
      <c r="B83" s="264" t="s">
        <v>42</v>
      </c>
      <c r="C83" s="141" t="str">
        <f t="shared" si="2"/>
        <v>OK</v>
      </c>
      <c r="D83" s="16"/>
      <c r="E83" s="17"/>
      <c r="F83" s="16"/>
      <c r="G83" s="16"/>
      <c r="H83" s="16"/>
      <c r="I83" s="261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3" t="s">
        <v>45</v>
      </c>
      <c r="B84" s="264" t="s">
        <v>44</v>
      </c>
      <c r="C84" s="141" t="str">
        <f t="shared" si="2"/>
        <v>OK</v>
      </c>
      <c r="D84" s="16"/>
      <c r="E84" s="17"/>
      <c r="F84" s="16"/>
      <c r="G84" s="16"/>
      <c r="H84" s="16"/>
      <c r="I84" s="261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3" t="s">
        <v>48</v>
      </c>
      <c r="B85" s="264" t="s">
        <v>47</v>
      </c>
      <c r="C85" s="141" t="str">
        <f t="shared" si="2"/>
        <v>OK</v>
      </c>
      <c r="D85" s="16"/>
      <c r="E85" s="17"/>
      <c r="F85" s="16"/>
      <c r="G85" s="16"/>
      <c r="H85" s="16"/>
      <c r="I85" s="261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3" t="s">
        <v>321</v>
      </c>
      <c r="B86" s="264" t="s">
        <v>50</v>
      </c>
      <c r="C86" s="141" t="str">
        <f t="shared" si="2"/>
        <v>OK</v>
      </c>
      <c r="D86" s="16"/>
      <c r="E86" s="17"/>
      <c r="F86" s="16"/>
      <c r="G86" s="16"/>
      <c r="H86" s="16"/>
      <c r="I86" s="261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3" t="s">
        <v>52</v>
      </c>
      <c r="B87" s="264" t="s">
        <v>51</v>
      </c>
      <c r="C87" s="141" t="str">
        <f t="shared" si="2"/>
        <v>OK</v>
      </c>
      <c r="D87" s="16"/>
      <c r="E87" s="17"/>
      <c r="F87" s="16"/>
      <c r="G87" s="16"/>
      <c r="H87" s="16"/>
      <c r="I87" s="261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3" t="s">
        <v>56</v>
      </c>
      <c r="B88" s="264" t="s">
        <v>33</v>
      </c>
      <c r="C88" s="141" t="str">
        <f t="shared" si="2"/>
        <v>OK</v>
      </c>
      <c r="D88" s="16"/>
      <c r="E88" s="17"/>
      <c r="F88" s="16"/>
      <c r="G88" s="16"/>
      <c r="H88" s="16"/>
      <c r="I88" s="261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3" t="s">
        <v>57</v>
      </c>
      <c r="B89" s="264" t="s">
        <v>20</v>
      </c>
      <c r="C89" s="141" t="str">
        <f t="shared" si="2"/>
        <v>OK</v>
      </c>
      <c r="D89" s="16"/>
      <c r="E89" s="17"/>
      <c r="F89" s="16"/>
      <c r="G89" s="16"/>
      <c r="H89" s="16"/>
      <c r="I89" s="261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3" t="s">
        <v>60</v>
      </c>
      <c r="B90" s="264" t="s">
        <v>59</v>
      </c>
      <c r="C90" s="141" t="str">
        <f t="shared" si="2"/>
        <v>OK</v>
      </c>
      <c r="D90" s="16"/>
      <c r="E90" s="17"/>
      <c r="F90" s="16"/>
      <c r="G90" s="16"/>
      <c r="H90" s="16"/>
      <c r="I90" s="261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3" t="s">
        <v>61</v>
      </c>
      <c r="B91" s="264" t="s">
        <v>28</v>
      </c>
      <c r="C91" s="141" t="str">
        <f t="shared" si="2"/>
        <v>OK</v>
      </c>
      <c r="D91" s="16"/>
      <c r="E91" s="17"/>
      <c r="F91" s="16"/>
      <c r="G91" s="16"/>
      <c r="H91" s="16"/>
      <c r="I91" s="261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3" t="s">
        <v>322</v>
      </c>
      <c r="B92" s="264" t="s">
        <v>31</v>
      </c>
      <c r="C92" s="141" t="str">
        <f t="shared" si="2"/>
        <v>OK</v>
      </c>
      <c r="D92" s="16"/>
      <c r="E92" s="17"/>
      <c r="F92" s="16"/>
      <c r="G92" s="16"/>
      <c r="H92" s="16"/>
      <c r="I92" s="261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3" t="s">
        <v>323</v>
      </c>
      <c r="B93" s="264" t="s">
        <v>53</v>
      </c>
      <c r="C93" s="141" t="str">
        <f t="shared" si="2"/>
        <v>OK</v>
      </c>
      <c r="D93" s="16"/>
      <c r="E93" s="17"/>
      <c r="F93" s="16"/>
      <c r="G93" s="16"/>
      <c r="H93" s="16"/>
      <c r="I93" s="261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3" t="s">
        <v>64</v>
      </c>
      <c r="B94" s="264" t="s">
        <v>25</v>
      </c>
      <c r="C94" s="141" t="str">
        <f t="shared" si="2"/>
        <v>OK</v>
      </c>
      <c r="D94" s="16"/>
      <c r="E94" s="17"/>
      <c r="F94" s="16"/>
      <c r="G94" s="16"/>
      <c r="H94" s="16"/>
      <c r="I94" s="261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3" t="s">
        <v>324</v>
      </c>
      <c r="B95" s="264" t="s">
        <v>49</v>
      </c>
      <c r="C95" s="141" t="str">
        <f t="shared" si="2"/>
        <v>OK</v>
      </c>
      <c r="D95" s="16"/>
      <c r="E95" s="17"/>
      <c r="F95" s="16"/>
      <c r="G95" s="16"/>
      <c r="H95" s="16"/>
      <c r="I95" s="261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3" t="s">
        <v>65</v>
      </c>
      <c r="B96" s="264" t="s">
        <v>37</v>
      </c>
      <c r="C96" s="141" t="str">
        <f t="shared" si="2"/>
        <v>OK</v>
      </c>
      <c r="D96" s="16"/>
      <c r="E96" s="17"/>
      <c r="F96" s="16"/>
      <c r="G96" s="16"/>
      <c r="H96" s="16"/>
      <c r="I96" s="261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0" t="s">
        <v>93</v>
      </c>
      <c r="B97" s="264" t="s">
        <v>15</v>
      </c>
      <c r="C97" s="141" t="str">
        <f t="shared" si="2"/>
        <v>OK</v>
      </c>
      <c r="D97" s="16"/>
      <c r="E97" s="17"/>
      <c r="F97" s="16"/>
      <c r="G97" s="16"/>
      <c r="H97" s="16"/>
      <c r="I97" s="261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3" t="s">
        <v>348</v>
      </c>
      <c r="B98" s="245" t="s">
        <v>25</v>
      </c>
      <c r="C98" s="141" t="str">
        <f t="shared" si="2"/>
        <v>OK</v>
      </c>
      <c r="D98" s="16"/>
      <c r="E98" s="17"/>
      <c r="F98" s="16"/>
      <c r="G98" s="16"/>
      <c r="H98" s="16"/>
      <c r="I98" s="261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0" t="s">
        <v>349</v>
      </c>
      <c r="B99" s="245" t="s">
        <v>63</v>
      </c>
      <c r="C99" s="141" t="str">
        <f t="shared" si="2"/>
        <v>OK</v>
      </c>
      <c r="D99" s="16"/>
      <c r="E99" s="17"/>
      <c r="F99" s="16"/>
      <c r="G99" s="16"/>
      <c r="H99" s="16"/>
      <c r="I99" s="261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0" t="s">
        <v>350</v>
      </c>
      <c r="B100" s="245" t="s">
        <v>63</v>
      </c>
      <c r="C100" s="141" t="str">
        <f t="shared" si="2"/>
        <v>OK</v>
      </c>
      <c r="D100" s="16"/>
      <c r="E100" s="17"/>
      <c r="F100" s="16"/>
      <c r="G100" s="16"/>
      <c r="H100" s="16"/>
      <c r="I100" s="261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9" t="s">
        <v>351</v>
      </c>
      <c r="B101" s="245" t="s">
        <v>62</v>
      </c>
      <c r="C101" s="141" t="str">
        <f t="shared" si="2"/>
        <v>OK</v>
      </c>
      <c r="D101" s="16"/>
      <c r="E101" s="17"/>
      <c r="F101" s="16"/>
      <c r="G101" s="16"/>
      <c r="H101" s="16"/>
      <c r="I101" s="261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3" t="s">
        <v>51</v>
      </c>
      <c r="B102" s="264" t="s">
        <v>51</v>
      </c>
      <c r="C102" s="141" t="str">
        <f t="shared" si="2"/>
        <v>OK</v>
      </c>
      <c r="D102" s="16"/>
      <c r="E102" s="17"/>
      <c r="F102" s="16"/>
      <c r="G102" s="16"/>
      <c r="H102" s="16"/>
      <c r="I102" s="261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0" t="s">
        <v>352</v>
      </c>
      <c r="B103" s="248" t="s">
        <v>14</v>
      </c>
      <c r="C103" s="141" t="str">
        <f t="shared" si="2"/>
        <v>OK</v>
      </c>
      <c r="D103" s="16"/>
      <c r="E103" s="17"/>
      <c r="F103" s="16"/>
      <c r="G103" s="16"/>
      <c r="H103" s="16"/>
      <c r="I103" s="261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0" t="s">
        <v>108</v>
      </c>
      <c r="B104" s="248" t="s">
        <v>110</v>
      </c>
      <c r="C104" s="141" t="str">
        <f t="shared" si="2"/>
        <v>OK</v>
      </c>
      <c r="D104" s="16"/>
      <c r="E104" s="17"/>
      <c r="F104" s="16"/>
      <c r="G104" s="16"/>
      <c r="H104" s="16"/>
      <c r="I104" s="261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0" t="s">
        <v>109</v>
      </c>
      <c r="B105" s="245" t="s">
        <v>62</v>
      </c>
      <c r="C105" s="141" t="str">
        <f t="shared" si="2"/>
        <v>OK</v>
      </c>
      <c r="D105" s="16"/>
      <c r="E105" s="17"/>
      <c r="F105" s="16"/>
      <c r="G105" s="16"/>
      <c r="H105" s="16"/>
      <c r="I105" s="261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9" t="s">
        <v>143</v>
      </c>
      <c r="B106" s="245" t="s">
        <v>62</v>
      </c>
      <c r="C106" s="141" t="str">
        <f t="shared" si="2"/>
        <v>OK</v>
      </c>
      <c r="D106" s="16"/>
      <c r="E106" s="17"/>
      <c r="F106" s="16"/>
      <c r="G106" s="16"/>
      <c r="H106" s="16"/>
      <c r="I106" s="261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9" t="s">
        <v>353</v>
      </c>
      <c r="B107" s="264" t="s">
        <v>2</v>
      </c>
      <c r="C107" s="141" t="str">
        <f t="shared" si="2"/>
        <v>OK</v>
      </c>
      <c r="D107" s="16"/>
      <c r="E107" s="17"/>
      <c r="F107" s="16"/>
      <c r="G107" s="16"/>
      <c r="H107" s="16"/>
      <c r="I107" s="261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9" t="s">
        <v>354</v>
      </c>
      <c r="B108" s="264" t="s">
        <v>6</v>
      </c>
      <c r="C108" s="141" t="str">
        <f t="shared" si="2"/>
        <v>OK</v>
      </c>
      <c r="D108" s="16"/>
      <c r="E108" s="17"/>
      <c r="F108" s="16"/>
      <c r="G108" s="16"/>
      <c r="H108" s="16"/>
      <c r="I108" s="261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9" t="s">
        <v>355</v>
      </c>
      <c r="B109" s="264" t="s">
        <v>25</v>
      </c>
      <c r="C109" s="141" t="str">
        <f t="shared" si="2"/>
        <v>OK</v>
      </c>
      <c r="D109" s="16"/>
      <c r="E109" s="16"/>
      <c r="F109" s="16"/>
      <c r="G109" s="16"/>
      <c r="H109" s="16"/>
      <c r="I109" s="261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9" t="s">
        <v>356</v>
      </c>
      <c r="B110" s="264" t="s">
        <v>6</v>
      </c>
      <c r="C110" s="141" t="str">
        <f t="shared" si="2"/>
        <v>OK</v>
      </c>
      <c r="D110" s="16"/>
      <c r="E110" s="16"/>
      <c r="F110" s="16"/>
      <c r="G110" s="16"/>
      <c r="H110" s="16"/>
      <c r="I110" s="261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9" t="s">
        <v>146</v>
      </c>
      <c r="B111" s="264" t="s">
        <v>46</v>
      </c>
      <c r="C111" s="141" t="str">
        <f t="shared" si="2"/>
        <v>OK</v>
      </c>
      <c r="D111" s="16"/>
      <c r="E111" s="16"/>
      <c r="F111" s="16"/>
      <c r="G111" s="16"/>
      <c r="H111" s="16"/>
      <c r="I111" s="261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9" t="s">
        <v>147</v>
      </c>
      <c r="B112" s="264" t="s">
        <v>31</v>
      </c>
      <c r="C112" s="141" t="str">
        <f t="shared" si="2"/>
        <v>OK</v>
      </c>
      <c r="D112" s="16"/>
      <c r="E112" s="16"/>
      <c r="F112" s="16"/>
      <c r="G112" s="16"/>
      <c r="H112" s="16"/>
      <c r="I112" s="261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9" t="s">
        <v>357</v>
      </c>
      <c r="B113" s="245" t="s">
        <v>23</v>
      </c>
      <c r="C113" s="141" t="str">
        <f t="shared" si="2"/>
        <v>OK</v>
      </c>
      <c r="D113" s="16"/>
      <c r="E113" s="16"/>
      <c r="F113" s="16"/>
      <c r="G113" s="16"/>
      <c r="H113" s="16"/>
      <c r="I113" s="261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9" t="s">
        <v>358</v>
      </c>
      <c r="B114" s="264" t="s">
        <v>2</v>
      </c>
      <c r="C114" s="141" t="str">
        <f t="shared" si="2"/>
        <v>OK</v>
      </c>
      <c r="D114" s="16"/>
      <c r="E114" s="16"/>
      <c r="F114" s="16"/>
      <c r="G114" s="16"/>
      <c r="H114" s="16"/>
      <c r="I114" s="261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9" t="s">
        <v>148</v>
      </c>
      <c r="B115" s="248" t="s">
        <v>110</v>
      </c>
      <c r="C115" s="141" t="str">
        <f t="shared" si="2"/>
        <v>OK</v>
      </c>
      <c r="D115" s="16"/>
      <c r="E115" s="16"/>
      <c r="F115" s="16"/>
      <c r="G115" s="16"/>
      <c r="H115" s="16"/>
      <c r="I115" s="261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9" t="s">
        <v>359</v>
      </c>
      <c r="B116" s="264" t="s">
        <v>2</v>
      </c>
      <c r="C116" s="141" t="str">
        <f t="shared" si="2"/>
        <v>OK</v>
      </c>
      <c r="D116" s="16"/>
      <c r="E116" s="16"/>
      <c r="F116" s="16"/>
      <c r="G116" s="16"/>
      <c r="H116" s="16"/>
      <c r="I116" s="261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9" t="s">
        <v>149</v>
      </c>
      <c r="B117" s="245" t="s">
        <v>62</v>
      </c>
      <c r="C117" s="141" t="str">
        <f t="shared" si="2"/>
        <v>OK</v>
      </c>
      <c r="D117" s="16"/>
      <c r="E117" s="16"/>
      <c r="F117" s="16"/>
      <c r="G117" s="16"/>
      <c r="H117" s="16"/>
      <c r="I117" s="261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9" t="s">
        <v>150</v>
      </c>
      <c r="B118" s="264" t="s">
        <v>6</v>
      </c>
      <c r="C118" s="141" t="str">
        <f t="shared" si="2"/>
        <v>OK</v>
      </c>
      <c r="D118" s="16"/>
      <c r="E118" s="16"/>
      <c r="F118" s="16"/>
      <c r="G118" s="16"/>
      <c r="H118" s="16"/>
      <c r="I118" s="261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0" t="s">
        <v>325</v>
      </c>
      <c r="B119" s="245" t="s">
        <v>62</v>
      </c>
      <c r="C119" s="141" t="str">
        <f t="shared" si="2"/>
        <v>OK</v>
      </c>
      <c r="D119" s="16"/>
      <c r="E119" s="16"/>
      <c r="F119" s="16"/>
      <c r="G119" s="16"/>
      <c r="H119" s="16"/>
      <c r="I119" s="261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0" t="s">
        <v>145</v>
      </c>
      <c r="B120" s="245" t="s">
        <v>63</v>
      </c>
      <c r="C120" s="141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1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9" t="s">
        <v>304</v>
      </c>
      <c r="B121" s="264" t="s">
        <v>31</v>
      </c>
      <c r="C121" s="141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1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9" t="s">
        <v>306</v>
      </c>
      <c r="B122" s="264" t="s">
        <v>46</v>
      </c>
      <c r="C122" s="141" t="str">
        <f t="shared" si="3"/>
        <v>OK</v>
      </c>
      <c r="D122" s="16"/>
      <c r="E122" s="16"/>
      <c r="F122" s="16"/>
      <c r="G122" s="16"/>
      <c r="H122" s="16"/>
      <c r="I122" s="261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9" t="s">
        <v>307</v>
      </c>
      <c r="B123" s="264" t="s">
        <v>25</v>
      </c>
      <c r="C123" s="141" t="str">
        <f t="shared" si="3"/>
        <v>OK</v>
      </c>
      <c r="D123" s="16"/>
      <c r="E123" s="16"/>
      <c r="F123" s="16"/>
      <c r="G123" s="16"/>
      <c r="H123" s="16"/>
      <c r="I123" s="261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0" t="s">
        <v>305</v>
      </c>
      <c r="B124" s="264" t="s">
        <v>49</v>
      </c>
      <c r="C124" s="141" t="str">
        <f t="shared" si="3"/>
        <v>OK</v>
      </c>
      <c r="D124" s="16"/>
      <c r="E124" s="16"/>
      <c r="F124" s="16"/>
      <c r="G124" s="16"/>
      <c r="H124" s="16"/>
      <c r="I124" s="261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4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9" t="s">
        <v>308</v>
      </c>
      <c r="B125" s="264" t="s">
        <v>37</v>
      </c>
      <c r="C125" s="141" t="str">
        <f t="shared" si="3"/>
        <v>OK</v>
      </c>
      <c r="D125" s="16"/>
      <c r="E125" s="16"/>
      <c r="F125" s="16"/>
      <c r="G125" s="16"/>
      <c r="H125" s="16"/>
      <c r="I125" s="261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9" t="s">
        <v>309</v>
      </c>
      <c r="B126" s="264" t="s">
        <v>25</v>
      </c>
      <c r="C126" s="141" t="str">
        <f t="shared" si="3"/>
        <v>OK</v>
      </c>
      <c r="D126" s="16"/>
      <c r="E126" s="16"/>
      <c r="F126" s="16"/>
      <c r="G126" s="16"/>
      <c r="H126" s="16"/>
      <c r="I126" s="261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9" t="s">
        <v>310</v>
      </c>
      <c r="B127" s="264" t="s">
        <v>2</v>
      </c>
      <c r="C127" s="141" t="str">
        <f t="shared" si="3"/>
        <v>OK</v>
      </c>
      <c r="D127" s="16"/>
      <c r="E127" s="16"/>
      <c r="F127" s="16"/>
      <c r="G127" s="16"/>
      <c r="H127" s="16"/>
      <c r="I127" s="261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9" t="s">
        <v>311</v>
      </c>
      <c r="B128" s="264" t="s">
        <v>31</v>
      </c>
      <c r="C128" s="141" t="str">
        <f t="shared" si="3"/>
        <v>OK</v>
      </c>
      <c r="D128" s="16"/>
      <c r="E128" s="16"/>
      <c r="F128" s="16"/>
      <c r="G128" s="16"/>
      <c r="H128" s="16"/>
      <c r="I128" s="261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9" t="s">
        <v>312</v>
      </c>
      <c r="B129" s="264" t="s">
        <v>17</v>
      </c>
      <c r="C129" s="141" t="str">
        <f t="shared" si="3"/>
        <v>OK</v>
      </c>
      <c r="D129" s="16"/>
      <c r="E129" s="16"/>
      <c r="F129" s="16"/>
      <c r="G129" s="16"/>
      <c r="H129" s="16"/>
      <c r="I129" s="261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9" t="s">
        <v>313</v>
      </c>
      <c r="B130" s="264" t="s">
        <v>31</v>
      </c>
      <c r="C130" s="141" t="str">
        <f t="shared" si="3"/>
        <v>OK</v>
      </c>
      <c r="D130" s="16"/>
      <c r="E130" s="16"/>
      <c r="F130" s="16"/>
      <c r="G130" s="16"/>
      <c r="H130" s="16"/>
      <c r="I130" s="261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9" t="s">
        <v>314</v>
      </c>
      <c r="B131" s="264" t="s">
        <v>3</v>
      </c>
      <c r="C131" s="141">
        <f t="shared" si="3"/>
        <v>0</v>
      </c>
      <c r="D131" s="16"/>
      <c r="E131" s="16"/>
      <c r="F131" s="16"/>
      <c r="G131" s="16"/>
      <c r="H131" s="16"/>
      <c r="I131" s="261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9" t="s">
        <v>414</v>
      </c>
      <c r="B132" s="245" t="s">
        <v>63</v>
      </c>
      <c r="C132" s="141" t="str">
        <f t="shared" si="3"/>
        <v>OK</v>
      </c>
      <c r="D132" s="16"/>
      <c r="E132" s="16"/>
      <c r="F132" s="16"/>
      <c r="G132" s="16"/>
      <c r="H132" s="16"/>
      <c r="I132" s="261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9" t="s">
        <v>605</v>
      </c>
      <c r="B133" s="264" t="s">
        <v>46</v>
      </c>
      <c r="C133" s="141" t="str">
        <f t="shared" si="3"/>
        <v>OK</v>
      </c>
      <c r="D133" s="16"/>
      <c r="E133" s="16"/>
      <c r="F133" s="16"/>
      <c r="G133" s="16"/>
      <c r="H133" s="16"/>
      <c r="I133" s="261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9" t="s">
        <v>725</v>
      </c>
      <c r="B134" s="264" t="s">
        <v>29</v>
      </c>
      <c r="C134" s="141" t="str">
        <f t="shared" si="3"/>
        <v>OK</v>
      </c>
      <c r="D134" s="16"/>
      <c r="E134" s="16"/>
      <c r="F134" s="16"/>
      <c r="G134" s="16"/>
      <c r="H134" s="16"/>
      <c r="I134" s="261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9" t="s">
        <v>726</v>
      </c>
      <c r="B135" s="264" t="s">
        <v>17</v>
      </c>
      <c r="C135" s="141" t="str">
        <f t="shared" si="3"/>
        <v>OK</v>
      </c>
      <c r="D135" s="16"/>
      <c r="E135" s="16"/>
      <c r="F135" s="16"/>
      <c r="G135" s="16"/>
      <c r="H135" s="16"/>
      <c r="I135" s="261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9" t="s">
        <v>727</v>
      </c>
      <c r="B136" s="264" t="s">
        <v>6</v>
      </c>
      <c r="C136" s="141" t="str">
        <f t="shared" si="3"/>
        <v>OK</v>
      </c>
      <c r="D136" s="16"/>
      <c r="E136" s="16"/>
      <c r="F136" s="16"/>
      <c r="G136" s="16"/>
      <c r="H136" s="16"/>
      <c r="I136" s="261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4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9" t="s">
        <v>728</v>
      </c>
      <c r="B137" s="264" t="s">
        <v>26</v>
      </c>
      <c r="C137" s="141" t="str">
        <f t="shared" si="3"/>
        <v>OK</v>
      </c>
      <c r="D137" s="16"/>
      <c r="E137" s="16"/>
      <c r="F137" s="16"/>
      <c r="G137" s="16"/>
      <c r="H137" s="16"/>
      <c r="I137" s="261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4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9" t="s">
        <v>729</v>
      </c>
      <c r="B138" s="245" t="s">
        <v>62</v>
      </c>
      <c r="C138" s="141" t="str">
        <f t="shared" si="3"/>
        <v>OK</v>
      </c>
      <c r="D138" s="16"/>
      <c r="E138" s="16"/>
      <c r="F138" s="16"/>
      <c r="G138" s="16"/>
      <c r="H138" s="16"/>
      <c r="I138" s="261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0" t="s">
        <v>730</v>
      </c>
      <c r="B139" s="264" t="s">
        <v>319</v>
      </c>
      <c r="C139" s="141" t="str">
        <f t="shared" si="3"/>
        <v>OK</v>
      </c>
      <c r="D139" s="16"/>
      <c r="E139" s="16"/>
      <c r="F139" s="16"/>
      <c r="G139" s="16"/>
      <c r="H139" s="16"/>
      <c r="I139" s="261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0" t="s">
        <v>731</v>
      </c>
      <c r="B140" s="245" t="s">
        <v>63</v>
      </c>
      <c r="C140" s="141" t="str">
        <f t="shared" si="3"/>
        <v>OK</v>
      </c>
      <c r="D140" s="16"/>
      <c r="E140" s="16"/>
      <c r="F140" s="16"/>
      <c r="G140" s="16"/>
      <c r="H140" s="16"/>
      <c r="I140" s="261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0" t="s">
        <v>864</v>
      </c>
      <c r="B141" s="264" t="s">
        <v>319</v>
      </c>
      <c r="C141" s="141" t="str">
        <f t="shared" si="3"/>
        <v>OK</v>
      </c>
      <c r="D141" s="16"/>
      <c r="E141" s="16"/>
      <c r="F141" s="16"/>
      <c r="G141" s="16"/>
      <c r="H141" s="16"/>
      <c r="I141" s="261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0"/>
      <c r="B142" s="264"/>
      <c r="C142" s="141" t="str">
        <f t="shared" si="3"/>
        <v/>
      </c>
      <c r="D142" s="16"/>
      <c r="E142" s="16"/>
      <c r="F142" s="16"/>
      <c r="G142" s="16"/>
      <c r="H142" s="16"/>
      <c r="I142" s="261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0"/>
      <c r="B143" s="264"/>
      <c r="C143" s="141" t="str">
        <f t="shared" si="3"/>
        <v/>
      </c>
      <c r="D143" s="16"/>
      <c r="E143" s="16"/>
      <c r="F143" s="16"/>
      <c r="G143" s="16"/>
      <c r="H143" s="16"/>
      <c r="I143" s="261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4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0"/>
      <c r="B144" s="264"/>
      <c r="C144" s="141" t="str">
        <f t="shared" si="3"/>
        <v/>
      </c>
      <c r="D144" s="16"/>
      <c r="E144" s="16"/>
      <c r="F144" s="16"/>
      <c r="G144" s="16"/>
      <c r="H144" s="16"/>
      <c r="I144" s="261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0"/>
      <c r="B145" s="264"/>
      <c r="C145" s="141" t="str">
        <f t="shared" si="3"/>
        <v/>
      </c>
      <c r="D145" s="16"/>
      <c r="E145" s="16"/>
      <c r="F145" s="16"/>
      <c r="G145" s="16"/>
      <c r="H145" s="16"/>
      <c r="I145" s="261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0"/>
      <c r="B146" s="264"/>
      <c r="C146" s="141" t="str">
        <f t="shared" si="3"/>
        <v/>
      </c>
      <c r="D146" s="16"/>
      <c r="E146" s="16"/>
      <c r="F146" s="16"/>
      <c r="G146" s="16"/>
      <c r="H146" s="16"/>
      <c r="I146" s="261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0"/>
      <c r="B147" s="264"/>
      <c r="C147" s="141" t="str">
        <f t="shared" si="3"/>
        <v/>
      </c>
      <c r="D147" s="16"/>
      <c r="E147" s="16"/>
      <c r="F147" s="16"/>
      <c r="G147" s="16"/>
      <c r="H147" s="16"/>
      <c r="I147" s="261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0"/>
      <c r="B148" s="245"/>
      <c r="C148" s="141"/>
      <c r="D148" s="16"/>
      <c r="E148" s="16"/>
      <c r="F148" s="16"/>
      <c r="G148" s="16"/>
      <c r="H148" s="16"/>
      <c r="I148" s="261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0"/>
      <c r="B149" s="248"/>
      <c r="C149" s="141"/>
      <c r="D149" s="16"/>
      <c r="E149" s="16"/>
      <c r="F149" s="16"/>
      <c r="G149" s="16"/>
      <c r="H149" s="16"/>
      <c r="I149" s="261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0"/>
      <c r="B150" s="248"/>
      <c r="C150" s="141"/>
      <c r="D150" s="16"/>
      <c r="E150" s="16"/>
      <c r="F150" s="16"/>
      <c r="G150" s="16"/>
      <c r="H150" s="16"/>
      <c r="I150" s="261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0"/>
      <c r="B151" s="248"/>
      <c r="C151" s="141" t="str">
        <f t="shared" si="3"/>
        <v/>
      </c>
      <c r="D151" s="16"/>
      <c r="E151" s="16"/>
      <c r="F151" s="16"/>
      <c r="G151" s="16"/>
      <c r="H151" s="16"/>
      <c r="I151" s="261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0"/>
      <c r="B152" s="248"/>
      <c r="C152" s="141" t="str">
        <f t="shared" si="3"/>
        <v/>
      </c>
      <c r="D152" s="16"/>
      <c r="E152" s="16"/>
      <c r="F152" s="16"/>
      <c r="G152" s="16"/>
      <c r="H152" s="16"/>
      <c r="I152" s="261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0"/>
      <c r="B153" s="248"/>
      <c r="C153" s="141" t="str">
        <f t="shared" si="3"/>
        <v/>
      </c>
      <c r="D153" s="16"/>
      <c r="E153" s="16"/>
      <c r="F153" s="16"/>
      <c r="G153" s="16"/>
      <c r="H153" s="16"/>
      <c r="I153" s="261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0"/>
      <c r="B154" s="248"/>
      <c r="C154" s="141" t="str">
        <f t="shared" si="3"/>
        <v/>
      </c>
      <c r="D154" s="16"/>
      <c r="E154" s="16"/>
      <c r="F154" s="16"/>
      <c r="G154" s="16"/>
      <c r="H154" s="16"/>
      <c r="I154" s="261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0"/>
      <c r="B155" s="248"/>
      <c r="C155" s="141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1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0"/>
      <c r="B156" s="248"/>
      <c r="C156" s="141" t="str">
        <f t="shared" si="4"/>
        <v/>
      </c>
      <c r="D156" s="16"/>
      <c r="E156" s="16"/>
      <c r="F156" s="16"/>
      <c r="G156" s="16"/>
      <c r="H156" s="16"/>
      <c r="I156" s="261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0"/>
      <c r="B157" s="248"/>
      <c r="C157" s="141" t="str">
        <f t="shared" si="4"/>
        <v/>
      </c>
      <c r="D157" s="16"/>
      <c r="E157" s="16"/>
      <c r="F157" s="16"/>
      <c r="G157" s="16"/>
      <c r="H157" s="16"/>
      <c r="I157" s="261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0"/>
      <c r="B158" s="248"/>
      <c r="C158" s="141" t="str">
        <f t="shared" si="4"/>
        <v/>
      </c>
      <c r="D158" s="16"/>
      <c r="E158" s="16"/>
      <c r="F158" s="16"/>
      <c r="G158" s="16"/>
      <c r="H158" s="16"/>
      <c r="I158" s="261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0"/>
      <c r="B159" s="248"/>
      <c r="C159" s="141" t="str">
        <f t="shared" si="4"/>
        <v/>
      </c>
      <c r="D159" s="16"/>
      <c r="E159" s="16"/>
      <c r="F159" s="16"/>
      <c r="G159" s="16"/>
      <c r="H159" s="16"/>
      <c r="I159" s="261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0"/>
      <c r="B160" s="248"/>
      <c r="C160" s="141" t="str">
        <f t="shared" si="4"/>
        <v/>
      </c>
      <c r="D160" s="16"/>
      <c r="E160" s="16"/>
      <c r="F160" s="16"/>
      <c r="G160" s="16"/>
      <c r="H160" s="16"/>
      <c r="I160" s="261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0"/>
      <c r="B161" s="248"/>
      <c r="C161" s="141" t="str">
        <f t="shared" si="4"/>
        <v/>
      </c>
      <c r="D161" s="16"/>
      <c r="E161" s="16"/>
      <c r="F161" s="16"/>
      <c r="G161" s="16"/>
      <c r="H161" s="16"/>
      <c r="I161" s="261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0"/>
      <c r="B162" s="248"/>
      <c r="C162" s="141" t="str">
        <f t="shared" si="4"/>
        <v/>
      </c>
      <c r="D162" s="16"/>
      <c r="E162" s="16"/>
      <c r="F162" s="16"/>
      <c r="G162" s="16"/>
      <c r="H162" s="16"/>
      <c r="I162" s="261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0"/>
      <c r="B163" s="248"/>
      <c r="C163" s="141" t="str">
        <f t="shared" si="4"/>
        <v/>
      </c>
      <c r="D163" s="16"/>
      <c r="E163" s="16"/>
      <c r="F163" s="16"/>
      <c r="G163" s="16"/>
      <c r="H163" s="16"/>
      <c r="I163" s="261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0"/>
      <c r="B164" s="248"/>
      <c r="C164" s="141" t="str">
        <f t="shared" si="4"/>
        <v/>
      </c>
      <c r="D164" s="16"/>
      <c r="E164" s="16"/>
      <c r="F164" s="16"/>
      <c r="G164" s="16"/>
      <c r="H164" s="16"/>
      <c r="I164" s="261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0"/>
      <c r="B165" s="248"/>
      <c r="C165" s="141" t="str">
        <f t="shared" si="4"/>
        <v/>
      </c>
      <c r="D165" s="16"/>
      <c r="E165" s="16"/>
      <c r="F165" s="16"/>
      <c r="G165" s="16"/>
      <c r="H165" s="16"/>
      <c r="I165" s="261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0"/>
      <c r="B166" s="248"/>
      <c r="C166" s="141" t="str">
        <f t="shared" si="4"/>
        <v/>
      </c>
      <c r="D166" s="16"/>
      <c r="E166" s="16"/>
      <c r="F166" s="16"/>
      <c r="G166" s="16"/>
      <c r="H166" s="16"/>
      <c r="I166" s="261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0"/>
      <c r="B167" s="248"/>
      <c r="C167" s="141" t="str">
        <f t="shared" si="4"/>
        <v/>
      </c>
      <c r="D167" s="16"/>
      <c r="E167" s="16"/>
      <c r="F167" s="16"/>
      <c r="G167" s="16"/>
      <c r="H167" s="16"/>
      <c r="I167" s="261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0"/>
      <c r="B168" s="248"/>
      <c r="C168" s="141" t="str">
        <f t="shared" si="4"/>
        <v/>
      </c>
      <c r="D168" s="16"/>
      <c r="E168" s="16"/>
      <c r="F168" s="16"/>
      <c r="G168" s="16"/>
      <c r="H168" s="16"/>
      <c r="I168" s="261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0"/>
      <c r="B169" s="248"/>
      <c r="C169" s="141" t="str">
        <f t="shared" si="4"/>
        <v/>
      </c>
      <c r="D169" s="16"/>
      <c r="E169" s="16"/>
      <c r="F169" s="16"/>
      <c r="G169" s="16"/>
      <c r="H169" s="16"/>
      <c r="I169" s="261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0"/>
      <c r="B170" s="248"/>
      <c r="C170" s="141" t="str">
        <f t="shared" si="4"/>
        <v/>
      </c>
      <c r="D170" s="16"/>
      <c r="E170" s="16"/>
      <c r="F170" s="16"/>
      <c r="G170" s="16"/>
      <c r="H170" s="16"/>
      <c r="I170" s="261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0"/>
      <c r="B171" s="248"/>
      <c r="C171" s="141" t="str">
        <f t="shared" si="4"/>
        <v/>
      </c>
      <c r="D171" s="16"/>
      <c r="E171" s="16"/>
      <c r="F171" s="16"/>
      <c r="G171" s="16"/>
      <c r="H171" s="16"/>
      <c r="I171" s="261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0"/>
      <c r="B172" s="248"/>
      <c r="C172" s="141" t="str">
        <f t="shared" si="4"/>
        <v/>
      </c>
      <c r="D172" s="16"/>
      <c r="E172" s="16"/>
      <c r="F172" s="16"/>
      <c r="G172" s="16"/>
      <c r="H172" s="16"/>
      <c r="I172" s="261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0"/>
      <c r="B173" s="248"/>
      <c r="C173" s="141" t="str">
        <f t="shared" si="4"/>
        <v/>
      </c>
      <c r="D173" s="16"/>
      <c r="E173" s="16"/>
      <c r="F173" s="16"/>
      <c r="G173" s="16"/>
      <c r="H173" s="16"/>
      <c r="I173" s="261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0"/>
      <c r="B174" s="248"/>
      <c r="C174" s="141" t="str">
        <f t="shared" si="4"/>
        <v/>
      </c>
      <c r="D174" s="16"/>
      <c r="E174" s="16"/>
      <c r="F174" s="16"/>
      <c r="G174" s="16"/>
      <c r="H174" s="16"/>
      <c r="I174" s="261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0"/>
      <c r="B175" s="248"/>
      <c r="C175" s="141" t="str">
        <f t="shared" si="4"/>
        <v/>
      </c>
      <c r="D175" s="16"/>
      <c r="E175" s="16"/>
      <c r="F175" s="16"/>
      <c r="G175" s="16"/>
      <c r="H175" s="16"/>
      <c r="I175" s="261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0"/>
      <c r="B176" s="248"/>
      <c r="C176" s="141" t="str">
        <f t="shared" si="4"/>
        <v/>
      </c>
      <c r="D176" s="16"/>
      <c r="E176" s="16"/>
      <c r="F176" s="16"/>
      <c r="G176" s="16"/>
      <c r="H176" s="16"/>
      <c r="I176" s="261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0"/>
      <c r="B177" s="248"/>
      <c r="C177" s="141" t="str">
        <f t="shared" si="4"/>
        <v/>
      </c>
      <c r="D177" s="16"/>
      <c r="E177" s="16"/>
      <c r="F177" s="16"/>
      <c r="G177" s="16"/>
      <c r="H177" s="16"/>
      <c r="I177" s="261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0"/>
      <c r="B178" s="248"/>
      <c r="C178" s="141" t="str">
        <f t="shared" si="4"/>
        <v/>
      </c>
      <c r="D178" s="16"/>
      <c r="E178" s="16"/>
      <c r="F178" s="16"/>
      <c r="G178" s="16"/>
      <c r="H178" s="16"/>
      <c r="I178" s="261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0"/>
      <c r="B179" s="248"/>
      <c r="C179" s="141" t="str">
        <f t="shared" si="4"/>
        <v/>
      </c>
      <c r="D179" s="16"/>
      <c r="E179" s="16"/>
      <c r="F179" s="16"/>
      <c r="G179" s="16"/>
      <c r="H179" s="16"/>
      <c r="I179" s="261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0"/>
      <c r="B180" s="248"/>
      <c r="C180" s="141" t="str">
        <f t="shared" si="4"/>
        <v/>
      </c>
      <c r="N180"/>
    </row>
    <row r="181" spans="1:135" x14ac:dyDescent="0.25">
      <c r="A181" s="210"/>
      <c r="B181" s="248"/>
      <c r="C181" s="141" t="str">
        <f t="shared" si="4"/>
        <v/>
      </c>
      <c r="N181"/>
    </row>
    <row r="182" spans="1:135" x14ac:dyDescent="0.25">
      <c r="A182" s="210"/>
      <c r="B182" s="248"/>
      <c r="C182" s="141" t="str">
        <f t="shared" si="4"/>
        <v/>
      </c>
      <c r="N182"/>
    </row>
    <row r="183" spans="1:135" x14ac:dyDescent="0.25">
      <c r="A183" s="210"/>
      <c r="B183" s="248"/>
      <c r="C183" s="141" t="str">
        <f t="shared" si="4"/>
        <v/>
      </c>
      <c r="N183"/>
    </row>
    <row r="184" spans="1:135" x14ac:dyDescent="0.25">
      <c r="A184" s="210"/>
      <c r="B184" s="248"/>
      <c r="C184" s="141" t="str">
        <f t="shared" si="4"/>
        <v/>
      </c>
      <c r="N184"/>
    </row>
    <row r="185" spans="1:135" x14ac:dyDescent="0.25">
      <c r="A185" s="210"/>
      <c r="B185" s="248"/>
      <c r="C185" s="141" t="str">
        <f t="shared" si="4"/>
        <v/>
      </c>
      <c r="N185"/>
    </row>
    <row r="186" spans="1:135" x14ac:dyDescent="0.25">
      <c r="A186" s="210"/>
      <c r="B186" s="248"/>
      <c r="C186" s="141" t="str">
        <f t="shared" si="4"/>
        <v/>
      </c>
      <c r="N186"/>
    </row>
    <row r="187" spans="1:135" x14ac:dyDescent="0.25">
      <c r="A187" s="210"/>
      <c r="B187" s="248"/>
      <c r="C187" s="141" t="str">
        <f t="shared" si="4"/>
        <v/>
      </c>
      <c r="N187"/>
    </row>
    <row r="188" spans="1:135" x14ac:dyDescent="0.25">
      <c r="A188" s="210"/>
      <c r="B188" s="248"/>
      <c r="C188" s="141" t="str">
        <f t="shared" si="4"/>
        <v/>
      </c>
      <c r="N188"/>
    </row>
    <row r="189" spans="1:135" x14ac:dyDescent="0.25">
      <c r="A189" s="210"/>
      <c r="B189" s="248"/>
      <c r="C189" s="141" t="str">
        <f t="shared" si="4"/>
        <v/>
      </c>
      <c r="N189"/>
    </row>
    <row r="190" spans="1:135" x14ac:dyDescent="0.25">
      <c r="A190" s="210"/>
      <c r="B190" s="248"/>
      <c r="C190" s="141" t="str">
        <f t="shared" si="4"/>
        <v/>
      </c>
      <c r="N190"/>
    </row>
    <row r="191" spans="1:135" x14ac:dyDescent="0.25">
      <c r="A191" s="210"/>
      <c r="B191" s="248"/>
      <c r="C191" s="141" t="str">
        <f t="shared" si="4"/>
        <v/>
      </c>
      <c r="N191"/>
    </row>
    <row r="192" spans="1:135" x14ac:dyDescent="0.25">
      <c r="A192" s="210"/>
      <c r="B192" s="248"/>
      <c r="C192" s="141" t="str">
        <f t="shared" si="4"/>
        <v/>
      </c>
      <c r="N192"/>
    </row>
    <row r="193" spans="1:14" x14ac:dyDescent="0.25">
      <c r="A193" s="210"/>
      <c r="B193" s="248"/>
      <c r="C193" s="141" t="str">
        <f t="shared" si="4"/>
        <v/>
      </c>
      <c r="N193"/>
    </row>
    <row r="194" spans="1:14" x14ac:dyDescent="0.25">
      <c r="A194" s="210"/>
      <c r="B194" s="248"/>
      <c r="C194" s="141" t="str">
        <f t="shared" si="4"/>
        <v/>
      </c>
      <c r="N194"/>
    </row>
    <row r="195" spans="1:14" x14ac:dyDescent="0.25">
      <c r="A195" s="210"/>
      <c r="B195" s="248"/>
      <c r="C195" s="141" t="str">
        <f t="shared" si="4"/>
        <v/>
      </c>
      <c r="N195"/>
    </row>
    <row r="196" spans="1:14" x14ac:dyDescent="0.25">
      <c r="A196" s="210"/>
      <c r="B196" s="248"/>
      <c r="C196" s="141" t="str">
        <f t="shared" si="4"/>
        <v/>
      </c>
      <c r="N196"/>
    </row>
    <row r="197" spans="1:14" x14ac:dyDescent="0.25">
      <c r="A197" s="210"/>
      <c r="B197" s="248"/>
      <c r="C197" s="141" t="str">
        <f t="shared" si="4"/>
        <v/>
      </c>
      <c r="N197"/>
    </row>
    <row r="198" spans="1:14" x14ac:dyDescent="0.25">
      <c r="A198" s="210"/>
      <c r="B198" s="248"/>
      <c r="C198" s="141" t="str">
        <f t="shared" si="4"/>
        <v/>
      </c>
      <c r="N198"/>
    </row>
    <row r="199" spans="1:14" x14ac:dyDescent="0.25">
      <c r="A199" s="210"/>
      <c r="B199" s="248"/>
      <c r="C199" s="141" t="str">
        <f t="shared" si="4"/>
        <v/>
      </c>
      <c r="N199"/>
    </row>
    <row r="200" spans="1:14" x14ac:dyDescent="0.25">
      <c r="A200" s="210"/>
      <c r="B200" s="248"/>
      <c r="C200" s="141" t="str">
        <f t="shared" si="4"/>
        <v/>
      </c>
      <c r="N200"/>
    </row>
    <row r="201" spans="1:14" x14ac:dyDescent="0.25">
      <c r="A201" s="210"/>
      <c r="B201" s="248"/>
      <c r="C201" s="141" t="str">
        <f t="shared" si="4"/>
        <v/>
      </c>
      <c r="N201"/>
    </row>
    <row r="202" spans="1:14" x14ac:dyDescent="0.25">
      <c r="A202" s="210"/>
      <c r="B202" s="248"/>
      <c r="C202" s="141" t="str">
        <f t="shared" si="4"/>
        <v/>
      </c>
      <c r="N202"/>
    </row>
    <row r="203" spans="1:14" x14ac:dyDescent="0.25">
      <c r="A203" s="210"/>
      <c r="B203" s="248"/>
      <c r="C203" s="141" t="str">
        <f t="shared" si="4"/>
        <v/>
      </c>
      <c r="N203"/>
    </row>
    <row r="204" spans="1:14" x14ac:dyDescent="0.25">
      <c r="A204" s="210"/>
      <c r="B204" s="248"/>
      <c r="C204" s="141" t="str">
        <f t="shared" si="4"/>
        <v/>
      </c>
      <c r="N204"/>
    </row>
    <row r="205" spans="1:14" x14ac:dyDescent="0.25">
      <c r="A205" s="210"/>
      <c r="B205" s="248"/>
      <c r="C205" s="141" t="str">
        <f t="shared" si="4"/>
        <v/>
      </c>
      <c r="N205"/>
    </row>
    <row r="206" spans="1:14" x14ac:dyDescent="0.25">
      <c r="A206" s="210"/>
      <c r="B206" s="248"/>
      <c r="C206" s="141" t="str">
        <f t="shared" si="4"/>
        <v/>
      </c>
      <c r="N206"/>
    </row>
    <row r="207" spans="1:14" x14ac:dyDescent="0.25">
      <c r="A207" s="210"/>
      <c r="B207" s="248"/>
      <c r="C207" s="141" t="str">
        <f t="shared" si="4"/>
        <v/>
      </c>
      <c r="N207"/>
    </row>
    <row r="208" spans="1:14" x14ac:dyDescent="0.25">
      <c r="A208" s="210"/>
      <c r="B208" s="248"/>
      <c r="C208" s="141" t="str">
        <f t="shared" si="4"/>
        <v/>
      </c>
      <c r="N208"/>
    </row>
    <row r="209" spans="1:14" x14ac:dyDescent="0.25">
      <c r="A209" s="210"/>
      <c r="B209" s="248"/>
      <c r="C209" s="141" t="str">
        <f t="shared" si="4"/>
        <v/>
      </c>
      <c r="N209"/>
    </row>
    <row r="210" spans="1:14" x14ac:dyDescent="0.25">
      <c r="A210" s="210"/>
      <c r="B210" s="248"/>
      <c r="C210" s="141" t="str">
        <f t="shared" si="4"/>
        <v/>
      </c>
      <c r="N210"/>
    </row>
    <row r="211" spans="1:14" x14ac:dyDescent="0.25">
      <c r="A211" s="210"/>
      <c r="B211" s="248"/>
      <c r="C211" s="141" t="str">
        <f t="shared" si="4"/>
        <v/>
      </c>
      <c r="N211"/>
    </row>
    <row r="212" spans="1:14" x14ac:dyDescent="0.25">
      <c r="A212" s="210"/>
      <c r="B212" s="248"/>
      <c r="C212" s="141" t="str">
        <f t="shared" si="4"/>
        <v/>
      </c>
      <c r="N212"/>
    </row>
    <row r="213" spans="1:14" x14ac:dyDescent="0.25">
      <c r="A213" s="210"/>
      <c r="B213" s="248"/>
      <c r="C213" s="141" t="str">
        <f t="shared" si="4"/>
        <v/>
      </c>
      <c r="N213"/>
    </row>
    <row r="214" spans="1:14" x14ac:dyDescent="0.25">
      <c r="A214" s="210"/>
      <c r="B214" s="248"/>
      <c r="C214" s="141" t="str">
        <f t="shared" si="4"/>
        <v/>
      </c>
      <c r="N214"/>
    </row>
    <row r="215" spans="1:14" x14ac:dyDescent="0.25">
      <c r="A215" s="210"/>
      <c r="B215" s="248"/>
      <c r="C215" s="141" t="str">
        <f t="shared" si="4"/>
        <v/>
      </c>
      <c r="N215"/>
    </row>
    <row r="216" spans="1:14" x14ac:dyDescent="0.25">
      <c r="A216" s="210"/>
      <c r="B216" s="248"/>
      <c r="C216" s="141" t="str">
        <f t="shared" si="4"/>
        <v/>
      </c>
      <c r="N216"/>
    </row>
    <row r="217" spans="1:14" x14ac:dyDescent="0.25">
      <c r="A217" s="210"/>
      <c r="B217" s="248"/>
      <c r="C217" s="141" t="str">
        <f t="shared" si="4"/>
        <v/>
      </c>
      <c r="N217"/>
    </row>
    <row r="218" spans="1:14" x14ac:dyDescent="0.25">
      <c r="A218" s="210"/>
      <c r="B218" s="248"/>
      <c r="C218" s="141" t="str">
        <f t="shared" si="4"/>
        <v/>
      </c>
      <c r="N218"/>
    </row>
    <row r="219" spans="1:14" x14ac:dyDescent="0.25">
      <c r="A219" s="210"/>
      <c r="B219" s="248"/>
      <c r="C219" s="141" t="str">
        <f t="shared" ref="C219:C282" si="5">+IFERROR(IF(B219="","",(VLOOKUP(B219,$F$2:$H$55,3,0))),"State Wrong")</f>
        <v/>
      </c>
      <c r="N219"/>
    </row>
    <row r="220" spans="1:14" x14ac:dyDescent="0.25">
      <c r="A220" s="210"/>
      <c r="B220" s="248"/>
      <c r="C220" s="141" t="str">
        <f t="shared" si="5"/>
        <v/>
      </c>
    </row>
    <row r="221" spans="1:14" x14ac:dyDescent="0.25">
      <c r="A221" s="210"/>
      <c r="B221" s="248"/>
      <c r="C221" s="141" t="str">
        <f t="shared" si="5"/>
        <v/>
      </c>
    </row>
    <row r="222" spans="1:14" x14ac:dyDescent="0.25">
      <c r="A222" s="210"/>
      <c r="B222" s="248"/>
      <c r="C222" s="141" t="str">
        <f t="shared" si="5"/>
        <v/>
      </c>
    </row>
    <row r="223" spans="1:14" x14ac:dyDescent="0.25">
      <c r="A223" s="210"/>
      <c r="B223" s="248"/>
      <c r="C223" s="141" t="str">
        <f t="shared" si="5"/>
        <v/>
      </c>
    </row>
    <row r="224" spans="1:14" x14ac:dyDescent="0.25">
      <c r="A224" s="210"/>
      <c r="B224" s="248"/>
      <c r="C224" s="141" t="str">
        <f t="shared" si="5"/>
        <v/>
      </c>
    </row>
    <row r="225" spans="1:3" x14ac:dyDescent="0.25">
      <c r="A225" s="210"/>
      <c r="B225" s="248"/>
      <c r="C225" s="141" t="str">
        <f t="shared" si="5"/>
        <v/>
      </c>
    </row>
    <row r="226" spans="1:3" x14ac:dyDescent="0.25">
      <c r="A226" s="210"/>
      <c r="B226" s="248"/>
      <c r="C226" s="141" t="str">
        <f t="shared" si="5"/>
        <v/>
      </c>
    </row>
    <row r="227" spans="1:3" x14ac:dyDescent="0.25">
      <c r="A227" s="210"/>
      <c r="B227" s="248"/>
      <c r="C227" s="141" t="str">
        <f t="shared" si="5"/>
        <v/>
      </c>
    </row>
    <row r="228" spans="1:3" x14ac:dyDescent="0.25">
      <c r="A228" s="210"/>
      <c r="B228" s="248"/>
      <c r="C228" s="141" t="str">
        <f t="shared" si="5"/>
        <v/>
      </c>
    </row>
    <row r="229" spans="1:3" x14ac:dyDescent="0.25">
      <c r="A229" s="210"/>
      <c r="B229" s="248"/>
      <c r="C229" s="141" t="str">
        <f t="shared" si="5"/>
        <v/>
      </c>
    </row>
    <row r="230" spans="1:3" x14ac:dyDescent="0.25">
      <c r="A230" s="210"/>
      <c r="B230" s="248"/>
      <c r="C230" s="141" t="str">
        <f t="shared" si="5"/>
        <v/>
      </c>
    </row>
    <row r="231" spans="1:3" x14ac:dyDescent="0.25">
      <c r="A231" s="210"/>
      <c r="B231" s="248"/>
      <c r="C231" s="141" t="str">
        <f t="shared" si="5"/>
        <v/>
      </c>
    </row>
    <row r="232" spans="1:3" x14ac:dyDescent="0.25">
      <c r="A232" s="210"/>
      <c r="B232" s="248"/>
      <c r="C232" s="141" t="str">
        <f t="shared" si="5"/>
        <v/>
      </c>
    </row>
    <row r="233" spans="1:3" x14ac:dyDescent="0.25">
      <c r="A233" s="210"/>
      <c r="B233" s="248"/>
      <c r="C233" s="141" t="str">
        <f t="shared" si="5"/>
        <v/>
      </c>
    </row>
    <row r="234" spans="1:3" x14ac:dyDescent="0.25">
      <c r="A234" s="210"/>
      <c r="B234" s="248"/>
      <c r="C234" s="141" t="str">
        <f t="shared" si="5"/>
        <v/>
      </c>
    </row>
    <row r="235" spans="1:3" x14ac:dyDescent="0.25">
      <c r="A235" s="210"/>
      <c r="B235" s="248"/>
      <c r="C235" s="141" t="str">
        <f t="shared" si="5"/>
        <v/>
      </c>
    </row>
    <row r="236" spans="1:3" x14ac:dyDescent="0.25">
      <c r="A236" s="210"/>
      <c r="B236" s="248"/>
      <c r="C236" s="141" t="str">
        <f t="shared" si="5"/>
        <v/>
      </c>
    </row>
    <row r="237" spans="1:3" x14ac:dyDescent="0.25">
      <c r="A237" s="210"/>
      <c r="B237" s="248"/>
      <c r="C237" s="141" t="str">
        <f t="shared" si="5"/>
        <v/>
      </c>
    </row>
    <row r="238" spans="1:3" x14ac:dyDescent="0.25">
      <c r="A238" s="210"/>
      <c r="B238" s="248"/>
      <c r="C238" s="141" t="str">
        <f t="shared" si="5"/>
        <v/>
      </c>
    </row>
    <row r="239" spans="1:3" x14ac:dyDescent="0.25">
      <c r="A239" s="210"/>
      <c r="B239" s="248"/>
      <c r="C239" s="141" t="str">
        <f t="shared" si="5"/>
        <v/>
      </c>
    </row>
    <row r="240" spans="1:3" x14ac:dyDescent="0.25">
      <c r="A240" s="210"/>
      <c r="B240" s="248"/>
      <c r="C240" s="141" t="str">
        <f t="shared" si="5"/>
        <v/>
      </c>
    </row>
    <row r="241" spans="1:3" x14ac:dyDescent="0.25">
      <c r="A241" s="210"/>
      <c r="B241" s="248"/>
      <c r="C241" s="141" t="str">
        <f t="shared" si="5"/>
        <v/>
      </c>
    </row>
    <row r="242" spans="1:3" x14ac:dyDescent="0.25">
      <c r="A242" s="210"/>
      <c r="B242" s="248"/>
      <c r="C242" s="141" t="str">
        <f t="shared" si="5"/>
        <v/>
      </c>
    </row>
    <row r="243" spans="1:3" x14ac:dyDescent="0.25">
      <c r="A243" s="210"/>
      <c r="B243" s="248"/>
      <c r="C243" s="141" t="str">
        <f t="shared" si="5"/>
        <v/>
      </c>
    </row>
    <row r="244" spans="1:3" x14ac:dyDescent="0.25">
      <c r="A244" s="210"/>
      <c r="B244" s="248"/>
      <c r="C244" s="141" t="str">
        <f t="shared" si="5"/>
        <v/>
      </c>
    </row>
    <row r="245" spans="1:3" x14ac:dyDescent="0.25">
      <c r="A245" s="210"/>
      <c r="B245" s="248"/>
      <c r="C245" s="141" t="str">
        <f t="shared" si="5"/>
        <v/>
      </c>
    </row>
    <row r="246" spans="1:3" x14ac:dyDescent="0.25">
      <c r="A246" s="210"/>
      <c r="B246" s="248"/>
      <c r="C246" s="141" t="str">
        <f t="shared" si="5"/>
        <v/>
      </c>
    </row>
    <row r="247" spans="1:3" x14ac:dyDescent="0.25">
      <c r="A247" s="210"/>
      <c r="B247" s="248"/>
      <c r="C247" s="141" t="str">
        <f t="shared" si="5"/>
        <v/>
      </c>
    </row>
    <row r="248" spans="1:3" x14ac:dyDescent="0.25">
      <c r="A248" s="210"/>
      <c r="B248" s="248"/>
      <c r="C248" s="141" t="str">
        <f t="shared" si="5"/>
        <v/>
      </c>
    </row>
    <row r="249" spans="1:3" x14ac:dyDescent="0.25">
      <c r="A249" s="210"/>
      <c r="B249" s="248"/>
      <c r="C249" s="141" t="str">
        <f t="shared" si="5"/>
        <v/>
      </c>
    </row>
    <row r="250" spans="1:3" x14ac:dyDescent="0.25">
      <c r="A250" s="210"/>
      <c r="B250" s="248"/>
      <c r="C250" s="141" t="str">
        <f t="shared" si="5"/>
        <v/>
      </c>
    </row>
    <row r="251" spans="1:3" x14ac:dyDescent="0.25">
      <c r="A251" s="210"/>
      <c r="B251" s="248"/>
      <c r="C251" s="141" t="str">
        <f t="shared" si="5"/>
        <v/>
      </c>
    </row>
    <row r="252" spans="1:3" x14ac:dyDescent="0.25">
      <c r="A252" s="210"/>
      <c r="B252" s="248"/>
      <c r="C252" s="141" t="str">
        <f t="shared" si="5"/>
        <v/>
      </c>
    </row>
    <row r="253" spans="1:3" x14ac:dyDescent="0.25">
      <c r="A253" s="210"/>
      <c r="B253" s="248"/>
      <c r="C253" s="141" t="str">
        <f t="shared" si="5"/>
        <v/>
      </c>
    </row>
    <row r="254" spans="1:3" x14ac:dyDescent="0.25">
      <c r="A254" s="210"/>
      <c r="B254" s="248"/>
      <c r="C254" s="141" t="str">
        <f t="shared" si="5"/>
        <v/>
      </c>
    </row>
    <row r="255" spans="1:3" x14ac:dyDescent="0.25">
      <c r="A255" s="210"/>
      <c r="B255" s="248"/>
      <c r="C255" s="141" t="str">
        <f t="shared" si="5"/>
        <v/>
      </c>
    </row>
    <row r="256" spans="1:3" x14ac:dyDescent="0.25">
      <c r="A256" s="210"/>
      <c r="B256" s="248"/>
      <c r="C256" s="141" t="str">
        <f t="shared" si="5"/>
        <v/>
      </c>
    </row>
    <row r="257" spans="1:3" x14ac:dyDescent="0.25">
      <c r="A257" s="210"/>
      <c r="B257" s="248"/>
      <c r="C257" s="141" t="str">
        <f t="shared" si="5"/>
        <v/>
      </c>
    </row>
    <row r="258" spans="1:3" x14ac:dyDescent="0.25">
      <c r="A258" s="210"/>
      <c r="B258" s="248"/>
      <c r="C258" s="141" t="str">
        <f t="shared" si="5"/>
        <v/>
      </c>
    </row>
    <row r="259" spans="1:3" x14ac:dyDescent="0.25">
      <c r="A259" s="210"/>
      <c r="B259" s="248"/>
      <c r="C259" s="141" t="str">
        <f t="shared" si="5"/>
        <v/>
      </c>
    </row>
    <row r="260" spans="1:3" x14ac:dyDescent="0.25">
      <c r="A260" s="210"/>
      <c r="B260" s="248"/>
      <c r="C260" s="141" t="str">
        <f t="shared" si="5"/>
        <v/>
      </c>
    </row>
    <row r="261" spans="1:3" x14ac:dyDescent="0.25">
      <c r="A261" s="210"/>
      <c r="B261" s="248"/>
      <c r="C261" s="141" t="str">
        <f t="shared" si="5"/>
        <v/>
      </c>
    </row>
    <row r="262" spans="1:3" x14ac:dyDescent="0.25">
      <c r="A262" s="210"/>
      <c r="B262" s="248"/>
      <c r="C262" s="141" t="str">
        <f t="shared" si="5"/>
        <v/>
      </c>
    </row>
    <row r="263" spans="1:3" x14ac:dyDescent="0.25">
      <c r="A263" s="210"/>
      <c r="B263" s="248"/>
      <c r="C263" s="141" t="str">
        <f t="shared" si="5"/>
        <v/>
      </c>
    </row>
    <row r="264" spans="1:3" x14ac:dyDescent="0.25">
      <c r="A264" s="210"/>
      <c r="B264" s="248"/>
      <c r="C264" s="141" t="str">
        <f t="shared" si="5"/>
        <v/>
      </c>
    </row>
    <row r="265" spans="1:3" x14ac:dyDescent="0.25">
      <c r="A265" s="210"/>
      <c r="B265" s="248"/>
      <c r="C265" s="141" t="str">
        <f t="shared" si="5"/>
        <v/>
      </c>
    </row>
    <row r="266" spans="1:3" x14ac:dyDescent="0.25">
      <c r="A266" s="210"/>
      <c r="B266" s="248"/>
      <c r="C266" s="141" t="str">
        <f t="shared" si="5"/>
        <v/>
      </c>
    </row>
    <row r="267" spans="1:3" x14ac:dyDescent="0.25">
      <c r="A267" s="210"/>
      <c r="B267" s="248"/>
      <c r="C267" s="141" t="str">
        <f t="shared" si="5"/>
        <v/>
      </c>
    </row>
    <row r="268" spans="1:3" x14ac:dyDescent="0.25">
      <c r="A268" s="210"/>
      <c r="B268" s="248"/>
      <c r="C268" s="141" t="str">
        <f t="shared" si="5"/>
        <v/>
      </c>
    </row>
    <row r="269" spans="1:3" x14ac:dyDescent="0.25">
      <c r="A269" s="210"/>
      <c r="B269" s="248"/>
      <c r="C269" s="141" t="str">
        <f t="shared" si="5"/>
        <v/>
      </c>
    </row>
    <row r="270" spans="1:3" x14ac:dyDescent="0.25">
      <c r="A270" s="210"/>
      <c r="B270" s="248"/>
      <c r="C270" s="141" t="str">
        <f t="shared" si="5"/>
        <v/>
      </c>
    </row>
    <row r="271" spans="1:3" x14ac:dyDescent="0.25">
      <c r="A271" s="210"/>
      <c r="B271" s="248"/>
      <c r="C271" s="141" t="str">
        <f t="shared" si="5"/>
        <v/>
      </c>
    </row>
    <row r="272" spans="1:3" x14ac:dyDescent="0.25">
      <c r="A272" s="210"/>
      <c r="B272" s="248"/>
      <c r="C272" s="141" t="str">
        <f t="shared" si="5"/>
        <v/>
      </c>
    </row>
    <row r="273" spans="1:21" x14ac:dyDescent="0.25">
      <c r="A273" s="210"/>
      <c r="B273" s="248"/>
      <c r="C273" s="141" t="str">
        <f t="shared" si="5"/>
        <v/>
      </c>
    </row>
    <row r="274" spans="1:21" x14ac:dyDescent="0.25">
      <c r="A274" s="210"/>
      <c r="B274" s="248"/>
      <c r="C274" s="141" t="str">
        <f t="shared" si="5"/>
        <v/>
      </c>
    </row>
    <row r="275" spans="1:21" x14ac:dyDescent="0.25">
      <c r="A275" s="210"/>
      <c r="B275" s="248"/>
      <c r="C275" s="141" t="str">
        <f t="shared" si="5"/>
        <v/>
      </c>
    </row>
    <row r="276" spans="1:21" x14ac:dyDescent="0.25">
      <c r="A276" s="210"/>
      <c r="B276" s="248"/>
      <c r="C276" s="141" t="str">
        <f t="shared" si="5"/>
        <v/>
      </c>
    </row>
    <row r="277" spans="1:21" x14ac:dyDescent="0.25">
      <c r="A277" s="210"/>
      <c r="B277" s="248"/>
      <c r="C277" s="141" t="str">
        <f t="shared" si="5"/>
        <v/>
      </c>
    </row>
    <row r="278" spans="1:21" x14ac:dyDescent="0.25">
      <c r="A278" s="210"/>
      <c r="B278" s="248"/>
      <c r="C278" s="141" t="str">
        <f t="shared" si="5"/>
        <v/>
      </c>
    </row>
    <row r="279" spans="1:21" x14ac:dyDescent="0.25">
      <c r="A279" s="210"/>
      <c r="B279" s="248"/>
      <c r="C279" s="141" t="str">
        <f t="shared" si="5"/>
        <v/>
      </c>
    </row>
    <row r="280" spans="1:21" x14ac:dyDescent="0.25">
      <c r="A280" s="210"/>
      <c r="B280" s="248"/>
      <c r="C280" s="141" t="str">
        <f t="shared" si="5"/>
        <v/>
      </c>
    </row>
    <row r="281" spans="1:21" x14ac:dyDescent="0.25">
      <c r="A281" s="210"/>
      <c r="B281" s="248"/>
      <c r="C281" s="141" t="str">
        <f t="shared" si="5"/>
        <v/>
      </c>
    </row>
    <row r="282" spans="1:21" x14ac:dyDescent="0.25">
      <c r="A282" s="210"/>
      <c r="B282" s="248"/>
      <c r="C282" s="141" t="str">
        <f t="shared" si="5"/>
        <v/>
      </c>
    </row>
    <row r="283" spans="1:21" x14ac:dyDescent="0.25">
      <c r="A283" s="210"/>
      <c r="B283" s="248"/>
      <c r="C283" s="141" t="str">
        <f t="shared" ref="C283:C346" si="6">+IFERROR(IF(B283="","",(VLOOKUP(B283,$F$2:$H$55,3,0))),"State Wrong")</f>
        <v/>
      </c>
    </row>
    <row r="284" spans="1:21" x14ac:dyDescent="0.25">
      <c r="A284" s="210"/>
      <c r="B284" s="248"/>
      <c r="C284" s="141" t="str">
        <f t="shared" si="6"/>
        <v/>
      </c>
    </row>
    <row r="285" spans="1:21" x14ac:dyDescent="0.25">
      <c r="A285" s="210"/>
      <c r="B285" s="248"/>
      <c r="C285" s="141" t="str">
        <f t="shared" si="6"/>
        <v/>
      </c>
    </row>
    <row r="286" spans="1:21" x14ac:dyDescent="0.25">
      <c r="A286" s="210"/>
      <c r="B286" s="248"/>
      <c r="C286" s="141" t="str">
        <f t="shared" si="6"/>
        <v/>
      </c>
      <c r="U286" s="83"/>
    </row>
    <row r="287" spans="1:21" x14ac:dyDescent="0.25">
      <c r="A287" s="210"/>
      <c r="B287" s="248"/>
      <c r="C287" s="141" t="str">
        <f t="shared" si="6"/>
        <v/>
      </c>
    </row>
    <row r="288" spans="1:21" x14ac:dyDescent="0.25">
      <c r="A288" s="210"/>
      <c r="B288" s="248"/>
      <c r="C288" s="141" t="str">
        <f t="shared" si="6"/>
        <v/>
      </c>
    </row>
    <row r="289" spans="1:3" x14ac:dyDescent="0.25">
      <c r="A289" s="210"/>
      <c r="B289" s="248"/>
      <c r="C289" s="141" t="str">
        <f t="shared" si="6"/>
        <v/>
      </c>
    </row>
    <row r="290" spans="1:3" x14ac:dyDescent="0.25">
      <c r="A290" s="210"/>
      <c r="B290" s="248"/>
      <c r="C290" s="141" t="str">
        <f t="shared" si="6"/>
        <v/>
      </c>
    </row>
    <row r="291" spans="1:3" x14ac:dyDescent="0.25">
      <c r="A291" s="210"/>
      <c r="B291" s="248"/>
      <c r="C291" s="141" t="str">
        <f t="shared" si="6"/>
        <v/>
      </c>
    </row>
    <row r="292" spans="1:3" x14ac:dyDescent="0.25">
      <c r="A292" s="210"/>
      <c r="B292" s="248"/>
      <c r="C292" s="141" t="str">
        <f t="shared" si="6"/>
        <v/>
      </c>
    </row>
    <row r="293" spans="1:3" x14ac:dyDescent="0.25">
      <c r="A293" s="210"/>
      <c r="B293" s="248"/>
      <c r="C293" s="141" t="str">
        <f t="shared" si="6"/>
        <v/>
      </c>
    </row>
    <row r="294" spans="1:3" x14ac:dyDescent="0.25">
      <c r="A294" s="210"/>
      <c r="B294" s="248"/>
      <c r="C294" s="141" t="str">
        <f t="shared" si="6"/>
        <v/>
      </c>
    </row>
    <row r="295" spans="1:3" x14ac:dyDescent="0.25">
      <c r="A295" s="210"/>
      <c r="B295" s="248"/>
      <c r="C295" s="141" t="str">
        <f t="shared" si="6"/>
        <v/>
      </c>
    </row>
    <row r="296" spans="1:3" x14ac:dyDescent="0.25">
      <c r="A296" s="210"/>
      <c r="B296" s="248"/>
      <c r="C296" s="141" t="str">
        <f t="shared" si="6"/>
        <v/>
      </c>
    </row>
    <row r="297" spans="1:3" x14ac:dyDescent="0.25">
      <c r="A297" s="210"/>
      <c r="B297" s="248"/>
      <c r="C297" s="141" t="str">
        <f t="shared" si="6"/>
        <v/>
      </c>
    </row>
    <row r="298" spans="1:3" x14ac:dyDescent="0.25">
      <c r="A298" s="210"/>
      <c r="B298" s="248"/>
      <c r="C298" s="141" t="str">
        <f t="shared" si="6"/>
        <v/>
      </c>
    </row>
    <row r="299" spans="1:3" x14ac:dyDescent="0.25">
      <c r="A299" s="210"/>
      <c r="B299" s="248"/>
      <c r="C299" s="141" t="str">
        <f t="shared" si="6"/>
        <v/>
      </c>
    </row>
    <row r="300" spans="1:3" x14ac:dyDescent="0.25">
      <c r="A300" s="210"/>
      <c r="B300" s="248"/>
      <c r="C300" s="141" t="str">
        <f t="shared" si="6"/>
        <v/>
      </c>
    </row>
    <row r="301" spans="1:3" x14ac:dyDescent="0.25">
      <c r="A301" s="210"/>
      <c r="B301" s="248"/>
      <c r="C301" s="141" t="str">
        <f t="shared" si="6"/>
        <v/>
      </c>
    </row>
    <row r="302" spans="1:3" x14ac:dyDescent="0.25">
      <c r="A302" s="210"/>
      <c r="B302" s="248"/>
      <c r="C302" s="141" t="str">
        <f t="shared" si="6"/>
        <v/>
      </c>
    </row>
    <row r="303" spans="1:3" x14ac:dyDescent="0.25">
      <c r="A303" s="210"/>
      <c r="B303" s="248"/>
      <c r="C303" s="141" t="str">
        <f t="shared" si="6"/>
        <v/>
      </c>
    </row>
    <row r="304" spans="1:3" x14ac:dyDescent="0.25">
      <c r="A304" s="210"/>
      <c r="B304" s="248"/>
      <c r="C304" s="141" t="str">
        <f t="shared" si="6"/>
        <v/>
      </c>
    </row>
    <row r="305" spans="1:3" x14ac:dyDescent="0.25">
      <c r="A305" s="210"/>
      <c r="B305" s="248"/>
      <c r="C305" s="141" t="str">
        <f t="shared" si="6"/>
        <v/>
      </c>
    </row>
    <row r="306" spans="1:3" x14ac:dyDescent="0.25">
      <c r="A306" s="210"/>
      <c r="B306" s="248"/>
      <c r="C306" s="141" t="str">
        <f t="shared" si="6"/>
        <v/>
      </c>
    </row>
    <row r="307" spans="1:3" x14ac:dyDescent="0.25">
      <c r="A307" s="210"/>
      <c r="B307" s="248"/>
      <c r="C307" s="141" t="str">
        <f t="shared" si="6"/>
        <v/>
      </c>
    </row>
    <row r="308" spans="1:3" x14ac:dyDescent="0.25">
      <c r="A308" s="210"/>
      <c r="B308" s="248"/>
      <c r="C308" s="141" t="str">
        <f t="shared" si="6"/>
        <v/>
      </c>
    </row>
    <row r="309" spans="1:3" x14ac:dyDescent="0.25">
      <c r="A309" s="210"/>
      <c r="B309" s="248"/>
      <c r="C309" s="141" t="str">
        <f t="shared" si="6"/>
        <v/>
      </c>
    </row>
    <row r="310" spans="1:3" x14ac:dyDescent="0.25">
      <c r="A310" s="210"/>
      <c r="B310" s="248"/>
      <c r="C310" s="141" t="str">
        <f t="shared" si="6"/>
        <v/>
      </c>
    </row>
    <row r="311" spans="1:3" x14ac:dyDescent="0.25">
      <c r="A311" s="210"/>
      <c r="B311" s="248"/>
      <c r="C311" s="141" t="str">
        <f t="shared" si="6"/>
        <v/>
      </c>
    </row>
    <row r="312" spans="1:3" x14ac:dyDescent="0.25">
      <c r="A312" s="210"/>
      <c r="B312" s="248"/>
      <c r="C312" s="141" t="str">
        <f t="shared" si="6"/>
        <v/>
      </c>
    </row>
    <row r="313" spans="1:3" x14ac:dyDescent="0.25">
      <c r="A313" s="210"/>
      <c r="B313" s="248"/>
      <c r="C313" s="141" t="str">
        <f t="shared" si="6"/>
        <v/>
      </c>
    </row>
    <row r="314" spans="1:3" x14ac:dyDescent="0.25">
      <c r="A314" s="210"/>
      <c r="B314" s="248"/>
      <c r="C314" s="141" t="str">
        <f t="shared" si="6"/>
        <v/>
      </c>
    </row>
    <row r="315" spans="1:3" x14ac:dyDescent="0.25">
      <c r="A315" s="210"/>
      <c r="B315" s="248"/>
      <c r="C315" s="141" t="str">
        <f t="shared" si="6"/>
        <v/>
      </c>
    </row>
    <row r="316" spans="1:3" x14ac:dyDescent="0.25">
      <c r="A316" s="210"/>
      <c r="B316" s="248"/>
      <c r="C316" s="141" t="str">
        <f t="shared" si="6"/>
        <v/>
      </c>
    </row>
    <row r="317" spans="1:3" x14ac:dyDescent="0.25">
      <c r="A317" s="210"/>
      <c r="B317" s="248"/>
      <c r="C317" s="141" t="str">
        <f t="shared" si="6"/>
        <v/>
      </c>
    </row>
    <row r="318" spans="1:3" x14ac:dyDescent="0.25">
      <c r="A318" s="210"/>
      <c r="B318" s="248"/>
      <c r="C318" s="141" t="str">
        <f t="shared" si="6"/>
        <v/>
      </c>
    </row>
    <row r="319" spans="1:3" x14ac:dyDescent="0.25">
      <c r="A319" s="210"/>
      <c r="B319" s="248"/>
      <c r="C319" s="141" t="str">
        <f t="shared" si="6"/>
        <v/>
      </c>
    </row>
    <row r="320" spans="1:3" x14ac:dyDescent="0.25">
      <c r="A320" s="210"/>
      <c r="B320" s="248"/>
      <c r="C320" s="141" t="str">
        <f t="shared" si="6"/>
        <v/>
      </c>
    </row>
    <row r="321" spans="1:3" x14ac:dyDescent="0.25">
      <c r="A321" s="210"/>
      <c r="B321" s="248"/>
      <c r="C321" s="141" t="str">
        <f t="shared" si="6"/>
        <v/>
      </c>
    </row>
    <row r="322" spans="1:3" x14ac:dyDescent="0.25">
      <c r="A322" s="210"/>
      <c r="B322" s="248"/>
      <c r="C322" s="141" t="str">
        <f t="shared" si="6"/>
        <v/>
      </c>
    </row>
    <row r="323" spans="1:3" x14ac:dyDescent="0.25">
      <c r="A323" s="210"/>
      <c r="B323" s="248"/>
      <c r="C323" s="141" t="str">
        <f t="shared" si="6"/>
        <v/>
      </c>
    </row>
    <row r="324" spans="1:3" x14ac:dyDescent="0.25">
      <c r="A324" s="210"/>
      <c r="B324" s="248"/>
      <c r="C324" s="141" t="str">
        <f t="shared" si="6"/>
        <v/>
      </c>
    </row>
    <row r="325" spans="1:3" x14ac:dyDescent="0.25">
      <c r="A325" s="210"/>
      <c r="B325" s="248"/>
      <c r="C325" s="141" t="str">
        <f t="shared" si="6"/>
        <v/>
      </c>
    </row>
    <row r="326" spans="1:3" x14ac:dyDescent="0.25">
      <c r="A326" s="210"/>
      <c r="B326" s="248"/>
      <c r="C326" s="141" t="str">
        <f t="shared" si="6"/>
        <v/>
      </c>
    </row>
    <row r="327" spans="1:3" x14ac:dyDescent="0.25">
      <c r="A327" s="210"/>
      <c r="B327" s="248"/>
      <c r="C327" s="141" t="str">
        <f t="shared" si="6"/>
        <v/>
      </c>
    </row>
    <row r="328" spans="1:3" x14ac:dyDescent="0.25">
      <c r="A328" s="210"/>
      <c r="B328" s="248"/>
      <c r="C328" s="141" t="str">
        <f t="shared" si="6"/>
        <v/>
      </c>
    </row>
    <row r="329" spans="1:3" x14ac:dyDescent="0.25">
      <c r="A329" s="210"/>
      <c r="B329" s="248"/>
      <c r="C329" s="141" t="str">
        <f t="shared" si="6"/>
        <v/>
      </c>
    </row>
    <row r="330" spans="1:3" x14ac:dyDescent="0.25">
      <c r="A330" s="210"/>
      <c r="B330" s="248"/>
      <c r="C330" s="141" t="str">
        <f t="shared" si="6"/>
        <v/>
      </c>
    </row>
    <row r="331" spans="1:3" x14ac:dyDescent="0.25">
      <c r="A331" s="210"/>
      <c r="B331" s="248"/>
      <c r="C331" s="141" t="str">
        <f t="shared" si="6"/>
        <v/>
      </c>
    </row>
    <row r="332" spans="1:3" x14ac:dyDescent="0.25">
      <c r="A332" s="210"/>
      <c r="B332" s="248"/>
      <c r="C332" s="141" t="str">
        <f t="shared" si="6"/>
        <v/>
      </c>
    </row>
    <row r="333" spans="1:3" x14ac:dyDescent="0.25">
      <c r="A333" s="210"/>
      <c r="B333" s="248"/>
      <c r="C333" s="141" t="str">
        <f t="shared" si="6"/>
        <v/>
      </c>
    </row>
    <row r="334" spans="1:3" x14ac:dyDescent="0.25">
      <c r="A334" s="210"/>
      <c r="B334" s="248"/>
      <c r="C334" s="141" t="str">
        <f t="shared" si="6"/>
        <v/>
      </c>
    </row>
    <row r="335" spans="1:3" x14ac:dyDescent="0.25">
      <c r="A335" s="210"/>
      <c r="B335" s="248"/>
      <c r="C335" s="141" t="str">
        <f t="shared" si="6"/>
        <v/>
      </c>
    </row>
    <row r="336" spans="1:3" x14ac:dyDescent="0.25">
      <c r="A336" s="210"/>
      <c r="B336" s="248"/>
      <c r="C336" s="141" t="str">
        <f t="shared" si="6"/>
        <v/>
      </c>
    </row>
    <row r="337" spans="1:26" x14ac:dyDescent="0.25">
      <c r="A337" s="210"/>
      <c r="B337" s="248"/>
      <c r="C337" s="141" t="str">
        <f t="shared" si="6"/>
        <v/>
      </c>
    </row>
    <row r="338" spans="1:26" x14ac:dyDescent="0.25">
      <c r="A338" s="210"/>
      <c r="B338" s="248"/>
      <c r="C338" s="141" t="str">
        <f t="shared" si="6"/>
        <v/>
      </c>
    </row>
    <row r="339" spans="1:26" x14ac:dyDescent="0.25">
      <c r="A339" s="210"/>
      <c r="B339" s="248"/>
      <c r="C339" s="141" t="str">
        <f t="shared" si="6"/>
        <v/>
      </c>
    </row>
    <row r="340" spans="1:26" x14ac:dyDescent="0.25">
      <c r="A340" s="210"/>
      <c r="B340" s="248"/>
      <c r="C340" s="141" t="str">
        <f t="shared" si="6"/>
        <v/>
      </c>
    </row>
    <row r="341" spans="1:26" x14ac:dyDescent="0.25">
      <c r="A341" s="210"/>
      <c r="B341" s="248"/>
      <c r="C341" s="141" t="str">
        <f t="shared" si="6"/>
        <v/>
      </c>
    </row>
    <row r="342" spans="1:26" x14ac:dyDescent="0.25">
      <c r="A342" s="210"/>
      <c r="B342" s="248"/>
      <c r="C342" s="141" t="str">
        <f t="shared" si="6"/>
        <v/>
      </c>
    </row>
    <row r="343" spans="1:26" x14ac:dyDescent="0.25">
      <c r="A343" s="210"/>
      <c r="B343" s="248"/>
      <c r="C343" s="141" t="str">
        <f t="shared" si="6"/>
        <v/>
      </c>
    </row>
    <row r="344" spans="1:26" x14ac:dyDescent="0.25">
      <c r="A344" s="210"/>
      <c r="B344" s="248"/>
      <c r="C344" s="141" t="str">
        <f t="shared" si="6"/>
        <v/>
      </c>
      <c r="X344" s="83"/>
    </row>
    <row r="345" spans="1:26" x14ac:dyDescent="0.25">
      <c r="A345" s="210"/>
      <c r="B345" s="248"/>
      <c r="C345" s="141" t="str">
        <f t="shared" si="6"/>
        <v/>
      </c>
      <c r="X345" s="83"/>
    </row>
    <row r="346" spans="1:26" x14ac:dyDescent="0.25">
      <c r="A346" s="210"/>
      <c r="B346" s="248"/>
      <c r="C346" s="141" t="str">
        <f t="shared" si="6"/>
        <v/>
      </c>
      <c r="X346" s="83"/>
    </row>
    <row r="347" spans="1:26" x14ac:dyDescent="0.25">
      <c r="A347" s="210"/>
      <c r="B347" s="248"/>
      <c r="C347" s="141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0"/>
      <c r="B348" s="248"/>
      <c r="C348" s="141" t="str">
        <f t="shared" si="7"/>
        <v/>
      </c>
      <c r="U348" s="83"/>
    </row>
    <row r="349" spans="1:26" x14ac:dyDescent="0.25">
      <c r="A349" s="210"/>
      <c r="B349" s="248"/>
      <c r="C349" s="141" t="str">
        <f t="shared" si="7"/>
        <v/>
      </c>
      <c r="U349" s="83"/>
      <c r="X349" s="83"/>
    </row>
    <row r="350" spans="1:26" x14ac:dyDescent="0.25">
      <c r="A350" s="210"/>
      <c r="B350" s="248"/>
      <c r="C350" s="141" t="str">
        <f t="shared" si="7"/>
        <v/>
      </c>
      <c r="U350" s="83"/>
    </row>
    <row r="351" spans="1:26" x14ac:dyDescent="0.25">
      <c r="A351" s="210"/>
      <c r="B351" s="248"/>
      <c r="C351" s="141" t="str">
        <f t="shared" si="7"/>
        <v/>
      </c>
      <c r="U351" s="88"/>
      <c r="V351"/>
      <c r="W351"/>
      <c r="X351"/>
    </row>
    <row r="352" spans="1:26" x14ac:dyDescent="0.25">
      <c r="A352" s="210"/>
      <c r="B352" s="248"/>
      <c r="C352" s="141" t="str">
        <f t="shared" si="7"/>
        <v/>
      </c>
      <c r="X352" s="83"/>
    </row>
    <row r="353" spans="1:26" x14ac:dyDescent="0.25">
      <c r="A353" s="210"/>
      <c r="B353" s="248"/>
      <c r="C353" s="141" t="str">
        <f t="shared" si="7"/>
        <v/>
      </c>
      <c r="X353" s="83"/>
    </row>
    <row r="354" spans="1:26" x14ac:dyDescent="0.25">
      <c r="A354" s="210"/>
      <c r="B354" s="248"/>
      <c r="C354" s="141" t="str">
        <f t="shared" si="7"/>
        <v/>
      </c>
      <c r="U354" s="83"/>
    </row>
    <row r="355" spans="1:26" x14ac:dyDescent="0.25">
      <c r="A355" s="210"/>
      <c r="B355" s="248"/>
      <c r="C355" s="141" t="str">
        <f t="shared" si="7"/>
        <v/>
      </c>
      <c r="U355" s="83"/>
    </row>
    <row r="356" spans="1:26" x14ac:dyDescent="0.25">
      <c r="A356" s="210"/>
      <c r="B356" s="248"/>
      <c r="C356" s="141" t="str">
        <f t="shared" si="7"/>
        <v/>
      </c>
      <c r="U356" s="83"/>
    </row>
    <row r="357" spans="1:26" x14ac:dyDescent="0.25">
      <c r="A357" s="210"/>
      <c r="B357" s="248"/>
      <c r="C357" s="141" t="str">
        <f t="shared" si="7"/>
        <v/>
      </c>
      <c r="U357" s="83"/>
      <c r="Z357" s="88"/>
    </row>
    <row r="358" spans="1:26" x14ac:dyDescent="0.25">
      <c r="A358" s="210"/>
      <c r="B358" s="248"/>
      <c r="C358" s="141" t="str">
        <f t="shared" si="7"/>
        <v/>
      </c>
      <c r="U358" s="83"/>
      <c r="Z358" s="88"/>
    </row>
    <row r="359" spans="1:26" x14ac:dyDescent="0.25">
      <c r="A359" s="210"/>
      <c r="B359" s="248"/>
      <c r="C359" s="141" t="str">
        <f t="shared" si="7"/>
        <v/>
      </c>
      <c r="U359" s="83"/>
    </row>
    <row r="360" spans="1:26" x14ac:dyDescent="0.25">
      <c r="A360" s="210"/>
      <c r="B360" s="248"/>
      <c r="C360" s="141" t="str">
        <f t="shared" si="7"/>
        <v/>
      </c>
      <c r="U360" s="83"/>
    </row>
    <row r="361" spans="1:26" x14ac:dyDescent="0.25">
      <c r="A361" s="210"/>
      <c r="B361" s="248"/>
      <c r="C361" s="141" t="str">
        <f t="shared" si="7"/>
        <v/>
      </c>
      <c r="X361" s="83"/>
    </row>
    <row r="362" spans="1:26" x14ac:dyDescent="0.25">
      <c r="A362" s="210"/>
      <c r="B362" s="248"/>
      <c r="C362" s="141" t="str">
        <f t="shared" si="7"/>
        <v/>
      </c>
      <c r="X362" s="83"/>
    </row>
    <row r="363" spans="1:26" x14ac:dyDescent="0.25">
      <c r="A363" s="210"/>
      <c r="B363" s="248"/>
      <c r="C363" s="141" t="str">
        <f t="shared" si="7"/>
        <v/>
      </c>
      <c r="X363" s="83"/>
    </row>
    <row r="364" spans="1:26" x14ac:dyDescent="0.25">
      <c r="A364" s="210"/>
      <c r="B364" s="248"/>
      <c r="C364" s="141" t="str">
        <f t="shared" si="7"/>
        <v/>
      </c>
      <c r="X364" s="83"/>
    </row>
    <row r="365" spans="1:26" x14ac:dyDescent="0.25">
      <c r="A365" s="210"/>
      <c r="B365" s="248"/>
      <c r="C365" s="141" t="str">
        <f t="shared" si="7"/>
        <v/>
      </c>
      <c r="X365" s="83"/>
    </row>
    <row r="366" spans="1:26" x14ac:dyDescent="0.25">
      <c r="A366" s="210"/>
      <c r="B366" s="248"/>
      <c r="C366" s="141" t="str">
        <f t="shared" si="7"/>
        <v/>
      </c>
      <c r="U366" s="83"/>
    </row>
    <row r="367" spans="1:26" x14ac:dyDescent="0.25">
      <c r="A367" s="210"/>
      <c r="B367" s="248"/>
      <c r="C367" s="141" t="str">
        <f t="shared" si="7"/>
        <v/>
      </c>
      <c r="U367" s="83"/>
      <c r="Z367" s="88"/>
    </row>
    <row r="368" spans="1:26" x14ac:dyDescent="0.25">
      <c r="A368" s="210"/>
      <c r="B368" s="248"/>
      <c r="C368" s="141" t="str">
        <f t="shared" si="7"/>
        <v/>
      </c>
      <c r="U368" s="83"/>
    </row>
    <row r="369" spans="1:26" x14ac:dyDescent="0.25">
      <c r="A369" s="210"/>
      <c r="B369" s="248"/>
      <c r="C369" s="141" t="str">
        <f t="shared" si="7"/>
        <v/>
      </c>
      <c r="U369" s="83"/>
      <c r="Z369" s="88"/>
    </row>
    <row r="370" spans="1:26" x14ac:dyDescent="0.25">
      <c r="A370" s="210"/>
      <c r="B370" s="248"/>
      <c r="C370" s="141" t="str">
        <f t="shared" si="7"/>
        <v/>
      </c>
      <c r="T370" s="83"/>
    </row>
    <row r="371" spans="1:26" x14ac:dyDescent="0.25">
      <c r="A371" s="210"/>
      <c r="B371" s="248"/>
      <c r="C371" s="141" t="str">
        <f t="shared" si="7"/>
        <v/>
      </c>
      <c r="U371" s="83"/>
    </row>
    <row r="372" spans="1:26" x14ac:dyDescent="0.25">
      <c r="A372" s="210"/>
      <c r="B372" s="248"/>
      <c r="C372" s="141" t="str">
        <f t="shared" si="7"/>
        <v/>
      </c>
      <c r="U372" s="83"/>
    </row>
    <row r="373" spans="1:26" x14ac:dyDescent="0.25">
      <c r="A373" s="210"/>
      <c r="B373" s="248"/>
      <c r="C373" s="141" t="str">
        <f t="shared" si="7"/>
        <v/>
      </c>
      <c r="U373" s="83"/>
    </row>
    <row r="374" spans="1:26" x14ac:dyDescent="0.25">
      <c r="A374" s="210"/>
      <c r="B374" s="248"/>
      <c r="C374" s="141" t="str">
        <f t="shared" si="7"/>
        <v/>
      </c>
      <c r="U374" s="83"/>
    </row>
    <row r="375" spans="1:26" x14ac:dyDescent="0.25">
      <c r="A375" s="210"/>
      <c r="B375" s="248"/>
      <c r="C375" s="141" t="str">
        <f t="shared" si="7"/>
        <v/>
      </c>
      <c r="T375" s="83"/>
      <c r="Z375" s="83"/>
    </row>
    <row r="376" spans="1:26" x14ac:dyDescent="0.25">
      <c r="A376" s="210"/>
      <c r="B376" s="248"/>
      <c r="C376" s="141" t="str">
        <f t="shared" si="7"/>
        <v/>
      </c>
      <c r="T376" s="83"/>
      <c r="Z376" s="88"/>
    </row>
    <row r="377" spans="1:26" x14ac:dyDescent="0.25">
      <c r="A377" s="210"/>
      <c r="B377" s="248"/>
      <c r="C377" s="141" t="str">
        <f t="shared" si="7"/>
        <v/>
      </c>
      <c r="T377" s="83"/>
      <c r="Z377" s="88"/>
    </row>
    <row r="378" spans="1:26" x14ac:dyDescent="0.25">
      <c r="A378" s="210"/>
      <c r="B378" s="248"/>
      <c r="C378" s="141" t="str">
        <f t="shared" si="7"/>
        <v/>
      </c>
      <c r="T378" s="83"/>
      <c r="Z378" s="83"/>
    </row>
    <row r="379" spans="1:26" x14ac:dyDescent="0.25">
      <c r="A379" s="210"/>
      <c r="B379" s="248"/>
      <c r="C379" s="141" t="str">
        <f t="shared" si="7"/>
        <v/>
      </c>
      <c r="T379" s="83"/>
      <c r="Z379" s="88"/>
    </row>
    <row r="380" spans="1:26" x14ac:dyDescent="0.25">
      <c r="A380" s="210"/>
      <c r="B380" s="248"/>
      <c r="C380" s="141" t="str">
        <f t="shared" si="7"/>
        <v/>
      </c>
      <c r="U380" s="83"/>
      <c r="Z380" s="88"/>
    </row>
    <row r="381" spans="1:26" x14ac:dyDescent="0.25">
      <c r="A381" s="210"/>
      <c r="B381" s="248"/>
      <c r="C381" s="141" t="str">
        <f t="shared" si="7"/>
        <v/>
      </c>
      <c r="T381" s="83"/>
      <c r="Z381" s="83"/>
    </row>
    <row r="382" spans="1:26" x14ac:dyDescent="0.25">
      <c r="A382" s="210"/>
      <c r="B382" s="248"/>
      <c r="C382" s="141" t="str">
        <f t="shared" si="7"/>
        <v/>
      </c>
      <c r="T382" s="83"/>
      <c r="Z382" s="83"/>
    </row>
    <row r="383" spans="1:26" x14ac:dyDescent="0.25">
      <c r="A383" s="210"/>
      <c r="B383" s="248"/>
      <c r="C383" s="141" t="str">
        <f t="shared" si="7"/>
        <v/>
      </c>
      <c r="U383" s="83"/>
    </row>
    <row r="384" spans="1:26" x14ac:dyDescent="0.25">
      <c r="A384" s="210"/>
      <c r="B384" s="248"/>
      <c r="C384" s="141" t="str">
        <f t="shared" si="7"/>
        <v/>
      </c>
      <c r="U384" s="83"/>
    </row>
    <row r="385" spans="1:26" x14ac:dyDescent="0.25">
      <c r="A385" s="210"/>
      <c r="B385" s="248"/>
      <c r="C385" s="141" t="str">
        <f t="shared" si="7"/>
        <v/>
      </c>
      <c r="U385" s="83"/>
      <c r="Z385" s="88"/>
    </row>
    <row r="386" spans="1:26" x14ac:dyDescent="0.25">
      <c r="A386" s="210"/>
      <c r="B386" s="248"/>
      <c r="C386" s="141" t="str">
        <f t="shared" si="7"/>
        <v/>
      </c>
      <c r="U386" s="83"/>
    </row>
    <row r="387" spans="1:26" x14ac:dyDescent="0.25">
      <c r="A387" s="210"/>
      <c r="B387" s="248"/>
      <c r="C387" s="141" t="str">
        <f t="shared" si="7"/>
        <v/>
      </c>
      <c r="T387" s="83"/>
    </row>
    <row r="388" spans="1:26" x14ac:dyDescent="0.25">
      <c r="A388" s="210"/>
      <c r="B388" s="248"/>
      <c r="C388" s="141" t="str">
        <f t="shared" si="7"/>
        <v/>
      </c>
    </row>
    <row r="389" spans="1:26" x14ac:dyDescent="0.25">
      <c r="A389" s="210"/>
      <c r="B389" s="248"/>
      <c r="C389" s="141" t="str">
        <f t="shared" si="7"/>
        <v/>
      </c>
    </row>
    <row r="390" spans="1:26" x14ac:dyDescent="0.25">
      <c r="A390" s="210"/>
      <c r="B390" s="248"/>
      <c r="C390" s="141" t="str">
        <f t="shared" si="7"/>
        <v/>
      </c>
    </row>
    <row r="391" spans="1:26" x14ac:dyDescent="0.25">
      <c r="A391" s="210"/>
      <c r="B391" s="248"/>
      <c r="C391" s="141" t="str">
        <f t="shared" si="7"/>
        <v/>
      </c>
    </row>
    <row r="392" spans="1:26" x14ac:dyDescent="0.25">
      <c r="A392" s="210"/>
      <c r="B392" s="248"/>
      <c r="C392" s="141" t="str">
        <f t="shared" si="7"/>
        <v/>
      </c>
    </row>
    <row r="393" spans="1:26" x14ac:dyDescent="0.25">
      <c r="A393" s="210"/>
      <c r="B393" s="248"/>
      <c r="C393" s="141" t="str">
        <f t="shared" si="7"/>
        <v/>
      </c>
    </row>
    <row r="394" spans="1:26" x14ac:dyDescent="0.25">
      <c r="A394" s="210"/>
      <c r="B394" s="248"/>
      <c r="C394" s="141" t="str">
        <f t="shared" si="7"/>
        <v/>
      </c>
    </row>
    <row r="395" spans="1:26" x14ac:dyDescent="0.25">
      <c r="A395" s="210"/>
      <c r="B395" s="248"/>
      <c r="C395" s="141" t="str">
        <f t="shared" si="7"/>
        <v/>
      </c>
    </row>
    <row r="396" spans="1:26" x14ac:dyDescent="0.25">
      <c r="A396" s="210"/>
      <c r="B396" s="248"/>
      <c r="C396" s="141" t="str">
        <f t="shared" si="7"/>
        <v/>
      </c>
    </row>
    <row r="397" spans="1:26" x14ac:dyDescent="0.25">
      <c r="A397" s="210"/>
      <c r="B397" s="248"/>
      <c r="C397" s="141" t="str">
        <f t="shared" si="7"/>
        <v/>
      </c>
    </row>
    <row r="398" spans="1:26" x14ac:dyDescent="0.25">
      <c r="A398" s="210"/>
      <c r="B398" s="248"/>
      <c r="C398" s="141" t="str">
        <f t="shared" si="7"/>
        <v/>
      </c>
    </row>
    <row r="399" spans="1:26" x14ac:dyDescent="0.25">
      <c r="A399" s="210"/>
      <c r="B399" s="248"/>
      <c r="C399" s="141" t="str">
        <f t="shared" si="7"/>
        <v/>
      </c>
    </row>
    <row r="400" spans="1:26" x14ac:dyDescent="0.25">
      <c r="A400" s="210"/>
      <c r="B400" s="248"/>
      <c r="C400" s="141" t="str">
        <f t="shared" si="7"/>
        <v/>
      </c>
    </row>
    <row r="401" spans="1:3" x14ac:dyDescent="0.25">
      <c r="A401" s="210"/>
      <c r="B401" s="248"/>
      <c r="C401" s="141" t="str">
        <f t="shared" si="7"/>
        <v/>
      </c>
    </row>
    <row r="402" spans="1:3" x14ac:dyDescent="0.25">
      <c r="A402" s="210"/>
      <c r="B402" s="248"/>
      <c r="C402" s="141" t="str">
        <f t="shared" si="7"/>
        <v/>
      </c>
    </row>
    <row r="403" spans="1:3" x14ac:dyDescent="0.25">
      <c r="A403" s="210"/>
      <c r="B403" s="248"/>
      <c r="C403" s="141" t="str">
        <f t="shared" si="7"/>
        <v/>
      </c>
    </row>
    <row r="404" spans="1:3" x14ac:dyDescent="0.25">
      <c r="A404" s="210"/>
      <c r="B404" s="248"/>
      <c r="C404" s="141" t="str">
        <f t="shared" si="7"/>
        <v/>
      </c>
    </row>
    <row r="405" spans="1:3" x14ac:dyDescent="0.25">
      <c r="A405" s="210"/>
      <c r="B405" s="248"/>
      <c r="C405" s="141" t="str">
        <f t="shared" si="7"/>
        <v/>
      </c>
    </row>
    <row r="406" spans="1:3" x14ac:dyDescent="0.25">
      <c r="A406" s="210"/>
      <c r="B406" s="248"/>
      <c r="C406" s="141" t="str">
        <f t="shared" si="7"/>
        <v/>
      </c>
    </row>
    <row r="407" spans="1:3" x14ac:dyDescent="0.25">
      <c r="A407" s="210"/>
      <c r="B407" s="248"/>
      <c r="C407" s="141" t="str">
        <f t="shared" si="7"/>
        <v/>
      </c>
    </row>
    <row r="408" spans="1:3" x14ac:dyDescent="0.25">
      <c r="A408" s="210"/>
      <c r="B408" s="248"/>
      <c r="C408" s="141" t="str">
        <f t="shared" si="7"/>
        <v/>
      </c>
    </row>
    <row r="409" spans="1:3" x14ac:dyDescent="0.25">
      <c r="A409" s="210"/>
      <c r="B409" s="248"/>
      <c r="C409" s="141" t="str">
        <f t="shared" si="7"/>
        <v/>
      </c>
    </row>
    <row r="410" spans="1:3" x14ac:dyDescent="0.25">
      <c r="A410" s="210"/>
      <c r="B410" s="248"/>
      <c r="C410" s="141" t="str">
        <f t="shared" si="7"/>
        <v/>
      </c>
    </row>
    <row r="411" spans="1:3" x14ac:dyDescent="0.25">
      <c r="A411" s="210"/>
      <c r="B411" s="248"/>
      <c r="C411" s="141" t="str">
        <f t="shared" ref="C411:C474" si="8">+IFERROR(IF(B411="","",(VLOOKUP(B411,$F$2:$H$55,3,0))),"State Wrong")</f>
        <v/>
      </c>
    </row>
    <row r="412" spans="1:3" x14ac:dyDescent="0.25">
      <c r="A412" s="210"/>
      <c r="B412" s="248"/>
      <c r="C412" s="141" t="str">
        <f t="shared" si="8"/>
        <v/>
      </c>
    </row>
    <row r="413" spans="1:3" x14ac:dyDescent="0.25">
      <c r="A413" s="210"/>
      <c r="B413" s="248"/>
      <c r="C413" s="141" t="str">
        <f t="shared" si="8"/>
        <v/>
      </c>
    </row>
    <row r="414" spans="1:3" x14ac:dyDescent="0.25">
      <c r="A414" s="210"/>
      <c r="B414" s="248"/>
      <c r="C414" s="141" t="str">
        <f t="shared" si="8"/>
        <v/>
      </c>
    </row>
    <row r="415" spans="1:3" x14ac:dyDescent="0.25">
      <c r="A415" s="210"/>
      <c r="B415" s="248"/>
      <c r="C415" s="141" t="str">
        <f t="shared" si="8"/>
        <v/>
      </c>
    </row>
    <row r="416" spans="1:3" x14ac:dyDescent="0.25">
      <c r="A416" s="210"/>
      <c r="B416" s="248"/>
      <c r="C416" s="141" t="str">
        <f t="shared" si="8"/>
        <v/>
      </c>
    </row>
    <row r="417" spans="1:3" x14ac:dyDescent="0.25">
      <c r="A417" s="210"/>
      <c r="B417" s="248"/>
      <c r="C417" s="141" t="str">
        <f t="shared" si="8"/>
        <v/>
      </c>
    </row>
    <row r="418" spans="1:3" x14ac:dyDescent="0.25">
      <c r="A418" s="210"/>
      <c r="B418" s="248"/>
      <c r="C418" s="141" t="str">
        <f t="shared" si="8"/>
        <v/>
      </c>
    </row>
    <row r="419" spans="1:3" x14ac:dyDescent="0.25">
      <c r="A419" s="210"/>
      <c r="B419" s="248"/>
      <c r="C419" s="141" t="str">
        <f t="shared" si="8"/>
        <v/>
      </c>
    </row>
    <row r="420" spans="1:3" x14ac:dyDescent="0.25">
      <c r="A420" s="210"/>
      <c r="B420" s="248"/>
      <c r="C420" s="141" t="str">
        <f t="shared" si="8"/>
        <v/>
      </c>
    </row>
    <row r="421" spans="1:3" x14ac:dyDescent="0.25">
      <c r="A421" s="210"/>
      <c r="B421" s="248"/>
      <c r="C421" s="141" t="str">
        <f t="shared" si="8"/>
        <v/>
      </c>
    </row>
    <row r="422" spans="1:3" x14ac:dyDescent="0.25">
      <c r="A422" s="210"/>
      <c r="B422" s="248"/>
      <c r="C422" s="141" t="str">
        <f t="shared" si="8"/>
        <v/>
      </c>
    </row>
    <row r="423" spans="1:3" x14ac:dyDescent="0.25">
      <c r="A423" s="210"/>
      <c r="B423" s="248"/>
      <c r="C423" s="141" t="str">
        <f t="shared" si="8"/>
        <v/>
      </c>
    </row>
    <row r="424" spans="1:3" x14ac:dyDescent="0.25">
      <c r="A424" s="210"/>
      <c r="B424" s="248"/>
      <c r="C424" s="141" t="str">
        <f t="shared" si="8"/>
        <v/>
      </c>
    </row>
    <row r="425" spans="1:3" x14ac:dyDescent="0.25">
      <c r="A425" s="210"/>
      <c r="B425" s="248"/>
      <c r="C425" s="141" t="str">
        <f t="shared" si="8"/>
        <v/>
      </c>
    </row>
    <row r="426" spans="1:3" x14ac:dyDescent="0.25">
      <c r="A426" s="210"/>
      <c r="B426" s="248"/>
      <c r="C426" s="141" t="str">
        <f t="shared" si="8"/>
        <v/>
      </c>
    </row>
    <row r="427" spans="1:3" x14ac:dyDescent="0.25">
      <c r="A427" s="210"/>
      <c r="B427" s="248"/>
      <c r="C427" s="141" t="str">
        <f t="shared" si="8"/>
        <v/>
      </c>
    </row>
    <row r="428" spans="1:3" x14ac:dyDescent="0.25">
      <c r="A428" s="210"/>
      <c r="B428" s="248"/>
      <c r="C428" s="141" t="str">
        <f t="shared" si="8"/>
        <v/>
      </c>
    </row>
    <row r="429" spans="1:3" x14ac:dyDescent="0.25">
      <c r="A429" s="210"/>
      <c r="B429" s="248"/>
      <c r="C429" s="141" t="str">
        <f t="shared" si="8"/>
        <v/>
      </c>
    </row>
    <row r="430" spans="1:3" x14ac:dyDescent="0.25">
      <c r="A430" s="210"/>
      <c r="B430" s="248"/>
      <c r="C430" s="141" t="str">
        <f t="shared" si="8"/>
        <v/>
      </c>
    </row>
    <row r="431" spans="1:3" x14ac:dyDescent="0.25">
      <c r="A431" s="210"/>
      <c r="B431" s="248"/>
      <c r="C431" s="141" t="str">
        <f t="shared" si="8"/>
        <v/>
      </c>
    </row>
    <row r="432" spans="1:3" x14ac:dyDescent="0.25">
      <c r="A432" s="210"/>
      <c r="B432" s="248"/>
      <c r="C432" s="141" t="str">
        <f t="shared" si="8"/>
        <v/>
      </c>
    </row>
    <row r="433" spans="1:3" x14ac:dyDescent="0.25">
      <c r="A433" s="210"/>
      <c r="B433" s="248"/>
      <c r="C433" s="141" t="str">
        <f t="shared" si="8"/>
        <v/>
      </c>
    </row>
    <row r="434" spans="1:3" x14ac:dyDescent="0.25">
      <c r="A434" s="210"/>
      <c r="B434" s="248"/>
      <c r="C434" s="141" t="str">
        <f t="shared" si="8"/>
        <v/>
      </c>
    </row>
    <row r="435" spans="1:3" x14ac:dyDescent="0.25">
      <c r="A435" s="210"/>
      <c r="B435" s="248"/>
      <c r="C435" s="141" t="str">
        <f t="shared" si="8"/>
        <v/>
      </c>
    </row>
    <row r="436" spans="1:3" x14ac:dyDescent="0.25">
      <c r="A436" s="210"/>
      <c r="B436" s="248"/>
      <c r="C436" s="141" t="str">
        <f t="shared" si="8"/>
        <v/>
      </c>
    </row>
    <row r="437" spans="1:3" x14ac:dyDescent="0.25">
      <c r="A437" s="210"/>
      <c r="B437" s="248"/>
      <c r="C437" s="141" t="str">
        <f t="shared" si="8"/>
        <v/>
      </c>
    </row>
    <row r="438" spans="1:3" x14ac:dyDescent="0.25">
      <c r="A438" s="210"/>
      <c r="B438" s="248"/>
      <c r="C438" s="141" t="str">
        <f t="shared" si="8"/>
        <v/>
      </c>
    </row>
    <row r="439" spans="1:3" x14ac:dyDescent="0.25">
      <c r="A439" s="210"/>
      <c r="B439" s="248"/>
      <c r="C439" s="141" t="str">
        <f t="shared" si="8"/>
        <v/>
      </c>
    </row>
    <row r="440" spans="1:3" x14ac:dyDescent="0.25">
      <c r="A440" s="210"/>
      <c r="B440" s="248"/>
      <c r="C440" s="141" t="str">
        <f t="shared" si="8"/>
        <v/>
      </c>
    </row>
    <row r="441" spans="1:3" x14ac:dyDescent="0.25">
      <c r="A441" s="210"/>
      <c r="B441" s="248"/>
      <c r="C441" s="141" t="str">
        <f t="shared" si="8"/>
        <v/>
      </c>
    </row>
    <row r="442" spans="1:3" x14ac:dyDescent="0.25">
      <c r="A442" s="210"/>
      <c r="B442" s="248"/>
      <c r="C442" s="141" t="str">
        <f t="shared" si="8"/>
        <v/>
      </c>
    </row>
    <row r="443" spans="1:3" x14ac:dyDescent="0.25">
      <c r="A443" s="210"/>
      <c r="B443" s="248"/>
      <c r="C443" s="141" t="str">
        <f t="shared" si="8"/>
        <v/>
      </c>
    </row>
    <row r="444" spans="1:3" x14ac:dyDescent="0.25">
      <c r="A444" s="210"/>
      <c r="B444" s="248"/>
      <c r="C444" s="141" t="str">
        <f t="shared" si="8"/>
        <v/>
      </c>
    </row>
    <row r="445" spans="1:3" x14ac:dyDescent="0.25">
      <c r="A445" s="210"/>
      <c r="B445" s="248"/>
      <c r="C445" s="141" t="str">
        <f t="shared" si="8"/>
        <v/>
      </c>
    </row>
    <row r="446" spans="1:3" x14ac:dyDescent="0.25">
      <c r="A446" s="210"/>
      <c r="B446" s="248"/>
      <c r="C446" s="141" t="str">
        <f t="shared" si="8"/>
        <v/>
      </c>
    </row>
    <row r="447" spans="1:3" x14ac:dyDescent="0.25">
      <c r="A447" s="210"/>
      <c r="B447" s="248"/>
      <c r="C447" s="141" t="str">
        <f t="shared" si="8"/>
        <v/>
      </c>
    </row>
    <row r="448" spans="1:3" x14ac:dyDescent="0.25">
      <c r="A448" s="210"/>
      <c r="B448" s="248"/>
      <c r="C448" s="141" t="str">
        <f t="shared" si="8"/>
        <v/>
      </c>
    </row>
    <row r="449" spans="1:3" x14ac:dyDescent="0.25">
      <c r="A449" s="210"/>
      <c r="B449" s="248"/>
      <c r="C449" s="141" t="str">
        <f t="shared" si="8"/>
        <v/>
      </c>
    </row>
    <row r="450" spans="1:3" x14ac:dyDescent="0.25">
      <c r="A450" s="210"/>
      <c r="B450" s="248"/>
      <c r="C450" s="141" t="str">
        <f t="shared" si="8"/>
        <v/>
      </c>
    </row>
    <row r="451" spans="1:3" x14ac:dyDescent="0.25">
      <c r="A451" s="210"/>
      <c r="B451" s="248"/>
      <c r="C451" s="141" t="str">
        <f t="shared" si="8"/>
        <v/>
      </c>
    </row>
    <row r="452" spans="1:3" x14ac:dyDescent="0.25">
      <c r="A452" s="210"/>
      <c r="B452" s="248"/>
      <c r="C452" s="141" t="str">
        <f t="shared" si="8"/>
        <v/>
      </c>
    </row>
    <row r="453" spans="1:3" x14ac:dyDescent="0.25">
      <c r="A453" s="210"/>
      <c r="B453" s="248"/>
      <c r="C453" s="141" t="str">
        <f t="shared" si="8"/>
        <v/>
      </c>
    </row>
    <row r="454" spans="1:3" x14ac:dyDescent="0.25">
      <c r="A454" s="210"/>
      <c r="B454" s="248"/>
      <c r="C454" s="141" t="str">
        <f t="shared" si="8"/>
        <v/>
      </c>
    </row>
    <row r="455" spans="1:3" x14ac:dyDescent="0.25">
      <c r="A455" s="210"/>
      <c r="B455" s="248"/>
      <c r="C455" s="141" t="str">
        <f t="shared" si="8"/>
        <v/>
      </c>
    </row>
    <row r="456" spans="1:3" x14ac:dyDescent="0.25">
      <c r="A456" s="210"/>
      <c r="B456" s="248"/>
      <c r="C456" s="141" t="str">
        <f t="shared" si="8"/>
        <v/>
      </c>
    </row>
    <row r="457" spans="1:3" x14ac:dyDescent="0.25">
      <c r="A457" s="210"/>
      <c r="B457" s="248"/>
      <c r="C457" s="141" t="str">
        <f t="shared" si="8"/>
        <v/>
      </c>
    </row>
    <row r="458" spans="1:3" x14ac:dyDescent="0.25">
      <c r="A458" s="210"/>
      <c r="B458" s="248"/>
      <c r="C458" s="141" t="str">
        <f t="shared" si="8"/>
        <v/>
      </c>
    </row>
    <row r="459" spans="1:3" x14ac:dyDescent="0.25">
      <c r="A459" s="210"/>
      <c r="B459" s="248"/>
      <c r="C459" s="141" t="str">
        <f t="shared" si="8"/>
        <v/>
      </c>
    </row>
    <row r="460" spans="1:3" x14ac:dyDescent="0.25">
      <c r="A460" s="210"/>
      <c r="B460" s="248"/>
      <c r="C460" s="141" t="str">
        <f t="shared" si="8"/>
        <v/>
      </c>
    </row>
    <row r="461" spans="1:3" x14ac:dyDescent="0.25">
      <c r="A461" s="210"/>
      <c r="B461" s="248"/>
      <c r="C461" s="141" t="str">
        <f t="shared" si="8"/>
        <v/>
      </c>
    </row>
    <row r="462" spans="1:3" x14ac:dyDescent="0.25">
      <c r="A462" s="210"/>
      <c r="B462" s="248"/>
      <c r="C462" s="141" t="str">
        <f t="shared" si="8"/>
        <v/>
      </c>
    </row>
    <row r="463" spans="1:3" x14ac:dyDescent="0.25">
      <c r="A463" s="210"/>
      <c r="B463" s="248"/>
      <c r="C463" s="141" t="str">
        <f t="shared" si="8"/>
        <v/>
      </c>
    </row>
    <row r="464" spans="1:3" x14ac:dyDescent="0.25">
      <c r="A464" s="210"/>
      <c r="B464" s="248"/>
      <c r="C464" s="141" t="str">
        <f t="shared" si="8"/>
        <v/>
      </c>
    </row>
    <row r="465" spans="1:3" x14ac:dyDescent="0.25">
      <c r="A465" s="210"/>
      <c r="B465" s="248"/>
      <c r="C465" s="141" t="str">
        <f t="shared" si="8"/>
        <v/>
      </c>
    </row>
    <row r="466" spans="1:3" x14ac:dyDescent="0.25">
      <c r="A466" s="210"/>
      <c r="B466" s="248"/>
      <c r="C466" s="141" t="str">
        <f t="shared" si="8"/>
        <v/>
      </c>
    </row>
    <row r="467" spans="1:3" x14ac:dyDescent="0.25">
      <c r="A467" s="210"/>
      <c r="B467" s="248"/>
      <c r="C467" s="141" t="str">
        <f t="shared" si="8"/>
        <v/>
      </c>
    </row>
    <row r="468" spans="1:3" x14ac:dyDescent="0.25">
      <c r="A468" s="210"/>
      <c r="B468" s="248"/>
      <c r="C468" s="141" t="str">
        <f t="shared" si="8"/>
        <v/>
      </c>
    </row>
    <row r="469" spans="1:3" x14ac:dyDescent="0.25">
      <c r="A469" s="210"/>
      <c r="B469" s="248"/>
      <c r="C469" s="141" t="str">
        <f t="shared" si="8"/>
        <v/>
      </c>
    </row>
    <row r="470" spans="1:3" x14ac:dyDescent="0.25">
      <c r="A470" s="210"/>
      <c r="B470" s="248"/>
      <c r="C470" s="141" t="str">
        <f t="shared" si="8"/>
        <v/>
      </c>
    </row>
    <row r="471" spans="1:3" x14ac:dyDescent="0.25">
      <c r="A471" s="210"/>
      <c r="B471" s="248"/>
      <c r="C471" s="141" t="str">
        <f t="shared" si="8"/>
        <v/>
      </c>
    </row>
    <row r="472" spans="1:3" x14ac:dyDescent="0.25">
      <c r="A472" s="210"/>
      <c r="B472" s="248"/>
      <c r="C472" s="141" t="str">
        <f t="shared" si="8"/>
        <v/>
      </c>
    </row>
    <row r="473" spans="1:3" x14ac:dyDescent="0.25">
      <c r="A473" s="210"/>
      <c r="B473" s="248"/>
      <c r="C473" s="141" t="str">
        <f t="shared" si="8"/>
        <v/>
      </c>
    </row>
    <row r="474" spans="1:3" x14ac:dyDescent="0.25">
      <c r="A474" s="210"/>
      <c r="B474" s="248"/>
      <c r="C474" s="141" t="str">
        <f t="shared" si="8"/>
        <v/>
      </c>
    </row>
    <row r="475" spans="1:3" x14ac:dyDescent="0.25">
      <c r="A475" s="210"/>
      <c r="B475" s="248"/>
      <c r="C475" s="141" t="str">
        <f t="shared" ref="C475:C528" si="9">+IFERROR(IF(B475="","",(VLOOKUP(B475,$F$2:$H$55,3,0))),"State Wrong")</f>
        <v/>
      </c>
    </row>
    <row r="476" spans="1:3" x14ac:dyDescent="0.25">
      <c r="A476" s="210"/>
      <c r="B476" s="248"/>
      <c r="C476" s="141" t="str">
        <f t="shared" si="9"/>
        <v/>
      </c>
    </row>
    <row r="477" spans="1:3" x14ac:dyDescent="0.25">
      <c r="A477" s="210"/>
      <c r="B477" s="248"/>
      <c r="C477" s="141" t="str">
        <f t="shared" si="9"/>
        <v/>
      </c>
    </row>
    <row r="478" spans="1:3" x14ac:dyDescent="0.25">
      <c r="A478" s="210"/>
      <c r="B478" s="248"/>
      <c r="C478" s="141" t="str">
        <f t="shared" si="9"/>
        <v/>
      </c>
    </row>
    <row r="479" spans="1:3" x14ac:dyDescent="0.25">
      <c r="A479" s="210"/>
      <c r="B479" s="248"/>
      <c r="C479" s="141" t="str">
        <f t="shared" si="9"/>
        <v/>
      </c>
    </row>
    <row r="480" spans="1:3" x14ac:dyDescent="0.25">
      <c r="A480" s="210"/>
      <c r="B480" s="248"/>
      <c r="C480" s="141" t="str">
        <f t="shared" si="9"/>
        <v/>
      </c>
    </row>
    <row r="481" spans="1:3" x14ac:dyDescent="0.25">
      <c r="A481" s="210"/>
      <c r="B481" s="248"/>
      <c r="C481" s="141" t="str">
        <f t="shared" si="9"/>
        <v/>
      </c>
    </row>
    <row r="482" spans="1:3" x14ac:dyDescent="0.25">
      <c r="A482" s="210"/>
      <c r="B482" s="248"/>
      <c r="C482" s="141" t="str">
        <f t="shared" si="9"/>
        <v/>
      </c>
    </row>
    <row r="483" spans="1:3" x14ac:dyDescent="0.25">
      <c r="A483" s="210"/>
      <c r="B483" s="248"/>
      <c r="C483" s="141" t="str">
        <f t="shared" si="9"/>
        <v/>
      </c>
    </row>
    <row r="484" spans="1:3" x14ac:dyDescent="0.25">
      <c r="A484" s="210"/>
      <c r="B484" s="248"/>
      <c r="C484" s="141" t="str">
        <f t="shared" si="9"/>
        <v/>
      </c>
    </row>
    <row r="485" spans="1:3" x14ac:dyDescent="0.25">
      <c r="A485" s="210"/>
      <c r="B485" s="248"/>
      <c r="C485" s="141" t="str">
        <f t="shared" si="9"/>
        <v/>
      </c>
    </row>
    <row r="486" spans="1:3" x14ac:dyDescent="0.25">
      <c r="A486" s="210"/>
      <c r="B486" s="248"/>
      <c r="C486" s="141" t="str">
        <f t="shared" si="9"/>
        <v/>
      </c>
    </row>
    <row r="487" spans="1:3" x14ac:dyDescent="0.25">
      <c r="A487" s="210"/>
      <c r="B487" s="248"/>
      <c r="C487" s="141" t="str">
        <f t="shared" si="9"/>
        <v/>
      </c>
    </row>
    <row r="488" spans="1:3" x14ac:dyDescent="0.25">
      <c r="A488" s="210"/>
      <c r="B488" s="248"/>
      <c r="C488" s="141" t="str">
        <f t="shared" si="9"/>
        <v/>
      </c>
    </row>
    <row r="489" spans="1:3" x14ac:dyDescent="0.25">
      <c r="A489" s="210"/>
      <c r="B489" s="248"/>
      <c r="C489" s="141" t="str">
        <f t="shared" si="9"/>
        <v/>
      </c>
    </row>
    <row r="490" spans="1:3" x14ac:dyDescent="0.25">
      <c r="A490" s="210"/>
      <c r="B490" s="248"/>
      <c r="C490" s="141" t="str">
        <f t="shared" si="9"/>
        <v/>
      </c>
    </row>
    <row r="491" spans="1:3" x14ac:dyDescent="0.25">
      <c r="A491" s="210"/>
      <c r="B491" s="248"/>
      <c r="C491" s="141" t="str">
        <f t="shared" si="9"/>
        <v/>
      </c>
    </row>
    <row r="492" spans="1:3" x14ac:dyDescent="0.25">
      <c r="A492" s="210"/>
      <c r="B492" s="248"/>
      <c r="C492" s="141" t="str">
        <f t="shared" si="9"/>
        <v/>
      </c>
    </row>
    <row r="493" spans="1:3" x14ac:dyDescent="0.25">
      <c r="A493" s="210"/>
      <c r="B493" s="248"/>
      <c r="C493" s="141" t="str">
        <f t="shared" si="9"/>
        <v/>
      </c>
    </row>
    <row r="494" spans="1:3" x14ac:dyDescent="0.25">
      <c r="A494" s="210"/>
      <c r="B494" s="248"/>
      <c r="C494" s="141" t="str">
        <f t="shared" si="9"/>
        <v/>
      </c>
    </row>
    <row r="495" spans="1:3" x14ac:dyDescent="0.25">
      <c r="A495" s="210"/>
      <c r="B495" s="248"/>
      <c r="C495" s="141" t="str">
        <f t="shared" si="9"/>
        <v/>
      </c>
    </row>
    <row r="496" spans="1:3" x14ac:dyDescent="0.25">
      <c r="A496" s="210"/>
      <c r="B496" s="248"/>
      <c r="C496" s="141" t="str">
        <f t="shared" si="9"/>
        <v/>
      </c>
    </row>
    <row r="497" spans="1:3" x14ac:dyDescent="0.25">
      <c r="A497" s="210"/>
      <c r="B497" s="248"/>
      <c r="C497" s="141" t="str">
        <f t="shared" si="9"/>
        <v/>
      </c>
    </row>
    <row r="498" spans="1:3" x14ac:dyDescent="0.25">
      <c r="A498" s="210"/>
      <c r="B498" s="248"/>
      <c r="C498" s="141" t="str">
        <f t="shared" si="9"/>
        <v/>
      </c>
    </row>
    <row r="499" spans="1:3" x14ac:dyDescent="0.25">
      <c r="A499" s="210"/>
      <c r="B499" s="248"/>
      <c r="C499" s="141" t="str">
        <f t="shared" si="9"/>
        <v/>
      </c>
    </row>
    <row r="500" spans="1:3" x14ac:dyDescent="0.25">
      <c r="A500" s="210"/>
      <c r="B500" s="248"/>
      <c r="C500" s="141" t="str">
        <f t="shared" si="9"/>
        <v/>
      </c>
    </row>
    <row r="501" spans="1:3" x14ac:dyDescent="0.25">
      <c r="A501" s="210"/>
      <c r="B501" s="248"/>
      <c r="C501" s="141" t="str">
        <f t="shared" si="9"/>
        <v/>
      </c>
    </row>
    <row r="502" spans="1:3" x14ac:dyDescent="0.25">
      <c r="A502" s="210"/>
      <c r="B502" s="248"/>
      <c r="C502" s="141" t="str">
        <f t="shared" si="9"/>
        <v/>
      </c>
    </row>
    <row r="503" spans="1:3" x14ac:dyDescent="0.25">
      <c r="A503" s="210"/>
      <c r="B503" s="248"/>
      <c r="C503" s="141" t="str">
        <f t="shared" si="9"/>
        <v/>
      </c>
    </row>
    <row r="504" spans="1:3" x14ac:dyDescent="0.25">
      <c r="A504" s="210"/>
      <c r="B504" s="248"/>
      <c r="C504" s="141" t="str">
        <f t="shared" si="9"/>
        <v/>
      </c>
    </row>
    <row r="505" spans="1:3" x14ac:dyDescent="0.25">
      <c r="A505" s="210"/>
      <c r="B505" s="248"/>
      <c r="C505" s="141" t="str">
        <f t="shared" si="9"/>
        <v/>
      </c>
    </row>
    <row r="506" spans="1:3" x14ac:dyDescent="0.25">
      <c r="A506" s="210"/>
      <c r="B506" s="248"/>
      <c r="C506" s="141" t="str">
        <f t="shared" si="9"/>
        <v/>
      </c>
    </row>
    <row r="507" spans="1:3" x14ac:dyDescent="0.25">
      <c r="A507" s="210"/>
      <c r="B507" s="248"/>
      <c r="C507" s="141" t="str">
        <f t="shared" si="9"/>
        <v/>
      </c>
    </row>
    <row r="508" spans="1:3" x14ac:dyDescent="0.25">
      <c r="A508" s="210"/>
      <c r="B508" s="248"/>
      <c r="C508" s="141" t="str">
        <f t="shared" si="9"/>
        <v/>
      </c>
    </row>
    <row r="509" spans="1:3" x14ac:dyDescent="0.25">
      <c r="A509" s="210"/>
      <c r="B509" s="248"/>
      <c r="C509" s="141" t="str">
        <f t="shared" si="9"/>
        <v/>
      </c>
    </row>
    <row r="510" spans="1:3" x14ac:dyDescent="0.25">
      <c r="A510" s="210"/>
      <c r="B510" s="248"/>
      <c r="C510" s="141" t="str">
        <f t="shared" si="9"/>
        <v/>
      </c>
    </row>
    <row r="511" spans="1:3" x14ac:dyDescent="0.25">
      <c r="A511" s="210"/>
      <c r="B511" s="248"/>
      <c r="C511" s="141" t="str">
        <f t="shared" si="9"/>
        <v/>
      </c>
    </row>
    <row r="512" spans="1:3" x14ac:dyDescent="0.25">
      <c r="A512" s="210"/>
      <c r="B512" s="248"/>
      <c r="C512" s="141" t="str">
        <f t="shared" si="9"/>
        <v/>
      </c>
    </row>
    <row r="513" spans="1:3" x14ac:dyDescent="0.25">
      <c r="A513" s="210"/>
      <c r="B513" s="248"/>
      <c r="C513" s="141" t="str">
        <f t="shared" si="9"/>
        <v/>
      </c>
    </row>
    <row r="514" spans="1:3" x14ac:dyDescent="0.25">
      <c r="A514" s="210"/>
      <c r="B514" s="248"/>
      <c r="C514" s="141" t="str">
        <f t="shared" si="9"/>
        <v/>
      </c>
    </row>
    <row r="515" spans="1:3" x14ac:dyDescent="0.25">
      <c r="A515" s="210"/>
      <c r="B515" s="248"/>
      <c r="C515" s="141" t="str">
        <f t="shared" si="9"/>
        <v/>
      </c>
    </row>
    <row r="516" spans="1:3" x14ac:dyDescent="0.25">
      <c r="A516" s="210"/>
      <c r="B516" s="248"/>
      <c r="C516" s="141" t="str">
        <f t="shared" si="9"/>
        <v/>
      </c>
    </row>
    <row r="517" spans="1:3" x14ac:dyDescent="0.25">
      <c r="A517" s="210"/>
      <c r="B517" s="248"/>
      <c r="C517" s="141" t="str">
        <f t="shared" si="9"/>
        <v/>
      </c>
    </row>
    <row r="518" spans="1:3" x14ac:dyDescent="0.25">
      <c r="A518" s="210"/>
      <c r="B518" s="248"/>
      <c r="C518" s="141" t="str">
        <f t="shared" si="9"/>
        <v/>
      </c>
    </row>
    <row r="519" spans="1:3" x14ac:dyDescent="0.25">
      <c r="A519" s="210"/>
      <c r="B519" s="248"/>
      <c r="C519" s="141" t="str">
        <f t="shared" si="9"/>
        <v/>
      </c>
    </row>
    <row r="520" spans="1:3" x14ac:dyDescent="0.25">
      <c r="A520" s="210"/>
      <c r="B520" s="248"/>
      <c r="C520" s="141" t="str">
        <f t="shared" si="9"/>
        <v/>
      </c>
    </row>
    <row r="521" spans="1:3" x14ac:dyDescent="0.25">
      <c r="A521" s="210"/>
      <c r="B521" s="248"/>
      <c r="C521" s="141" t="str">
        <f t="shared" si="9"/>
        <v/>
      </c>
    </row>
    <row r="522" spans="1:3" x14ac:dyDescent="0.25">
      <c r="A522" s="210"/>
      <c r="B522" s="248"/>
      <c r="C522" s="141" t="str">
        <f t="shared" si="9"/>
        <v/>
      </c>
    </row>
    <row r="523" spans="1:3" x14ac:dyDescent="0.25">
      <c r="A523" s="210"/>
      <c r="B523" s="248"/>
      <c r="C523" s="141" t="str">
        <f t="shared" si="9"/>
        <v/>
      </c>
    </row>
    <row r="524" spans="1:3" x14ac:dyDescent="0.25">
      <c r="A524" s="210"/>
      <c r="B524" s="248"/>
      <c r="C524" s="141" t="str">
        <f t="shared" si="9"/>
        <v/>
      </c>
    </row>
    <row r="525" spans="1:3" x14ac:dyDescent="0.25">
      <c r="A525" s="210"/>
      <c r="B525" s="248"/>
      <c r="C525" s="141" t="str">
        <f t="shared" si="9"/>
        <v/>
      </c>
    </row>
    <row r="526" spans="1:3" x14ac:dyDescent="0.25">
      <c r="A526" s="210"/>
      <c r="B526" s="248"/>
      <c r="C526" s="141" t="str">
        <f t="shared" si="9"/>
        <v/>
      </c>
    </row>
    <row r="527" spans="1:3" x14ac:dyDescent="0.25">
      <c r="A527" s="210"/>
      <c r="B527" s="248"/>
      <c r="C527" s="141" t="str">
        <f t="shared" si="9"/>
        <v/>
      </c>
    </row>
    <row r="528" spans="1:3" x14ac:dyDescent="0.25">
      <c r="A528" s="210"/>
      <c r="B528" s="248"/>
      <c r="C528" s="141" t="str">
        <f t="shared" si="9"/>
        <v/>
      </c>
    </row>
    <row r="529" spans="3:4" x14ac:dyDescent="0.25">
      <c r="C529" s="141">
        <v>28</v>
      </c>
      <c r="D529" s="16">
        <v>28288</v>
      </c>
    </row>
    <row r="530" spans="3:4" x14ac:dyDescent="0.25">
      <c r="C530" s="141">
        <v>12</v>
      </c>
      <c r="D530" s="16">
        <v>1212</v>
      </c>
    </row>
    <row r="531" spans="3:4" x14ac:dyDescent="0.25">
      <c r="C531" s="141">
        <v>5</v>
      </c>
      <c r="D531" s="16">
        <v>55</v>
      </c>
    </row>
    <row r="532" spans="3:4" x14ac:dyDescent="0.25">
      <c r="C532" s="141">
        <v>18</v>
      </c>
      <c r="D532" s="16">
        <v>1818</v>
      </c>
    </row>
    <row r="533" spans="3:4" x14ac:dyDescent="0.25">
      <c r="C533" s="141">
        <v>28</v>
      </c>
      <c r="D533" s="16">
        <v>2828</v>
      </c>
    </row>
    <row r="534" spans="3:4" x14ac:dyDescent="0.25">
      <c r="C534" s="141">
        <v>12</v>
      </c>
      <c r="D534" s="16">
        <v>1212</v>
      </c>
    </row>
    <row r="535" spans="3:4" x14ac:dyDescent="0.25">
      <c r="C535" s="141">
        <v>5</v>
      </c>
      <c r="D535" s="16">
        <v>5</v>
      </c>
    </row>
    <row r="536" spans="3:4" x14ac:dyDescent="0.25">
      <c r="C536" s="141">
        <v>18</v>
      </c>
      <c r="D536" s="16">
        <v>1818</v>
      </c>
    </row>
    <row r="537" spans="3:4" x14ac:dyDescent="0.25">
      <c r="C537" s="141">
        <v>5</v>
      </c>
      <c r="D537" s="16">
        <v>55</v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93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4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5" r:id="rId6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6" r:id="rId7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7" r:id="rId8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8" r:id="rId9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9" r:id="rId10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0" r:id="rId11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1" r:id="rId12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2" r:id="rId13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3" r:id="rId14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4" r:id="rId15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" r:id="rId16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6" r:id="rId17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7" r:id="rId18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8" r:id="rId19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9" r:id="rId20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0" r:id="rId21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1" r:id="rId22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2" r:id="rId23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3" r:id="rId24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tabSelected="1" workbookViewId="0">
      <selection activeCell="F21" sqref="F21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3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6" customWidth="1"/>
    <col min="18" max="18" width="22.28515625" style="16" customWidth="1"/>
    <col min="19" max="24" width="17.85546875" style="16" customWidth="1"/>
    <col min="25" max="25" width="17.85546875" style="203" customWidth="1"/>
    <col min="26" max="26" width="30.42578125" style="16" customWidth="1"/>
    <col min="27" max="31" width="17.85546875" style="16" customWidth="1"/>
    <col min="32" max="32" width="15.7109375" style="329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1"/>
      <c r="B1" s="162"/>
      <c r="C1" s="162"/>
      <c r="D1" s="162"/>
      <c r="E1" s="162"/>
      <c r="F1" s="162"/>
      <c r="G1" s="373"/>
      <c r="H1" s="162"/>
      <c r="I1" s="213"/>
      <c r="J1" s="334" t="s">
        <v>90</v>
      </c>
      <c r="K1" s="340" t="str">
        <f>+IF(K2=0,"Done","Pending")</f>
        <v>Done</v>
      </c>
      <c r="L1" s="335"/>
      <c r="M1" s="336"/>
      <c r="N1" s="332" t="s">
        <v>90</v>
      </c>
      <c r="O1" s="215" t="s">
        <v>87</v>
      </c>
      <c r="P1" s="216" t="s">
        <v>88</v>
      </c>
      <c r="Q1" s="268" t="s">
        <v>100</v>
      </c>
      <c r="R1" s="270" t="s">
        <v>103</v>
      </c>
      <c r="S1" s="217" t="s">
        <v>105</v>
      </c>
      <c r="T1" s="217" t="s">
        <v>758</v>
      </c>
      <c r="U1" s="218" t="s">
        <v>757</v>
      </c>
      <c r="V1" s="217" t="s">
        <v>107</v>
      </c>
      <c r="W1" s="217"/>
      <c r="X1" s="218" t="s">
        <v>732</v>
      </c>
      <c r="AA1" s="116"/>
      <c r="AB1" s="17"/>
      <c r="AD1" s="71"/>
      <c r="AE1" s="24"/>
    </row>
    <row r="2" spans="1:34" ht="16.5" thickBot="1" x14ac:dyDescent="0.3">
      <c r="A2" s="163"/>
      <c r="B2" s="357"/>
      <c r="C2" s="164"/>
      <c r="D2" s="164"/>
      <c r="E2" s="164"/>
      <c r="F2" s="164"/>
      <c r="G2" s="374"/>
      <c r="H2" s="164"/>
      <c r="I2" s="214"/>
      <c r="J2" s="337">
        <f>+MSH!H2+'AMZ (2)'!H2+FLC!H2+'FLC (C)'!H2+SND!H2+AJIO!H2+MYR!H2+'S101'!H2+JIO!H2+GLR!H2+MRW!H2+'S101 (2)'!H2+VMT!H2+'MYR (2)'!H2+'S101 (3)'!H2+UNI!H2+AMZ!H2+'MSH (2)'!H2</f>
        <v>0</v>
      </c>
      <c r="K2" s="341">
        <f>+J2-N2</f>
        <v>0</v>
      </c>
      <c r="L2" s="338"/>
      <c r="M2" s="339"/>
      <c r="N2" s="333">
        <f>+O2+P2</f>
        <v>0</v>
      </c>
      <c r="O2" s="219">
        <f>+COUNTIF($L:$L,"&gt;"&amp;0)</f>
        <v>0</v>
      </c>
      <c r="P2" s="220">
        <f>+COUNTIF($L:$L,"&lt;"&amp;0)</f>
        <v>0</v>
      </c>
      <c r="Q2" s="269">
        <f>+SUM(L:L)</f>
        <v>0</v>
      </c>
      <c r="R2" s="271">
        <f>+COUNTA($Q:$Q)-3</f>
        <v>0</v>
      </c>
      <c r="S2" s="221">
        <f>+SUM(M:M)</f>
        <v>0</v>
      </c>
      <c r="T2" s="222" t="str">
        <f>IF(Q2=0,"0",COUNTIF(R:R, "&gt;" &amp; U2))</f>
        <v>0</v>
      </c>
      <c r="U2" s="273">
        <v>85000</v>
      </c>
      <c r="V2" s="222">
        <f>+N2-R2</f>
        <v>0</v>
      </c>
      <c r="W2" s="272"/>
      <c r="X2" s="272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3"/>
      <c r="C3" s="377"/>
      <c r="D3" s="77">
        <f ca="1">+MSH!N2+FLC!N2+'AMZ (2)'!N2+SND!N2+GLR!N2+MRW!N2+'S101'!N2+JIO!N2+MYR!N2+VMT!N2+AJIO!N2</f>
        <v>0</v>
      </c>
      <c r="E3" s="78" t="str">
        <f>+IF(F3=0," ","Month State Check : ++++")</f>
        <v xml:space="preserve"> </v>
      </c>
      <c r="F3" s="77">
        <v>0</v>
      </c>
      <c r="G3" s="375" t="s">
        <v>316</v>
      </c>
      <c r="H3" s="378">
        <v>12</v>
      </c>
      <c r="I3" s="137" t="str">
        <f>+IF(J3=1,"All","State")</f>
        <v>All</v>
      </c>
      <c r="J3" s="379">
        <v>1</v>
      </c>
      <c r="K3" s="136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Data MisMatch Check Data</v>
      </c>
      <c r="O3" s="70" t="str">
        <f ca="1">IF($J$3=2,VALUE(CONCATENATE(IF(DAY(G3)&gt;28,28,DAY(G3)),"/",IF($H$3="Last Month",MONTH(NOW())-1,IF($H$3="Default",TEXT(G3,"mm"),$H$3)),"/",TEXT(G3,"yyyy"))),"")</f>
        <v/>
      </c>
      <c r="P3" s="24" t="str">
        <f>+IF(A3=E3,"ECom GST","ECom IGST")</f>
        <v>ECom IGST</v>
      </c>
      <c r="Q3" s="265"/>
      <c r="R3" s="368" t="str">
        <f>IF(S3="",IF(Q3&lt;&gt;"", SUMIFS(#REF!,#REF!, Q3), ""),"")</f>
        <v/>
      </c>
      <c r="S3" s="369" t="str">
        <f>IF(Q3="", "", INDEX(#REF!, MATCH(Q3,#REF!, 0)))</f>
        <v/>
      </c>
      <c r="T3" s="370" t="str">
        <f>IF(Q3="", "", INDEX(#REF!, MATCH(Q3,#REF!, 0)))</f>
        <v/>
      </c>
      <c r="U3" s="368" t="str">
        <f>IF(Q3="", "", INDEX(#REF!, MATCH(Q3,#REF!, 0)))</f>
        <v/>
      </c>
      <c r="V3" s="368" t="str">
        <f>AB3 &amp; "%" &amp; " (" &amp; AA3 &amp; ")"</f>
        <v>% ()</v>
      </c>
      <c r="W3" s="370" t="e">
        <f>+IF(X3="",INDEX(#REF!,MATCH(Q3,#REF!,0)),INDEX(Help!$F$2:$F$49,MATCH(VALUE(LEFT(X3,2)),Help!$E$2:$E$49,0)))</f>
        <v>#REF!</v>
      </c>
      <c r="X3" s="371" t="str">
        <f>IF(Q3="", "", IFERROR(INDEX(#REF!, MATCH(Q3,#REF!, 0)), ""))</f>
        <v/>
      </c>
      <c r="Y3" s="370" t="str">
        <f>IF(Q3="", "", IFERROR(INDEX(#REF!, MATCH(Q3,#REF!, 0)), ""))</f>
        <v/>
      </c>
      <c r="Z3" s="369" t="str">
        <f>SUBSTITUTE(Q3,"R-","")</f>
        <v/>
      </c>
      <c r="AA3" s="369" t="str">
        <f>IF($Q3="", "", IFERROR(VALUE(INDEX(#REF!, MATCH($Q3,#REF!, 0))), ""))</f>
        <v/>
      </c>
      <c r="AB3" s="369" t="str">
        <f>IF($Q3="", "", IFERROR(INDEX(#REF!, MATCH($Q3,#REF!, 0)), ""))</f>
        <v/>
      </c>
      <c r="AC3" s="369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8" t="e">
        <f>+AD3/AC3</f>
        <v>#VALUE!</v>
      </c>
      <c r="AG3" s="103" t="s">
        <v>85</v>
      </c>
      <c r="AH3" s="99" t="e">
        <f>+IF(W3=S3,"ECom GST","ECom IGST")</f>
        <v>#REF!</v>
      </c>
    </row>
    <row r="4" spans="1:34" s="132" customFormat="1" x14ac:dyDescent="0.25">
      <c r="A4" s="130" t="s">
        <v>71</v>
      </c>
      <c r="B4" s="130" t="s">
        <v>72</v>
      </c>
      <c r="C4" s="212" t="s">
        <v>73</v>
      </c>
      <c r="D4" s="130" t="s">
        <v>237</v>
      </c>
      <c r="E4" s="130" t="s">
        <v>1</v>
      </c>
      <c r="F4" s="212" t="s">
        <v>74</v>
      </c>
      <c r="G4" s="376" t="s">
        <v>75</v>
      </c>
      <c r="H4" s="130" t="s">
        <v>76</v>
      </c>
      <c r="I4" s="129" t="s">
        <v>236</v>
      </c>
      <c r="J4" s="130" t="s">
        <v>54</v>
      </c>
      <c r="K4" s="130" t="s">
        <v>78</v>
      </c>
      <c r="L4" s="130" t="s">
        <v>79</v>
      </c>
      <c r="M4" s="130" t="s">
        <v>80</v>
      </c>
      <c r="N4" s="131" t="s">
        <v>415</v>
      </c>
      <c r="O4" s="131" t="str">
        <f>+IF(J3=2,"Month Date","")</f>
        <v/>
      </c>
      <c r="P4" s="131" t="s">
        <v>301</v>
      </c>
      <c r="Q4" s="131" t="s">
        <v>415</v>
      </c>
      <c r="R4" s="267"/>
      <c r="S4" s="211" t="s">
        <v>71</v>
      </c>
      <c r="T4" s="211" t="s">
        <v>876</v>
      </c>
      <c r="U4" s="211" t="s">
        <v>877</v>
      </c>
      <c r="V4" s="211" t="s">
        <v>302</v>
      </c>
      <c r="W4" s="211" t="s">
        <v>1</v>
      </c>
      <c r="X4" s="211" t="s">
        <v>74</v>
      </c>
      <c r="Y4" s="331" t="s">
        <v>75</v>
      </c>
      <c r="Z4" s="211" t="s">
        <v>76</v>
      </c>
      <c r="AA4" s="211" t="s">
        <v>55</v>
      </c>
      <c r="AB4" s="211" t="s">
        <v>54</v>
      </c>
      <c r="AC4" s="211" t="s">
        <v>78</v>
      </c>
      <c r="AD4" s="211" t="s">
        <v>106</v>
      </c>
      <c r="AE4" s="211" t="s">
        <v>80</v>
      </c>
      <c r="AF4" s="330" t="s">
        <v>315</v>
      </c>
      <c r="AG4" s="211"/>
      <c r="AH4" s="211" t="s">
        <v>301</v>
      </c>
    </row>
  </sheetData>
  <sheetProtection algorithmName="SHA-512" hashValue="dsMZq/UyMIBRQy1qqh+ICs5uMXVOzfIImpQe08qhDHyhSPT19finrG+C0gQ2EC8KDlPd8fo/3JGsPCVXyKtahg==" saltValue="0sfzY6T8r9FLyza446RFXw==" spinCount="100000" sheet="1" objects="1" scenarios="1"/>
  <dataConsolidate/>
  <conditionalFormatting sqref="N1">
    <cfRule type="cellIs" dxfId="17" priority="3209" operator="equal">
      <formula>#N/A</formula>
    </cfRule>
  </conditionalFormatting>
  <conditionalFormatting sqref="J1">
    <cfRule type="cellIs" dxfId="16" priority="3208" operator="equal">
      <formula>#N/A</formula>
    </cfRule>
  </conditionalFormatting>
  <conditionalFormatting sqref="F1:F2">
    <cfRule type="containsText" dxfId="15" priority="3200" operator="containsText" text="Others">
      <formula>NOT(ISERROR(SEARCH("Others",F1)))</formula>
    </cfRule>
    <cfRule type="containsText" dxfId="14" priority="3201" operator="containsText" text="#N/A">
      <formula>NOT(ISERROR(SEARCH("#N/A",F1)))</formula>
    </cfRule>
  </conditionalFormatting>
  <conditionalFormatting sqref="Q1:Q2">
    <cfRule type="cellIs" dxfId="13" priority="3060" operator="equal">
      <formula>#N/A</formula>
    </cfRule>
  </conditionalFormatting>
  <conditionalFormatting sqref="S2:V2">
    <cfRule type="cellIs" dxfId="12" priority="3056" operator="equal">
      <formula>#N/A</formula>
    </cfRule>
  </conditionalFormatting>
  <conditionalFormatting sqref="R1:R2">
    <cfRule type="duplicateValues" dxfId="11" priority="3012"/>
  </conditionalFormatting>
  <conditionalFormatting sqref="D3">
    <cfRule type="cellIs" dxfId="10" priority="2866" operator="greaterThan">
      <formula>0</formula>
    </cfRule>
  </conditionalFormatting>
  <conditionalFormatting sqref="F3">
    <cfRule type="containsText" dxfId="9" priority="2864" operator="containsText" text="Others">
      <formula>NOT(ISERROR(SEARCH("Others",F3)))</formula>
    </cfRule>
    <cfRule type="containsText" dxfId="8" priority="2865" operator="containsText" text="#N/A">
      <formula>NOT(ISERROR(SEARCH("#N/A",F3)))</formula>
    </cfRule>
  </conditionalFormatting>
  <conditionalFormatting sqref="Q3">
    <cfRule type="duplicateValues" dxfId="7" priority="2755"/>
  </conditionalFormatting>
  <conditionalFormatting sqref="Q3">
    <cfRule type="duplicateValues" dxfId="6" priority="2754"/>
  </conditionalFormatting>
  <conditionalFormatting sqref="G3">
    <cfRule type="duplicateValues" dxfId="5" priority="2546"/>
  </conditionalFormatting>
  <conditionalFormatting sqref="I3">
    <cfRule type="duplicateValues" dxfId="4" priority="3212"/>
  </conditionalFormatting>
  <conditionalFormatting sqref="R1:R2">
    <cfRule type="duplicateValues" dxfId="3" priority="3214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O13"/>
  <sheetViews>
    <sheetView showRuler="0" workbookViewId="0">
      <selection activeCell="C15" sqref="C15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2" spans="1:15" x14ac:dyDescent="0.25">
      <c r="O2">
        <v>254</v>
      </c>
    </row>
    <row r="3" spans="1:15" x14ac:dyDescent="0.25">
      <c r="L3" t="s">
        <v>924</v>
      </c>
      <c r="O3" s="185" t="s">
        <v>921</v>
      </c>
    </row>
    <row r="4" spans="1:15" x14ac:dyDescent="0.25">
      <c r="O4" s="185" t="s">
        <v>922</v>
      </c>
    </row>
    <row r="5" spans="1:15" x14ac:dyDescent="0.25">
      <c r="O5">
        <v>7573990005</v>
      </c>
    </row>
    <row r="6" spans="1:15" x14ac:dyDescent="0.25">
      <c r="A6" s="312" t="s">
        <v>802</v>
      </c>
      <c r="B6" s="313">
        <v>29505</v>
      </c>
      <c r="E6" s="316"/>
    </row>
    <row r="7" spans="1:15" x14ac:dyDescent="0.25">
      <c r="A7" s="312" t="s">
        <v>72</v>
      </c>
      <c r="B7" s="313" t="s">
        <v>925</v>
      </c>
    </row>
    <row r="8" spans="1:15" x14ac:dyDescent="0.25">
      <c r="A8" s="312" t="s">
        <v>803</v>
      </c>
      <c r="B8" s="313">
        <v>9173555942</v>
      </c>
    </row>
    <row r="9" spans="1:15" x14ac:dyDescent="0.25">
      <c r="A9" s="312" t="s">
        <v>804</v>
      </c>
      <c r="B9" s="313" t="s">
        <v>926</v>
      </c>
    </row>
    <row r="10" spans="1:15" x14ac:dyDescent="0.25">
      <c r="A10" s="312" t="s">
        <v>806</v>
      </c>
      <c r="B10" s="313" t="s">
        <v>927</v>
      </c>
    </row>
    <row r="11" spans="1:15" x14ac:dyDescent="0.25">
      <c r="A11" s="312" t="s">
        <v>807</v>
      </c>
      <c r="B11" s="314">
        <v>45573</v>
      </c>
    </row>
    <row r="12" spans="1:15" x14ac:dyDescent="0.25">
      <c r="A12" s="312" t="s">
        <v>805</v>
      </c>
      <c r="B12" s="314">
        <v>45809</v>
      </c>
    </row>
    <row r="13" spans="1:15" x14ac:dyDescent="0.25">
      <c r="A13" s="312" t="s">
        <v>827</v>
      </c>
      <c r="B13" s="314" t="s">
        <v>928</v>
      </c>
    </row>
  </sheetData>
  <sheetProtection algorithmName="SHA-512" hashValue="61q7eweyLJEKynrd/IedVAa7yszbJG7uW9Xn6Uq8/MTsoLxdKXMFcRsSvfEYfdYNCRD3Zip+S0jn/Lo2PyVN+A==" saltValue="ArhLzRe/Rg16/MeLDwirAg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MSH</vt:lpstr>
      <vt:lpstr>MSH (2)</vt:lpstr>
      <vt:lpstr>AMZ</vt:lpstr>
      <vt:lpstr>FLC</vt:lpstr>
      <vt:lpstr>FLC (C)</vt:lpstr>
      <vt:lpstr>JIO</vt:lpstr>
      <vt:lpstr>AJIO</vt:lpstr>
      <vt:lpstr>MYR</vt:lpstr>
      <vt:lpstr>S101 (3)</vt:lpstr>
      <vt:lpstr>GSTR2B</vt:lpstr>
      <vt:lpstr>Help</vt:lpstr>
      <vt:lpstr>MasterMonth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2025-01-31T07:11:37Z</dcterms:modified>
</cp:coreProperties>
</file>